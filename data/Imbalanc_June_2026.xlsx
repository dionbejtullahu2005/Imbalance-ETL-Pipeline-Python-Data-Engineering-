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Natyra\Downloads\"/>
    </mc:Choice>
  </mc:AlternateContent>
  <xr:revisionPtr revIDLastSave="0" documentId="8_{819F9CEC-9AEB-461D-8278-499491AFCEC6}" xr6:coauthVersionLast="47" xr6:coauthVersionMax="47" xr10:uidLastSave="{00000000-0000-0000-0000-000000000000}"/>
  <bookViews>
    <workbookView xWindow="-110" yWindow="-110" windowWidth="19420" windowHeight="10300" tabRatio="500" firstSheet="4" activeTab="1" xr2:uid="{00000000-000D-0000-FFFF-FFFF00000000}"/>
  </bookViews>
  <sheets>
    <sheet name="J" sheetId="1" r:id="rId1"/>
    <sheet name="GJ" sheetId="2" r:id="rId2"/>
    <sheet name="24H June" sheetId="3" r:id="rId3"/>
    <sheet name="Pivot 24h" sheetId="4" r:id="rId4"/>
    <sheet name="(8-17)H June" sheetId="5" r:id="rId5"/>
    <sheet name="Pivot (8-17)H" sheetId="6" r:id="rId6"/>
  </sheets>
  <definedNames>
    <definedName name="_xlnm._FilterDatabase" localSheetId="4" hidden="1">'(8-17)H June'!$A$1:$J$301</definedName>
  </definedNames>
  <calcPr calcId="191028" iterateDelta="1E-4"/>
  <pivotCaches>
    <pivotCache cacheId="300" r:id="rId7"/>
    <pivotCache cacheId="30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" i="1" l="1"/>
  <c r="G2" i="1"/>
  <c r="F2" i="1"/>
  <c r="G300" i="5"/>
  <c r="H300" i="5" s="1"/>
  <c r="F300" i="5"/>
  <c r="G299" i="5"/>
  <c r="H299" i="5" s="1"/>
  <c r="F299" i="5"/>
  <c r="G298" i="5"/>
  <c r="H298" i="5" s="1"/>
  <c r="F298" i="5"/>
  <c r="G297" i="5"/>
  <c r="H297" i="5" s="1"/>
  <c r="F297" i="5"/>
  <c r="G296" i="5"/>
  <c r="F296" i="5"/>
  <c r="H296" i="5" s="1"/>
  <c r="G295" i="5"/>
  <c r="H295" i="5" s="1"/>
  <c r="F295" i="5"/>
  <c r="G294" i="5"/>
  <c r="H294" i="5" s="1"/>
  <c r="F294" i="5"/>
  <c r="G293" i="5"/>
  <c r="F293" i="5"/>
  <c r="G292" i="5"/>
  <c r="F292" i="5"/>
  <c r="H292" i="5" s="1"/>
  <c r="G291" i="5"/>
  <c r="F291" i="5"/>
  <c r="G290" i="5"/>
  <c r="H290" i="5" s="1"/>
  <c r="F290" i="5"/>
  <c r="G289" i="5"/>
  <c r="H289" i="5" s="1"/>
  <c r="F289" i="5"/>
  <c r="G288" i="5"/>
  <c r="H288" i="5" s="1"/>
  <c r="F288" i="5"/>
  <c r="H287" i="5"/>
  <c r="G287" i="5"/>
  <c r="F287" i="5"/>
  <c r="H286" i="5"/>
  <c r="G286" i="5"/>
  <c r="F286" i="5"/>
  <c r="H285" i="5"/>
  <c r="G285" i="5"/>
  <c r="F285" i="5"/>
  <c r="G284" i="5"/>
  <c r="F284" i="5"/>
  <c r="H284" i="5" s="1"/>
  <c r="G283" i="5"/>
  <c r="H283" i="5" s="1"/>
  <c r="F283" i="5"/>
  <c r="G282" i="5"/>
  <c r="H282" i="5" s="1"/>
  <c r="F282" i="5"/>
  <c r="G281" i="5"/>
  <c r="H281" i="5" s="1"/>
  <c r="F281" i="5"/>
  <c r="G280" i="5"/>
  <c r="H280" i="5" s="1"/>
  <c r="F280" i="5"/>
  <c r="H279" i="5"/>
  <c r="G279" i="5"/>
  <c r="F279" i="5"/>
  <c r="H278" i="5"/>
  <c r="G278" i="5"/>
  <c r="F278" i="5"/>
  <c r="G277" i="5"/>
  <c r="F277" i="5"/>
  <c r="H277" i="5" s="1"/>
  <c r="G276" i="5"/>
  <c r="F276" i="5"/>
  <c r="H276" i="5" s="1"/>
  <c r="G275" i="5"/>
  <c r="H275" i="5" s="1"/>
  <c r="F275" i="5"/>
  <c r="G274" i="5"/>
  <c r="H274" i="5" s="1"/>
  <c r="F274" i="5"/>
  <c r="G273" i="5"/>
  <c r="H273" i="5" s="1"/>
  <c r="F273" i="5"/>
  <c r="G272" i="5"/>
  <c r="H272" i="5" s="1"/>
  <c r="F272" i="5"/>
  <c r="H271" i="5"/>
  <c r="G271" i="5"/>
  <c r="F271" i="5"/>
  <c r="H270" i="5"/>
  <c r="G270" i="5"/>
  <c r="F270" i="5"/>
  <c r="G269" i="5"/>
  <c r="F269" i="5"/>
  <c r="H269" i="5" s="1"/>
  <c r="G268" i="5"/>
  <c r="F268" i="5"/>
  <c r="H268" i="5" s="1"/>
  <c r="G267" i="5"/>
  <c r="H267" i="5" s="1"/>
  <c r="F267" i="5"/>
  <c r="G266" i="5"/>
  <c r="H266" i="5" s="1"/>
  <c r="F266" i="5"/>
  <c r="G265" i="5"/>
  <c r="H265" i="5" s="1"/>
  <c r="F265" i="5"/>
  <c r="G264" i="5"/>
  <c r="H264" i="5" s="1"/>
  <c r="F264" i="5"/>
  <c r="H263" i="5"/>
  <c r="G263" i="5"/>
  <c r="F263" i="5"/>
  <c r="H262" i="5"/>
  <c r="G262" i="5"/>
  <c r="F262" i="5"/>
  <c r="H261" i="5"/>
  <c r="G261" i="5"/>
  <c r="F261" i="5"/>
  <c r="G260" i="5"/>
  <c r="F260" i="5"/>
  <c r="H260" i="5" s="1"/>
  <c r="G259" i="5"/>
  <c r="F259" i="5"/>
  <c r="G258" i="5"/>
  <c r="H258" i="5" s="1"/>
  <c r="F258" i="5"/>
  <c r="G257" i="5"/>
  <c r="H257" i="5" s="1"/>
  <c r="F257" i="5"/>
  <c r="G256" i="5"/>
  <c r="H256" i="5" s="1"/>
  <c r="F256" i="5"/>
  <c r="H255" i="5"/>
  <c r="G255" i="5"/>
  <c r="F255" i="5"/>
  <c r="H254" i="5"/>
  <c r="G254" i="5"/>
  <c r="F254" i="5"/>
  <c r="G253" i="5"/>
  <c r="F253" i="5"/>
  <c r="H253" i="5" s="1"/>
  <c r="G252" i="5"/>
  <c r="F252" i="5"/>
  <c r="H252" i="5" s="1"/>
  <c r="G251" i="5"/>
  <c r="H251" i="5" s="1"/>
  <c r="F251" i="5"/>
  <c r="G250" i="5"/>
  <c r="H250" i="5" s="1"/>
  <c r="F250" i="5"/>
  <c r="G249" i="5"/>
  <c r="H249" i="5" s="1"/>
  <c r="F249" i="5"/>
  <c r="G248" i="5"/>
  <c r="H248" i="5" s="1"/>
  <c r="F248" i="5"/>
  <c r="H247" i="5"/>
  <c r="G247" i="5"/>
  <c r="F247" i="5"/>
  <c r="H246" i="5"/>
  <c r="G246" i="5"/>
  <c r="F246" i="5"/>
  <c r="H245" i="5"/>
  <c r="G245" i="5"/>
  <c r="F245" i="5"/>
  <c r="G244" i="5"/>
  <c r="F244" i="5"/>
  <c r="H244" i="5" s="1"/>
  <c r="G243" i="5"/>
  <c r="F243" i="5"/>
  <c r="G242" i="5"/>
  <c r="H242" i="5" s="1"/>
  <c r="F242" i="5"/>
  <c r="G241" i="5"/>
  <c r="H241" i="5" s="1"/>
  <c r="F241" i="5"/>
  <c r="G240" i="5"/>
  <c r="H240" i="5" s="1"/>
  <c r="F240" i="5"/>
  <c r="H239" i="5"/>
  <c r="G239" i="5"/>
  <c r="F239" i="5"/>
  <c r="H238" i="5"/>
  <c r="G238" i="5"/>
  <c r="F238" i="5"/>
  <c r="G237" i="5"/>
  <c r="F237" i="5"/>
  <c r="H237" i="5" s="1"/>
  <c r="G236" i="5"/>
  <c r="F236" i="5"/>
  <c r="H236" i="5" s="1"/>
  <c r="G235" i="5"/>
  <c r="H235" i="5" s="1"/>
  <c r="F235" i="5"/>
  <c r="G234" i="5"/>
  <c r="H234" i="5" s="1"/>
  <c r="F234" i="5"/>
  <c r="G233" i="5"/>
  <c r="H233" i="5" s="1"/>
  <c r="F233" i="5"/>
  <c r="G232" i="5"/>
  <c r="H232" i="5" s="1"/>
  <c r="F232" i="5"/>
  <c r="H231" i="5"/>
  <c r="G231" i="5"/>
  <c r="F231" i="5"/>
  <c r="H230" i="5"/>
  <c r="G230" i="5"/>
  <c r="F230" i="5"/>
  <c r="H229" i="5"/>
  <c r="G229" i="5"/>
  <c r="F229" i="5"/>
  <c r="G228" i="5"/>
  <c r="F228" i="5"/>
  <c r="H228" i="5" s="1"/>
  <c r="G227" i="5"/>
  <c r="F227" i="5"/>
  <c r="G226" i="5"/>
  <c r="H226" i="5" s="1"/>
  <c r="F226" i="5"/>
  <c r="G225" i="5"/>
  <c r="H225" i="5" s="1"/>
  <c r="F225" i="5"/>
  <c r="G224" i="5"/>
  <c r="H224" i="5" s="1"/>
  <c r="F224" i="5"/>
  <c r="H223" i="5"/>
  <c r="G223" i="5"/>
  <c r="F223" i="5"/>
  <c r="H222" i="5"/>
  <c r="G222" i="5"/>
  <c r="F222" i="5"/>
  <c r="H221" i="5"/>
  <c r="G221" i="5"/>
  <c r="F221" i="5"/>
  <c r="G220" i="5"/>
  <c r="F220" i="5"/>
  <c r="H220" i="5" s="1"/>
  <c r="G219" i="5"/>
  <c r="H219" i="5" s="1"/>
  <c r="F219" i="5"/>
  <c r="G218" i="5"/>
  <c r="H218" i="5" s="1"/>
  <c r="F218" i="5"/>
  <c r="G217" i="5"/>
  <c r="H217" i="5" s="1"/>
  <c r="F217" i="5"/>
  <c r="G216" i="5"/>
  <c r="H216" i="5" s="1"/>
  <c r="F216" i="5"/>
  <c r="H215" i="5"/>
  <c r="G215" i="5"/>
  <c r="F215" i="5"/>
  <c r="H214" i="5"/>
  <c r="G214" i="5"/>
  <c r="F214" i="5"/>
  <c r="G213" i="5"/>
  <c r="F213" i="5"/>
  <c r="H213" i="5" s="1"/>
  <c r="G212" i="5"/>
  <c r="F212" i="5"/>
  <c r="H212" i="5" s="1"/>
  <c r="G211" i="5"/>
  <c r="H211" i="5" s="1"/>
  <c r="F211" i="5"/>
  <c r="G210" i="5"/>
  <c r="H210" i="5" s="1"/>
  <c r="F210" i="5"/>
  <c r="G209" i="5"/>
  <c r="H209" i="5" s="1"/>
  <c r="F209" i="5"/>
  <c r="G208" i="5"/>
  <c r="H208" i="5" s="1"/>
  <c r="F208" i="5"/>
  <c r="H207" i="5"/>
  <c r="G207" i="5"/>
  <c r="F207" i="5"/>
  <c r="H206" i="5"/>
  <c r="G206" i="5"/>
  <c r="F206" i="5"/>
  <c r="G205" i="5"/>
  <c r="F205" i="5"/>
  <c r="H205" i="5" s="1"/>
  <c r="G204" i="5"/>
  <c r="F204" i="5"/>
  <c r="H204" i="5" s="1"/>
  <c r="G203" i="5"/>
  <c r="H203" i="5" s="1"/>
  <c r="F203" i="5"/>
  <c r="G202" i="5"/>
  <c r="H202" i="5" s="1"/>
  <c r="F202" i="5"/>
  <c r="G201" i="5"/>
  <c r="H201" i="5" s="1"/>
  <c r="F201" i="5"/>
  <c r="G200" i="5"/>
  <c r="H200" i="5" s="1"/>
  <c r="F200" i="5"/>
  <c r="H199" i="5"/>
  <c r="G199" i="5"/>
  <c r="F199" i="5"/>
  <c r="H198" i="5"/>
  <c r="G198" i="5"/>
  <c r="F198" i="5"/>
  <c r="H197" i="5"/>
  <c r="G197" i="5"/>
  <c r="F197" i="5"/>
  <c r="G196" i="5"/>
  <c r="F196" i="5"/>
  <c r="H196" i="5" s="1"/>
  <c r="G195" i="5"/>
  <c r="F195" i="5"/>
  <c r="G194" i="5"/>
  <c r="H194" i="5" s="1"/>
  <c r="F194" i="5"/>
  <c r="G193" i="5"/>
  <c r="H193" i="5" s="1"/>
  <c r="F193" i="5"/>
  <c r="G192" i="5"/>
  <c r="H192" i="5" s="1"/>
  <c r="F192" i="5"/>
  <c r="H191" i="5"/>
  <c r="G191" i="5"/>
  <c r="F191" i="5"/>
  <c r="H190" i="5"/>
  <c r="G190" i="5"/>
  <c r="F190" i="5"/>
  <c r="G189" i="5"/>
  <c r="F189" i="5"/>
  <c r="H189" i="5" s="1"/>
  <c r="G188" i="5"/>
  <c r="F188" i="5"/>
  <c r="H188" i="5" s="1"/>
  <c r="G187" i="5"/>
  <c r="H187" i="5" s="1"/>
  <c r="F187" i="5"/>
  <c r="G186" i="5"/>
  <c r="H186" i="5" s="1"/>
  <c r="F186" i="5"/>
  <c r="G185" i="5"/>
  <c r="H185" i="5" s="1"/>
  <c r="F185" i="5"/>
  <c r="G184" i="5"/>
  <c r="H184" i="5" s="1"/>
  <c r="F184" i="5"/>
  <c r="H183" i="5"/>
  <c r="G183" i="5"/>
  <c r="F183" i="5"/>
  <c r="H182" i="5"/>
  <c r="G182" i="5"/>
  <c r="F182" i="5"/>
  <c r="H181" i="5"/>
  <c r="G181" i="5"/>
  <c r="F181" i="5"/>
  <c r="G180" i="5"/>
  <c r="F180" i="5"/>
  <c r="H180" i="5" s="1"/>
  <c r="G179" i="5"/>
  <c r="F179" i="5"/>
  <c r="G178" i="5"/>
  <c r="H178" i="5" s="1"/>
  <c r="F178" i="5"/>
  <c r="G177" i="5"/>
  <c r="H177" i="5" s="1"/>
  <c r="F177" i="5"/>
  <c r="G176" i="5"/>
  <c r="H176" i="5" s="1"/>
  <c r="F176" i="5"/>
  <c r="H175" i="5"/>
  <c r="G175" i="5"/>
  <c r="F175" i="5"/>
  <c r="H174" i="5"/>
  <c r="G174" i="5"/>
  <c r="F174" i="5"/>
  <c r="H173" i="5"/>
  <c r="G173" i="5"/>
  <c r="F173" i="5"/>
  <c r="G172" i="5"/>
  <c r="F172" i="5"/>
  <c r="H172" i="5" s="1"/>
  <c r="G171" i="5"/>
  <c r="H171" i="5" s="1"/>
  <c r="F171" i="5"/>
  <c r="G170" i="5"/>
  <c r="H170" i="5" s="1"/>
  <c r="F170" i="5"/>
  <c r="G169" i="5"/>
  <c r="H169" i="5" s="1"/>
  <c r="F169" i="5"/>
  <c r="G168" i="5"/>
  <c r="H168" i="5" s="1"/>
  <c r="F168" i="5"/>
  <c r="H167" i="5"/>
  <c r="G167" i="5"/>
  <c r="F167" i="5"/>
  <c r="H166" i="5"/>
  <c r="G166" i="5"/>
  <c r="F166" i="5"/>
  <c r="H165" i="5"/>
  <c r="G165" i="5"/>
  <c r="F165" i="5"/>
  <c r="G164" i="5"/>
  <c r="F164" i="5"/>
  <c r="H164" i="5" s="1"/>
  <c r="G163" i="5"/>
  <c r="F163" i="5"/>
  <c r="G162" i="5"/>
  <c r="H162" i="5" s="1"/>
  <c r="F162" i="5"/>
  <c r="G161" i="5"/>
  <c r="H161" i="5" s="1"/>
  <c r="F161" i="5"/>
  <c r="G160" i="5"/>
  <c r="H160" i="5" s="1"/>
  <c r="F160" i="5"/>
  <c r="H159" i="5"/>
  <c r="G159" i="5"/>
  <c r="F159" i="5"/>
  <c r="H158" i="5"/>
  <c r="G158" i="5"/>
  <c r="F158" i="5"/>
  <c r="H157" i="5"/>
  <c r="G157" i="5"/>
  <c r="F157" i="5"/>
  <c r="G156" i="5"/>
  <c r="F156" i="5"/>
  <c r="H156" i="5" s="1"/>
  <c r="G155" i="5"/>
  <c r="H155" i="5" s="1"/>
  <c r="F155" i="5"/>
  <c r="G154" i="5"/>
  <c r="H154" i="5" s="1"/>
  <c r="F154" i="5"/>
  <c r="G153" i="5"/>
  <c r="H153" i="5" s="1"/>
  <c r="F153" i="5"/>
  <c r="G152" i="5"/>
  <c r="H152" i="5" s="1"/>
  <c r="F152" i="5"/>
  <c r="H151" i="5"/>
  <c r="G151" i="5"/>
  <c r="F151" i="5"/>
  <c r="H150" i="5"/>
  <c r="G150" i="5"/>
  <c r="F150" i="5"/>
  <c r="G149" i="5"/>
  <c r="F149" i="5"/>
  <c r="H149" i="5" s="1"/>
  <c r="G148" i="5"/>
  <c r="F148" i="5"/>
  <c r="H148" i="5" s="1"/>
  <c r="G147" i="5"/>
  <c r="H147" i="5" s="1"/>
  <c r="F147" i="5"/>
  <c r="G146" i="5"/>
  <c r="H146" i="5" s="1"/>
  <c r="F146" i="5"/>
  <c r="G145" i="5"/>
  <c r="H145" i="5" s="1"/>
  <c r="F145" i="5"/>
  <c r="G144" i="5"/>
  <c r="H144" i="5" s="1"/>
  <c r="F144" i="5"/>
  <c r="H143" i="5"/>
  <c r="G143" i="5"/>
  <c r="F143" i="5"/>
  <c r="H142" i="5"/>
  <c r="G142" i="5"/>
  <c r="F142" i="5"/>
  <c r="G141" i="5"/>
  <c r="F141" i="5"/>
  <c r="H141" i="5" s="1"/>
  <c r="G140" i="5"/>
  <c r="F140" i="5"/>
  <c r="H140" i="5" s="1"/>
  <c r="G139" i="5"/>
  <c r="H139" i="5" s="1"/>
  <c r="F139" i="5"/>
  <c r="G138" i="5"/>
  <c r="H138" i="5" s="1"/>
  <c r="F138" i="5"/>
  <c r="G137" i="5"/>
  <c r="H137" i="5" s="1"/>
  <c r="F137" i="5"/>
  <c r="G136" i="5"/>
  <c r="H136" i="5" s="1"/>
  <c r="F136" i="5"/>
  <c r="H135" i="5"/>
  <c r="G135" i="5"/>
  <c r="F135" i="5"/>
  <c r="H134" i="5"/>
  <c r="G134" i="5"/>
  <c r="F134" i="5"/>
  <c r="H133" i="5"/>
  <c r="G133" i="5"/>
  <c r="F133" i="5"/>
  <c r="G132" i="5"/>
  <c r="F132" i="5"/>
  <c r="H132" i="5" s="1"/>
  <c r="G131" i="5"/>
  <c r="F131" i="5"/>
  <c r="G130" i="5"/>
  <c r="H130" i="5" s="1"/>
  <c r="F130" i="5"/>
  <c r="G129" i="5"/>
  <c r="H129" i="5" s="1"/>
  <c r="F129" i="5"/>
  <c r="G128" i="5"/>
  <c r="H128" i="5" s="1"/>
  <c r="F128" i="5"/>
  <c r="H127" i="5"/>
  <c r="G127" i="5"/>
  <c r="F127" i="5"/>
  <c r="H126" i="5"/>
  <c r="G126" i="5"/>
  <c r="F126" i="5"/>
  <c r="H125" i="5"/>
  <c r="G125" i="5"/>
  <c r="F125" i="5"/>
  <c r="G124" i="5"/>
  <c r="F124" i="5"/>
  <c r="H124" i="5" s="1"/>
  <c r="G123" i="5"/>
  <c r="H123" i="5" s="1"/>
  <c r="F123" i="5"/>
  <c r="G122" i="5"/>
  <c r="H122" i="5" s="1"/>
  <c r="F122" i="5"/>
  <c r="G121" i="5"/>
  <c r="H121" i="5" s="1"/>
  <c r="F121" i="5"/>
  <c r="G120" i="5"/>
  <c r="H120" i="5" s="1"/>
  <c r="F120" i="5"/>
  <c r="H119" i="5"/>
  <c r="G119" i="5"/>
  <c r="F119" i="5"/>
  <c r="H118" i="5"/>
  <c r="G118" i="5"/>
  <c r="F118" i="5"/>
  <c r="H117" i="5"/>
  <c r="G117" i="5"/>
  <c r="F117" i="5"/>
  <c r="G116" i="5"/>
  <c r="F116" i="5"/>
  <c r="H116" i="5" s="1"/>
  <c r="G115" i="5"/>
  <c r="F115" i="5"/>
  <c r="G114" i="5"/>
  <c r="H114" i="5" s="1"/>
  <c r="F114" i="5"/>
  <c r="G113" i="5"/>
  <c r="H113" i="5" s="1"/>
  <c r="F113" i="5"/>
  <c r="G112" i="5"/>
  <c r="H112" i="5" s="1"/>
  <c r="F112" i="5"/>
  <c r="H111" i="5"/>
  <c r="G111" i="5"/>
  <c r="F111" i="5"/>
  <c r="H110" i="5"/>
  <c r="G110" i="5"/>
  <c r="F110" i="5"/>
  <c r="G109" i="5"/>
  <c r="F109" i="5"/>
  <c r="H109" i="5" s="1"/>
  <c r="G108" i="5"/>
  <c r="F108" i="5"/>
  <c r="H108" i="5" s="1"/>
  <c r="G107" i="5"/>
  <c r="H107" i="5" s="1"/>
  <c r="F107" i="5"/>
  <c r="G106" i="5"/>
  <c r="H106" i="5" s="1"/>
  <c r="F106" i="5"/>
  <c r="G105" i="5"/>
  <c r="H105" i="5" s="1"/>
  <c r="F105" i="5"/>
  <c r="G104" i="5"/>
  <c r="H104" i="5" s="1"/>
  <c r="F104" i="5"/>
  <c r="H103" i="5"/>
  <c r="G103" i="5"/>
  <c r="F103" i="5"/>
  <c r="H102" i="5"/>
  <c r="G102" i="5"/>
  <c r="F102" i="5"/>
  <c r="H101" i="5"/>
  <c r="G101" i="5"/>
  <c r="F101" i="5"/>
  <c r="G100" i="5"/>
  <c r="F100" i="5"/>
  <c r="H100" i="5" s="1"/>
  <c r="G99" i="5"/>
  <c r="F99" i="5"/>
  <c r="G98" i="5"/>
  <c r="H98" i="5" s="1"/>
  <c r="F98" i="5"/>
  <c r="G97" i="5"/>
  <c r="H97" i="5" s="1"/>
  <c r="F97" i="5"/>
  <c r="G96" i="5"/>
  <c r="H96" i="5" s="1"/>
  <c r="F96" i="5"/>
  <c r="H95" i="5"/>
  <c r="G95" i="5"/>
  <c r="F95" i="5"/>
  <c r="H94" i="5"/>
  <c r="G94" i="5"/>
  <c r="F94" i="5"/>
  <c r="H93" i="5"/>
  <c r="G93" i="5"/>
  <c r="F93" i="5"/>
  <c r="G92" i="5"/>
  <c r="F92" i="5"/>
  <c r="H92" i="5" s="1"/>
  <c r="G91" i="5"/>
  <c r="H91" i="5" s="1"/>
  <c r="F91" i="5"/>
  <c r="G90" i="5"/>
  <c r="H90" i="5" s="1"/>
  <c r="F90" i="5"/>
  <c r="G89" i="5"/>
  <c r="H89" i="5" s="1"/>
  <c r="F89" i="5"/>
  <c r="G88" i="5"/>
  <c r="H88" i="5" s="1"/>
  <c r="F88" i="5"/>
  <c r="H87" i="5"/>
  <c r="G87" i="5"/>
  <c r="F87" i="5"/>
  <c r="H86" i="5"/>
  <c r="G86" i="5"/>
  <c r="F86" i="5"/>
  <c r="G85" i="5"/>
  <c r="F85" i="5"/>
  <c r="H85" i="5" s="1"/>
  <c r="G84" i="5"/>
  <c r="F84" i="5"/>
  <c r="H84" i="5" s="1"/>
  <c r="G83" i="5"/>
  <c r="H83" i="5" s="1"/>
  <c r="F83" i="5"/>
  <c r="G82" i="5"/>
  <c r="H82" i="5" s="1"/>
  <c r="F82" i="5"/>
  <c r="G81" i="5"/>
  <c r="H81" i="5" s="1"/>
  <c r="F81" i="5"/>
  <c r="G80" i="5"/>
  <c r="H80" i="5" s="1"/>
  <c r="F80" i="5"/>
  <c r="H79" i="5"/>
  <c r="G79" i="5"/>
  <c r="F79" i="5"/>
  <c r="H78" i="5"/>
  <c r="G78" i="5"/>
  <c r="F78" i="5"/>
  <c r="G77" i="5"/>
  <c r="F77" i="5"/>
  <c r="H77" i="5" s="1"/>
  <c r="G76" i="5"/>
  <c r="F76" i="5"/>
  <c r="H76" i="5" s="1"/>
  <c r="G75" i="5"/>
  <c r="H75" i="5" s="1"/>
  <c r="F75" i="5"/>
  <c r="G74" i="5"/>
  <c r="H74" i="5" s="1"/>
  <c r="F74" i="5"/>
  <c r="G73" i="5"/>
  <c r="H73" i="5" s="1"/>
  <c r="F73" i="5"/>
  <c r="G72" i="5"/>
  <c r="H72" i="5" s="1"/>
  <c r="F72" i="5"/>
  <c r="H71" i="5"/>
  <c r="G71" i="5"/>
  <c r="F71" i="5"/>
  <c r="H70" i="5"/>
  <c r="G70" i="5"/>
  <c r="F70" i="5"/>
  <c r="H69" i="5"/>
  <c r="G69" i="5"/>
  <c r="F69" i="5"/>
  <c r="G68" i="5"/>
  <c r="F68" i="5"/>
  <c r="H68" i="5" s="1"/>
  <c r="G67" i="5"/>
  <c r="F67" i="5"/>
  <c r="G66" i="5"/>
  <c r="H66" i="5" s="1"/>
  <c r="F66" i="5"/>
  <c r="G65" i="5"/>
  <c r="H65" i="5" s="1"/>
  <c r="F65" i="5"/>
  <c r="G64" i="5"/>
  <c r="H64" i="5" s="1"/>
  <c r="F64" i="5"/>
  <c r="H63" i="5"/>
  <c r="G63" i="5"/>
  <c r="F63" i="5"/>
  <c r="H62" i="5"/>
  <c r="G62" i="5"/>
  <c r="F62" i="5"/>
  <c r="G61" i="5"/>
  <c r="F61" i="5"/>
  <c r="H61" i="5" s="1"/>
  <c r="G60" i="5"/>
  <c r="F60" i="5"/>
  <c r="H60" i="5" s="1"/>
  <c r="G59" i="5"/>
  <c r="H59" i="5" s="1"/>
  <c r="F59" i="5"/>
  <c r="G58" i="5"/>
  <c r="H58" i="5" s="1"/>
  <c r="F58" i="5"/>
  <c r="G57" i="5"/>
  <c r="H57" i="5" s="1"/>
  <c r="F57" i="5"/>
  <c r="G56" i="5"/>
  <c r="H56" i="5" s="1"/>
  <c r="F56" i="5"/>
  <c r="H55" i="5"/>
  <c r="G55" i="5"/>
  <c r="F55" i="5"/>
  <c r="H54" i="5"/>
  <c r="G54" i="5"/>
  <c r="F54" i="5"/>
  <c r="H53" i="5"/>
  <c r="G53" i="5"/>
  <c r="F53" i="5"/>
  <c r="G52" i="5"/>
  <c r="F52" i="5"/>
  <c r="H52" i="5" s="1"/>
  <c r="G51" i="5"/>
  <c r="F51" i="5"/>
  <c r="G50" i="5"/>
  <c r="H50" i="5" s="1"/>
  <c r="F50" i="5"/>
  <c r="G49" i="5"/>
  <c r="H49" i="5" s="1"/>
  <c r="F49" i="5"/>
  <c r="G48" i="5"/>
  <c r="H48" i="5" s="1"/>
  <c r="F48" i="5"/>
  <c r="H47" i="5"/>
  <c r="G47" i="5"/>
  <c r="F47" i="5"/>
  <c r="H46" i="5"/>
  <c r="G46" i="5"/>
  <c r="F46" i="5"/>
  <c r="G45" i="5"/>
  <c r="F45" i="5"/>
  <c r="H45" i="5" s="1"/>
  <c r="G44" i="5"/>
  <c r="F44" i="5"/>
  <c r="H44" i="5" s="1"/>
  <c r="G43" i="5"/>
  <c r="H43" i="5" s="1"/>
  <c r="F43" i="5"/>
  <c r="G42" i="5"/>
  <c r="H42" i="5" s="1"/>
  <c r="F42" i="5"/>
  <c r="G41" i="5"/>
  <c r="H41" i="5" s="1"/>
  <c r="F41" i="5"/>
  <c r="G40" i="5"/>
  <c r="H40" i="5" s="1"/>
  <c r="F40" i="5"/>
  <c r="H39" i="5"/>
  <c r="G39" i="5"/>
  <c r="F39" i="5"/>
  <c r="H38" i="5"/>
  <c r="G38" i="5"/>
  <c r="F38" i="5"/>
  <c r="H37" i="5"/>
  <c r="G37" i="5"/>
  <c r="F37" i="5"/>
  <c r="G36" i="5"/>
  <c r="F36" i="5"/>
  <c r="H36" i="5" s="1"/>
  <c r="G35" i="5"/>
  <c r="F35" i="5"/>
  <c r="G34" i="5"/>
  <c r="H34" i="5" s="1"/>
  <c r="F34" i="5"/>
  <c r="G33" i="5"/>
  <c r="H33" i="5" s="1"/>
  <c r="F33" i="5"/>
  <c r="G32" i="5"/>
  <c r="H32" i="5" s="1"/>
  <c r="F32" i="5"/>
  <c r="H31" i="5"/>
  <c r="G31" i="5"/>
  <c r="F31" i="5"/>
  <c r="H30" i="5"/>
  <c r="G30" i="5"/>
  <c r="F30" i="5"/>
  <c r="H29" i="5"/>
  <c r="G29" i="5"/>
  <c r="F29" i="5"/>
  <c r="G28" i="5"/>
  <c r="F28" i="5"/>
  <c r="H28" i="5" s="1"/>
  <c r="G27" i="5"/>
  <c r="H27" i="5" s="1"/>
  <c r="F27" i="5"/>
  <c r="G26" i="5"/>
  <c r="H26" i="5" s="1"/>
  <c r="F26" i="5"/>
  <c r="G25" i="5"/>
  <c r="H25" i="5" s="1"/>
  <c r="F25" i="5"/>
  <c r="G24" i="5"/>
  <c r="H24" i="5" s="1"/>
  <c r="F24" i="5"/>
  <c r="H23" i="5"/>
  <c r="G23" i="5"/>
  <c r="F23" i="5"/>
  <c r="H22" i="5"/>
  <c r="G22" i="5"/>
  <c r="F22" i="5"/>
  <c r="G21" i="5"/>
  <c r="F21" i="5"/>
  <c r="H21" i="5" s="1"/>
  <c r="G20" i="5"/>
  <c r="F20" i="5"/>
  <c r="H20" i="5" s="1"/>
  <c r="G19" i="5"/>
  <c r="H19" i="5" s="1"/>
  <c r="F19" i="5"/>
  <c r="G18" i="5"/>
  <c r="H18" i="5" s="1"/>
  <c r="F18" i="5"/>
  <c r="G17" i="5"/>
  <c r="H17" i="5" s="1"/>
  <c r="F17" i="5"/>
  <c r="G16" i="5"/>
  <c r="H16" i="5" s="1"/>
  <c r="F16" i="5"/>
  <c r="H15" i="5"/>
  <c r="G15" i="5"/>
  <c r="F15" i="5"/>
  <c r="H14" i="5"/>
  <c r="G14" i="5"/>
  <c r="F14" i="5"/>
  <c r="G13" i="5"/>
  <c r="F13" i="5"/>
  <c r="H13" i="5" s="1"/>
  <c r="G12" i="5"/>
  <c r="F12" i="5"/>
  <c r="H12" i="5" s="1"/>
  <c r="G11" i="5"/>
  <c r="H11" i="5" s="1"/>
  <c r="F11" i="5"/>
  <c r="G10" i="5"/>
  <c r="H10" i="5" s="1"/>
  <c r="F10" i="5"/>
  <c r="G9" i="5"/>
  <c r="H9" i="5" s="1"/>
  <c r="F9" i="5"/>
  <c r="G8" i="5"/>
  <c r="H8" i="5" s="1"/>
  <c r="F8" i="5"/>
  <c r="H7" i="5"/>
  <c r="G7" i="5"/>
  <c r="F7" i="5"/>
  <c r="H6" i="5"/>
  <c r="G6" i="5"/>
  <c r="F6" i="5"/>
  <c r="H5" i="5"/>
  <c r="G5" i="5"/>
  <c r="F5" i="5"/>
  <c r="G4" i="5"/>
  <c r="F4" i="5"/>
  <c r="H4" i="5" s="1"/>
  <c r="G3" i="5"/>
  <c r="F3" i="5"/>
  <c r="G2" i="5"/>
  <c r="H2" i="5" s="1"/>
  <c r="F2" i="5"/>
  <c r="G720" i="3"/>
  <c r="H720" i="3" s="1"/>
  <c r="F720" i="3"/>
  <c r="G719" i="3"/>
  <c r="H719" i="3" s="1"/>
  <c r="F719" i="3"/>
  <c r="H718" i="3"/>
  <c r="G718" i="3"/>
  <c r="F718" i="3"/>
  <c r="H717" i="3"/>
  <c r="G717" i="3"/>
  <c r="F717" i="3"/>
  <c r="G716" i="3"/>
  <c r="F716" i="3"/>
  <c r="H716" i="3" s="1"/>
  <c r="G715" i="3"/>
  <c r="F715" i="3"/>
  <c r="H715" i="3" s="1"/>
  <c r="G714" i="3"/>
  <c r="H714" i="3" s="1"/>
  <c r="F714" i="3"/>
  <c r="G713" i="3"/>
  <c r="H713" i="3" s="1"/>
  <c r="F713" i="3"/>
  <c r="G712" i="3"/>
  <c r="H712" i="3" s="1"/>
  <c r="F712" i="3"/>
  <c r="G711" i="3"/>
  <c r="H711" i="3" s="1"/>
  <c r="F711" i="3"/>
  <c r="H710" i="3"/>
  <c r="G710" i="3"/>
  <c r="F710" i="3"/>
  <c r="H709" i="3"/>
  <c r="G709" i="3"/>
  <c r="F709" i="3"/>
  <c r="H708" i="3"/>
  <c r="G708" i="3"/>
  <c r="F708" i="3"/>
  <c r="G707" i="3"/>
  <c r="F707" i="3"/>
  <c r="H707" i="3" s="1"/>
  <c r="G706" i="3"/>
  <c r="F706" i="3"/>
  <c r="G705" i="3"/>
  <c r="H705" i="3" s="1"/>
  <c r="F705" i="3"/>
  <c r="G704" i="3"/>
  <c r="H704" i="3" s="1"/>
  <c r="F704" i="3"/>
  <c r="G703" i="3"/>
  <c r="H703" i="3" s="1"/>
  <c r="F703" i="3"/>
  <c r="H702" i="3"/>
  <c r="G702" i="3"/>
  <c r="F702" i="3"/>
  <c r="H701" i="3"/>
  <c r="G701" i="3"/>
  <c r="F701" i="3"/>
  <c r="H700" i="3"/>
  <c r="G700" i="3"/>
  <c r="F700" i="3"/>
  <c r="G699" i="3"/>
  <c r="F699" i="3"/>
  <c r="H699" i="3" s="1"/>
  <c r="G698" i="3"/>
  <c r="H698" i="3" s="1"/>
  <c r="F698" i="3"/>
  <c r="G697" i="3"/>
  <c r="H697" i="3" s="1"/>
  <c r="F697" i="3"/>
  <c r="G696" i="3"/>
  <c r="H696" i="3" s="1"/>
  <c r="F696" i="3"/>
  <c r="G695" i="3"/>
  <c r="H695" i="3" s="1"/>
  <c r="F695" i="3"/>
  <c r="H694" i="3"/>
  <c r="G694" i="3"/>
  <c r="F694" i="3"/>
  <c r="H693" i="3"/>
  <c r="G693" i="3"/>
  <c r="F693" i="3"/>
  <c r="H692" i="3"/>
  <c r="G692" i="3"/>
  <c r="F692" i="3"/>
  <c r="G691" i="3"/>
  <c r="F691" i="3"/>
  <c r="H691" i="3" s="1"/>
  <c r="G690" i="3"/>
  <c r="F690" i="3"/>
  <c r="G689" i="3"/>
  <c r="H689" i="3" s="1"/>
  <c r="F689" i="3"/>
  <c r="G688" i="3"/>
  <c r="H688" i="3" s="1"/>
  <c r="F688" i="3"/>
  <c r="G687" i="3"/>
  <c r="H687" i="3" s="1"/>
  <c r="F687" i="3"/>
  <c r="H686" i="3"/>
  <c r="G686" i="3"/>
  <c r="F686" i="3"/>
  <c r="H685" i="3"/>
  <c r="G685" i="3"/>
  <c r="F685" i="3"/>
  <c r="H684" i="3"/>
  <c r="G684" i="3"/>
  <c r="F684" i="3"/>
  <c r="G683" i="3"/>
  <c r="F683" i="3"/>
  <c r="H683" i="3" s="1"/>
  <c r="G682" i="3"/>
  <c r="H682" i="3" s="1"/>
  <c r="F682" i="3"/>
  <c r="G681" i="3"/>
  <c r="H681" i="3" s="1"/>
  <c r="F681" i="3"/>
  <c r="G680" i="3"/>
  <c r="H680" i="3" s="1"/>
  <c r="F680" i="3"/>
  <c r="G679" i="3"/>
  <c r="H679" i="3" s="1"/>
  <c r="F679" i="3"/>
  <c r="H678" i="3"/>
  <c r="G678" i="3"/>
  <c r="F678" i="3"/>
  <c r="H677" i="3"/>
  <c r="G677" i="3"/>
  <c r="F677" i="3"/>
  <c r="G676" i="3"/>
  <c r="F676" i="3"/>
  <c r="H676" i="3" s="1"/>
  <c r="G675" i="3"/>
  <c r="F675" i="3"/>
  <c r="H675" i="3" s="1"/>
  <c r="G674" i="3"/>
  <c r="F674" i="3"/>
  <c r="G673" i="3"/>
  <c r="H673" i="3" s="1"/>
  <c r="F673" i="3"/>
  <c r="G672" i="3"/>
  <c r="H672" i="3" s="1"/>
  <c r="F672" i="3"/>
  <c r="G671" i="3"/>
  <c r="H671" i="3" s="1"/>
  <c r="F671" i="3"/>
  <c r="H670" i="3"/>
  <c r="G670" i="3"/>
  <c r="F670" i="3"/>
  <c r="H669" i="3"/>
  <c r="G669" i="3"/>
  <c r="F669" i="3"/>
  <c r="G668" i="3"/>
  <c r="F668" i="3"/>
  <c r="H668" i="3" s="1"/>
  <c r="G667" i="3"/>
  <c r="F667" i="3"/>
  <c r="H667" i="3" s="1"/>
  <c r="G666" i="3"/>
  <c r="H666" i="3" s="1"/>
  <c r="F666" i="3"/>
  <c r="G665" i="3"/>
  <c r="H665" i="3" s="1"/>
  <c r="F665" i="3"/>
  <c r="G664" i="3"/>
  <c r="H664" i="3" s="1"/>
  <c r="F664" i="3"/>
  <c r="G663" i="3"/>
  <c r="H663" i="3" s="1"/>
  <c r="F663" i="3"/>
  <c r="H662" i="3"/>
  <c r="G662" i="3"/>
  <c r="F662" i="3"/>
  <c r="H661" i="3"/>
  <c r="G661" i="3"/>
  <c r="F661" i="3"/>
  <c r="H660" i="3"/>
  <c r="G660" i="3"/>
  <c r="F660" i="3"/>
  <c r="G659" i="3"/>
  <c r="F659" i="3"/>
  <c r="H659" i="3" s="1"/>
  <c r="G658" i="3"/>
  <c r="F658" i="3"/>
  <c r="G657" i="3"/>
  <c r="H657" i="3" s="1"/>
  <c r="F657" i="3"/>
  <c r="G656" i="3"/>
  <c r="H656" i="3" s="1"/>
  <c r="F656" i="3"/>
  <c r="G655" i="3"/>
  <c r="H655" i="3" s="1"/>
  <c r="F655" i="3"/>
  <c r="H654" i="3"/>
  <c r="G654" i="3"/>
  <c r="F654" i="3"/>
  <c r="H653" i="3"/>
  <c r="G653" i="3"/>
  <c r="F653" i="3"/>
  <c r="G652" i="3"/>
  <c r="F652" i="3"/>
  <c r="H652" i="3" s="1"/>
  <c r="G651" i="3"/>
  <c r="F651" i="3"/>
  <c r="H651" i="3" s="1"/>
  <c r="G650" i="3"/>
  <c r="H650" i="3" s="1"/>
  <c r="F650" i="3"/>
  <c r="G649" i="3"/>
  <c r="H649" i="3" s="1"/>
  <c r="F649" i="3"/>
  <c r="G648" i="3"/>
  <c r="H648" i="3" s="1"/>
  <c r="F648" i="3"/>
  <c r="G647" i="3"/>
  <c r="H647" i="3" s="1"/>
  <c r="F647" i="3"/>
  <c r="H646" i="3"/>
  <c r="G646" i="3"/>
  <c r="F646" i="3"/>
  <c r="H645" i="3"/>
  <c r="G645" i="3"/>
  <c r="F645" i="3"/>
  <c r="H644" i="3"/>
  <c r="G644" i="3"/>
  <c r="F644" i="3"/>
  <c r="G643" i="3"/>
  <c r="F643" i="3"/>
  <c r="H643" i="3" s="1"/>
  <c r="G642" i="3"/>
  <c r="F642" i="3"/>
  <c r="G641" i="3"/>
  <c r="H641" i="3" s="1"/>
  <c r="F641" i="3"/>
  <c r="G640" i="3"/>
  <c r="H640" i="3" s="1"/>
  <c r="F640" i="3"/>
  <c r="G639" i="3"/>
  <c r="H639" i="3" s="1"/>
  <c r="F639" i="3"/>
  <c r="H638" i="3"/>
  <c r="G638" i="3"/>
  <c r="F638" i="3"/>
  <c r="H637" i="3"/>
  <c r="G637" i="3"/>
  <c r="F637" i="3"/>
  <c r="G636" i="3"/>
  <c r="F636" i="3"/>
  <c r="H636" i="3" s="1"/>
  <c r="G635" i="3"/>
  <c r="F635" i="3"/>
  <c r="H635" i="3" s="1"/>
  <c r="G634" i="3"/>
  <c r="H634" i="3" s="1"/>
  <c r="F634" i="3"/>
  <c r="G633" i="3"/>
  <c r="H633" i="3" s="1"/>
  <c r="F633" i="3"/>
  <c r="G632" i="3"/>
  <c r="H632" i="3" s="1"/>
  <c r="F632" i="3"/>
  <c r="G631" i="3"/>
  <c r="H631" i="3" s="1"/>
  <c r="F631" i="3"/>
  <c r="H630" i="3"/>
  <c r="G630" i="3"/>
  <c r="F630" i="3"/>
  <c r="H629" i="3"/>
  <c r="G629" i="3"/>
  <c r="F629" i="3"/>
  <c r="G628" i="3"/>
  <c r="F628" i="3"/>
  <c r="H628" i="3" s="1"/>
  <c r="G627" i="3"/>
  <c r="F627" i="3"/>
  <c r="H627" i="3" s="1"/>
  <c r="G626" i="3"/>
  <c r="F626" i="3"/>
  <c r="G625" i="3"/>
  <c r="H625" i="3" s="1"/>
  <c r="F625" i="3"/>
  <c r="G624" i="3"/>
  <c r="H624" i="3" s="1"/>
  <c r="F624" i="3"/>
  <c r="G623" i="3"/>
  <c r="H623" i="3" s="1"/>
  <c r="F623" i="3"/>
  <c r="H622" i="3"/>
  <c r="G622" i="3"/>
  <c r="F622" i="3"/>
  <c r="H621" i="3"/>
  <c r="G621" i="3"/>
  <c r="F621" i="3"/>
  <c r="H620" i="3"/>
  <c r="G620" i="3"/>
  <c r="F620" i="3"/>
  <c r="G619" i="3"/>
  <c r="F619" i="3"/>
  <c r="H619" i="3" s="1"/>
  <c r="G618" i="3"/>
  <c r="H618" i="3" s="1"/>
  <c r="F618" i="3"/>
  <c r="G617" i="3"/>
  <c r="H617" i="3" s="1"/>
  <c r="F617" i="3"/>
  <c r="G616" i="3"/>
  <c r="H616" i="3" s="1"/>
  <c r="F616" i="3"/>
  <c r="G615" i="3"/>
  <c r="H615" i="3" s="1"/>
  <c r="F615" i="3"/>
  <c r="H614" i="3"/>
  <c r="G614" i="3"/>
  <c r="F614" i="3"/>
  <c r="H613" i="3"/>
  <c r="G613" i="3"/>
  <c r="F613" i="3"/>
  <c r="G612" i="3"/>
  <c r="F612" i="3"/>
  <c r="H612" i="3" s="1"/>
  <c r="G611" i="3"/>
  <c r="F611" i="3"/>
  <c r="H611" i="3" s="1"/>
  <c r="G610" i="3"/>
  <c r="H610" i="3" s="1"/>
  <c r="F610" i="3"/>
  <c r="G609" i="3"/>
  <c r="H609" i="3" s="1"/>
  <c r="F609" i="3"/>
  <c r="G608" i="3"/>
  <c r="H608" i="3" s="1"/>
  <c r="F608" i="3"/>
  <c r="G607" i="3"/>
  <c r="H607" i="3" s="1"/>
  <c r="F607" i="3"/>
  <c r="H606" i="3"/>
  <c r="G606" i="3"/>
  <c r="F606" i="3"/>
  <c r="H605" i="3"/>
  <c r="G605" i="3"/>
  <c r="F605" i="3"/>
  <c r="G604" i="3"/>
  <c r="F604" i="3"/>
  <c r="H604" i="3" s="1"/>
  <c r="G603" i="3"/>
  <c r="F603" i="3"/>
  <c r="H603" i="3" s="1"/>
  <c r="G602" i="3"/>
  <c r="H602" i="3" s="1"/>
  <c r="F602" i="3"/>
  <c r="G601" i="3"/>
  <c r="H601" i="3" s="1"/>
  <c r="F601" i="3"/>
  <c r="G600" i="3"/>
  <c r="H600" i="3" s="1"/>
  <c r="F600" i="3"/>
  <c r="G599" i="3"/>
  <c r="H599" i="3" s="1"/>
  <c r="F599" i="3"/>
  <c r="H598" i="3"/>
  <c r="G598" i="3"/>
  <c r="F598" i="3"/>
  <c r="H597" i="3"/>
  <c r="G597" i="3"/>
  <c r="F597" i="3"/>
  <c r="H596" i="3"/>
  <c r="G596" i="3"/>
  <c r="F596" i="3"/>
  <c r="G595" i="3"/>
  <c r="F595" i="3"/>
  <c r="H595" i="3" s="1"/>
  <c r="G594" i="3"/>
  <c r="F594" i="3"/>
  <c r="G593" i="3"/>
  <c r="H593" i="3" s="1"/>
  <c r="F593" i="3"/>
  <c r="G592" i="3"/>
  <c r="H592" i="3" s="1"/>
  <c r="F592" i="3"/>
  <c r="G591" i="3"/>
  <c r="H591" i="3" s="1"/>
  <c r="F591" i="3"/>
  <c r="H590" i="3"/>
  <c r="G590" i="3"/>
  <c r="F590" i="3"/>
  <c r="H589" i="3"/>
  <c r="G589" i="3"/>
  <c r="F589" i="3"/>
  <c r="G588" i="3"/>
  <c r="F588" i="3"/>
  <c r="H588" i="3" s="1"/>
  <c r="G587" i="3"/>
  <c r="F587" i="3"/>
  <c r="H587" i="3" s="1"/>
  <c r="G586" i="3"/>
  <c r="H586" i="3" s="1"/>
  <c r="F586" i="3"/>
  <c r="G585" i="3"/>
  <c r="H585" i="3" s="1"/>
  <c r="F585" i="3"/>
  <c r="G584" i="3"/>
  <c r="H584" i="3" s="1"/>
  <c r="F584" i="3"/>
  <c r="G583" i="3"/>
  <c r="H583" i="3" s="1"/>
  <c r="F583" i="3"/>
  <c r="H582" i="3"/>
  <c r="G582" i="3"/>
  <c r="F582" i="3"/>
  <c r="H581" i="3"/>
  <c r="G581" i="3"/>
  <c r="F581" i="3"/>
  <c r="H580" i="3"/>
  <c r="G580" i="3"/>
  <c r="F580" i="3"/>
  <c r="G579" i="3"/>
  <c r="F579" i="3"/>
  <c r="H579" i="3" s="1"/>
  <c r="G578" i="3"/>
  <c r="F578" i="3"/>
  <c r="G577" i="3"/>
  <c r="H577" i="3" s="1"/>
  <c r="F577" i="3"/>
  <c r="G576" i="3"/>
  <c r="H576" i="3" s="1"/>
  <c r="F576" i="3"/>
  <c r="G575" i="3"/>
  <c r="H575" i="3" s="1"/>
  <c r="F575" i="3"/>
  <c r="H574" i="3"/>
  <c r="G574" i="3"/>
  <c r="F574" i="3"/>
  <c r="H573" i="3"/>
  <c r="G573" i="3"/>
  <c r="F573" i="3"/>
  <c r="G572" i="3"/>
  <c r="F572" i="3"/>
  <c r="H572" i="3" s="1"/>
  <c r="G571" i="3"/>
  <c r="F571" i="3"/>
  <c r="H571" i="3" s="1"/>
  <c r="G570" i="3"/>
  <c r="H570" i="3" s="1"/>
  <c r="F570" i="3"/>
  <c r="G569" i="3"/>
  <c r="H569" i="3" s="1"/>
  <c r="F569" i="3"/>
  <c r="G568" i="3"/>
  <c r="H568" i="3" s="1"/>
  <c r="F568" i="3"/>
  <c r="G567" i="3"/>
  <c r="H567" i="3" s="1"/>
  <c r="F567" i="3"/>
  <c r="H566" i="3"/>
  <c r="G566" i="3"/>
  <c r="F566" i="3"/>
  <c r="H565" i="3"/>
  <c r="G565" i="3"/>
  <c r="F565" i="3"/>
  <c r="H564" i="3"/>
  <c r="G564" i="3"/>
  <c r="F564" i="3"/>
  <c r="G563" i="3"/>
  <c r="F563" i="3"/>
  <c r="H563" i="3" s="1"/>
  <c r="G562" i="3"/>
  <c r="F562" i="3"/>
  <c r="G561" i="3"/>
  <c r="H561" i="3" s="1"/>
  <c r="F561" i="3"/>
  <c r="G560" i="3"/>
  <c r="H560" i="3" s="1"/>
  <c r="F560" i="3"/>
  <c r="G559" i="3"/>
  <c r="H559" i="3" s="1"/>
  <c r="F559" i="3"/>
  <c r="H558" i="3"/>
  <c r="G558" i="3"/>
  <c r="F558" i="3"/>
  <c r="H557" i="3"/>
  <c r="G557" i="3"/>
  <c r="F557" i="3"/>
  <c r="H556" i="3"/>
  <c r="G556" i="3"/>
  <c r="F556" i="3"/>
  <c r="G555" i="3"/>
  <c r="H555" i="3" s="1"/>
  <c r="F555" i="3"/>
  <c r="G554" i="3"/>
  <c r="H554" i="3" s="1"/>
  <c r="F554" i="3"/>
  <c r="G553" i="3"/>
  <c r="H553" i="3" s="1"/>
  <c r="F553" i="3"/>
  <c r="G552" i="3"/>
  <c r="H552" i="3" s="1"/>
  <c r="F552" i="3"/>
  <c r="G551" i="3"/>
  <c r="H551" i="3" s="1"/>
  <c r="F551" i="3"/>
  <c r="H550" i="3"/>
  <c r="G550" i="3"/>
  <c r="F550" i="3"/>
  <c r="H549" i="3"/>
  <c r="G549" i="3"/>
  <c r="F549" i="3"/>
  <c r="G548" i="3"/>
  <c r="F548" i="3"/>
  <c r="H548" i="3" s="1"/>
  <c r="G547" i="3"/>
  <c r="F547" i="3"/>
  <c r="G546" i="3"/>
  <c r="H546" i="3" s="1"/>
  <c r="F546" i="3"/>
  <c r="G545" i="3"/>
  <c r="H545" i="3" s="1"/>
  <c r="F545" i="3"/>
  <c r="G544" i="3"/>
  <c r="H544" i="3" s="1"/>
  <c r="F544" i="3"/>
  <c r="G543" i="3"/>
  <c r="H543" i="3" s="1"/>
  <c r="F543" i="3"/>
  <c r="H542" i="3"/>
  <c r="G542" i="3"/>
  <c r="F542" i="3"/>
  <c r="H541" i="3"/>
  <c r="G541" i="3"/>
  <c r="F541" i="3"/>
  <c r="G540" i="3"/>
  <c r="F540" i="3"/>
  <c r="H540" i="3" s="1"/>
  <c r="G539" i="3"/>
  <c r="H539" i="3" s="1"/>
  <c r="F539" i="3"/>
  <c r="G538" i="3"/>
  <c r="H538" i="3" s="1"/>
  <c r="F538" i="3"/>
  <c r="G537" i="3"/>
  <c r="H537" i="3" s="1"/>
  <c r="F537" i="3"/>
  <c r="G536" i="3"/>
  <c r="H536" i="3" s="1"/>
  <c r="F536" i="3"/>
  <c r="G535" i="3"/>
  <c r="H535" i="3" s="1"/>
  <c r="F535" i="3"/>
  <c r="H534" i="3"/>
  <c r="G534" i="3"/>
  <c r="F534" i="3"/>
  <c r="H533" i="3"/>
  <c r="G533" i="3"/>
  <c r="F533" i="3"/>
  <c r="H532" i="3"/>
  <c r="G532" i="3"/>
  <c r="F532" i="3"/>
  <c r="G531" i="3"/>
  <c r="F531" i="3"/>
  <c r="G530" i="3"/>
  <c r="F530" i="3"/>
  <c r="G529" i="3"/>
  <c r="H529" i="3" s="1"/>
  <c r="F529" i="3"/>
  <c r="G528" i="3"/>
  <c r="H528" i="3" s="1"/>
  <c r="F528" i="3"/>
  <c r="G527" i="3"/>
  <c r="H527" i="3" s="1"/>
  <c r="F527" i="3"/>
  <c r="H526" i="3"/>
  <c r="G526" i="3"/>
  <c r="F526" i="3"/>
  <c r="H525" i="3"/>
  <c r="G525" i="3"/>
  <c r="F525" i="3"/>
  <c r="G524" i="3"/>
  <c r="F524" i="3"/>
  <c r="H524" i="3" s="1"/>
  <c r="G523" i="3"/>
  <c r="H523" i="3" s="1"/>
  <c r="F523" i="3"/>
  <c r="G522" i="3"/>
  <c r="H522" i="3" s="1"/>
  <c r="F522" i="3"/>
  <c r="G521" i="3"/>
  <c r="H521" i="3" s="1"/>
  <c r="F521" i="3"/>
  <c r="G520" i="3"/>
  <c r="H520" i="3" s="1"/>
  <c r="F520" i="3"/>
  <c r="G519" i="3"/>
  <c r="H519" i="3" s="1"/>
  <c r="F519" i="3"/>
  <c r="H518" i="3"/>
  <c r="G518" i="3"/>
  <c r="F518" i="3"/>
  <c r="H517" i="3"/>
  <c r="G517" i="3"/>
  <c r="F517" i="3"/>
  <c r="H516" i="3"/>
  <c r="G516" i="3"/>
  <c r="F516" i="3"/>
  <c r="G515" i="3"/>
  <c r="F515" i="3"/>
  <c r="G514" i="3"/>
  <c r="F514" i="3"/>
  <c r="G513" i="3"/>
  <c r="H513" i="3" s="1"/>
  <c r="F513" i="3"/>
  <c r="G512" i="3"/>
  <c r="H512" i="3" s="1"/>
  <c r="F512" i="3"/>
  <c r="G511" i="3"/>
  <c r="H511" i="3" s="1"/>
  <c r="F511" i="3"/>
  <c r="H510" i="3"/>
  <c r="G510" i="3"/>
  <c r="F510" i="3"/>
  <c r="H509" i="3"/>
  <c r="G509" i="3"/>
  <c r="F509" i="3"/>
  <c r="G508" i="3"/>
  <c r="F508" i="3"/>
  <c r="H508" i="3" s="1"/>
  <c r="G507" i="3"/>
  <c r="H507" i="3" s="1"/>
  <c r="F507" i="3"/>
  <c r="G506" i="3"/>
  <c r="H506" i="3" s="1"/>
  <c r="F506" i="3"/>
  <c r="G505" i="3"/>
  <c r="H505" i="3" s="1"/>
  <c r="F505" i="3"/>
  <c r="G504" i="3"/>
  <c r="H504" i="3" s="1"/>
  <c r="F504" i="3"/>
  <c r="G503" i="3"/>
  <c r="H503" i="3" s="1"/>
  <c r="F503" i="3"/>
  <c r="H502" i="3"/>
  <c r="G502" i="3"/>
  <c r="F502" i="3"/>
  <c r="H501" i="3"/>
  <c r="G501" i="3"/>
  <c r="F501" i="3"/>
  <c r="G500" i="3"/>
  <c r="F500" i="3"/>
  <c r="H500" i="3" s="1"/>
  <c r="G499" i="3"/>
  <c r="H499" i="3" s="1"/>
  <c r="F499" i="3"/>
  <c r="G498" i="3"/>
  <c r="F498" i="3"/>
  <c r="G497" i="3"/>
  <c r="H497" i="3" s="1"/>
  <c r="F497" i="3"/>
  <c r="G496" i="3"/>
  <c r="H496" i="3" s="1"/>
  <c r="F496" i="3"/>
  <c r="G495" i="3"/>
  <c r="H495" i="3" s="1"/>
  <c r="F495" i="3"/>
  <c r="H494" i="3"/>
  <c r="G494" i="3"/>
  <c r="F494" i="3"/>
  <c r="H493" i="3"/>
  <c r="G493" i="3"/>
  <c r="F493" i="3"/>
  <c r="H492" i="3"/>
  <c r="G492" i="3"/>
  <c r="F492" i="3"/>
  <c r="G491" i="3"/>
  <c r="H491" i="3" s="1"/>
  <c r="F491" i="3"/>
  <c r="G490" i="3"/>
  <c r="H490" i="3" s="1"/>
  <c r="F490" i="3"/>
  <c r="G489" i="3"/>
  <c r="H489" i="3" s="1"/>
  <c r="F489" i="3"/>
  <c r="G488" i="3"/>
  <c r="H488" i="3" s="1"/>
  <c r="F488" i="3"/>
  <c r="G487" i="3"/>
  <c r="H487" i="3" s="1"/>
  <c r="F487" i="3"/>
  <c r="H486" i="3"/>
  <c r="G486" i="3"/>
  <c r="F486" i="3"/>
  <c r="H485" i="3"/>
  <c r="G485" i="3"/>
  <c r="F485" i="3"/>
  <c r="G484" i="3"/>
  <c r="F484" i="3"/>
  <c r="H484" i="3" s="1"/>
  <c r="G483" i="3"/>
  <c r="F483" i="3"/>
  <c r="G482" i="3"/>
  <c r="H482" i="3" s="1"/>
  <c r="F482" i="3"/>
  <c r="G481" i="3"/>
  <c r="H481" i="3" s="1"/>
  <c r="F481" i="3"/>
  <c r="G480" i="3"/>
  <c r="H480" i="3" s="1"/>
  <c r="F480" i="3"/>
  <c r="G479" i="3"/>
  <c r="H479" i="3" s="1"/>
  <c r="F479" i="3"/>
  <c r="H478" i="3"/>
  <c r="G478" i="3"/>
  <c r="F478" i="3"/>
  <c r="H477" i="3"/>
  <c r="G477" i="3"/>
  <c r="F477" i="3"/>
  <c r="G476" i="3"/>
  <c r="F476" i="3"/>
  <c r="H476" i="3" s="1"/>
  <c r="G475" i="3"/>
  <c r="H475" i="3" s="1"/>
  <c r="F475" i="3"/>
  <c r="G474" i="3"/>
  <c r="H474" i="3" s="1"/>
  <c r="F474" i="3"/>
  <c r="G473" i="3"/>
  <c r="H473" i="3" s="1"/>
  <c r="F473" i="3"/>
  <c r="G472" i="3"/>
  <c r="H472" i="3" s="1"/>
  <c r="F472" i="3"/>
  <c r="G471" i="3"/>
  <c r="H471" i="3" s="1"/>
  <c r="F471" i="3"/>
  <c r="H470" i="3"/>
  <c r="G470" i="3"/>
  <c r="F470" i="3"/>
  <c r="H469" i="3"/>
  <c r="G469" i="3"/>
  <c r="F469" i="3"/>
  <c r="H468" i="3"/>
  <c r="G468" i="3"/>
  <c r="F468" i="3"/>
  <c r="G467" i="3"/>
  <c r="F467" i="3"/>
  <c r="G466" i="3"/>
  <c r="F466" i="3"/>
  <c r="H466" i="3" s="1"/>
  <c r="G465" i="3"/>
  <c r="H465" i="3" s="1"/>
  <c r="F465" i="3"/>
  <c r="G464" i="3"/>
  <c r="H464" i="3" s="1"/>
  <c r="F464" i="3"/>
  <c r="G463" i="3"/>
  <c r="H463" i="3" s="1"/>
  <c r="F463" i="3"/>
  <c r="H462" i="3"/>
  <c r="G462" i="3"/>
  <c r="F462" i="3"/>
  <c r="H461" i="3"/>
  <c r="G461" i="3"/>
  <c r="F461" i="3"/>
  <c r="G460" i="3"/>
  <c r="F460" i="3"/>
  <c r="H460" i="3" s="1"/>
  <c r="G459" i="3"/>
  <c r="H459" i="3" s="1"/>
  <c r="F459" i="3"/>
  <c r="G458" i="3"/>
  <c r="H458" i="3" s="1"/>
  <c r="F458" i="3"/>
  <c r="G457" i="3"/>
  <c r="H457" i="3" s="1"/>
  <c r="F457" i="3"/>
  <c r="G456" i="3"/>
  <c r="H456" i="3" s="1"/>
  <c r="F456" i="3"/>
  <c r="G455" i="3"/>
  <c r="H455" i="3" s="1"/>
  <c r="F455" i="3"/>
  <c r="H454" i="3"/>
  <c r="G454" i="3"/>
  <c r="F454" i="3"/>
  <c r="H453" i="3"/>
  <c r="G453" i="3"/>
  <c r="F453" i="3"/>
  <c r="H452" i="3"/>
  <c r="G452" i="3"/>
  <c r="F452" i="3"/>
  <c r="G451" i="3"/>
  <c r="F451" i="3"/>
  <c r="H451" i="3" s="1"/>
  <c r="G450" i="3"/>
  <c r="F450" i="3"/>
  <c r="G449" i="3"/>
  <c r="H449" i="3" s="1"/>
  <c r="F449" i="3"/>
  <c r="G448" i="3"/>
  <c r="H448" i="3" s="1"/>
  <c r="F448" i="3"/>
  <c r="G447" i="3"/>
  <c r="H447" i="3" s="1"/>
  <c r="F447" i="3"/>
  <c r="H446" i="3"/>
  <c r="G446" i="3"/>
  <c r="F446" i="3"/>
  <c r="H445" i="3"/>
  <c r="G445" i="3"/>
  <c r="F445" i="3"/>
  <c r="G444" i="3"/>
  <c r="F444" i="3"/>
  <c r="H444" i="3" s="1"/>
  <c r="G443" i="3"/>
  <c r="H443" i="3" s="1"/>
  <c r="F443" i="3"/>
  <c r="G442" i="3"/>
  <c r="H442" i="3" s="1"/>
  <c r="F442" i="3"/>
  <c r="G441" i="3"/>
  <c r="H441" i="3" s="1"/>
  <c r="F441" i="3"/>
  <c r="G440" i="3"/>
  <c r="H440" i="3" s="1"/>
  <c r="F440" i="3"/>
  <c r="G439" i="3"/>
  <c r="H439" i="3" s="1"/>
  <c r="F439" i="3"/>
  <c r="H438" i="3"/>
  <c r="G438" i="3"/>
  <c r="F438" i="3"/>
  <c r="H437" i="3"/>
  <c r="G437" i="3"/>
  <c r="F437" i="3"/>
  <c r="H436" i="3"/>
  <c r="G436" i="3"/>
  <c r="F436" i="3"/>
  <c r="G435" i="3"/>
  <c r="H435" i="3" s="1"/>
  <c r="F435" i="3"/>
  <c r="G434" i="3"/>
  <c r="F434" i="3"/>
  <c r="G433" i="3"/>
  <c r="H433" i="3" s="1"/>
  <c r="F433" i="3"/>
  <c r="G432" i="3"/>
  <c r="H432" i="3" s="1"/>
  <c r="F432" i="3"/>
  <c r="G431" i="3"/>
  <c r="H431" i="3" s="1"/>
  <c r="F431" i="3"/>
  <c r="H430" i="3"/>
  <c r="G430" i="3"/>
  <c r="F430" i="3"/>
  <c r="H429" i="3"/>
  <c r="G429" i="3"/>
  <c r="F429" i="3"/>
  <c r="H428" i="3"/>
  <c r="G428" i="3"/>
  <c r="F428" i="3"/>
  <c r="G427" i="3"/>
  <c r="H427" i="3" s="1"/>
  <c r="F427" i="3"/>
  <c r="G426" i="3"/>
  <c r="H426" i="3" s="1"/>
  <c r="F426" i="3"/>
  <c r="G425" i="3"/>
  <c r="H425" i="3" s="1"/>
  <c r="F425" i="3"/>
  <c r="G424" i="3"/>
  <c r="H424" i="3" s="1"/>
  <c r="F424" i="3"/>
  <c r="G423" i="3"/>
  <c r="H423" i="3" s="1"/>
  <c r="F423" i="3"/>
  <c r="H422" i="3"/>
  <c r="G422" i="3"/>
  <c r="F422" i="3"/>
  <c r="H421" i="3"/>
  <c r="G421" i="3"/>
  <c r="F421" i="3"/>
  <c r="G420" i="3"/>
  <c r="F420" i="3"/>
  <c r="H420" i="3" s="1"/>
  <c r="G419" i="3"/>
  <c r="F419" i="3"/>
  <c r="G418" i="3"/>
  <c r="H418" i="3" s="1"/>
  <c r="F418" i="3"/>
  <c r="G417" i="3"/>
  <c r="H417" i="3" s="1"/>
  <c r="F417" i="3"/>
  <c r="G416" i="3"/>
  <c r="H416" i="3" s="1"/>
  <c r="F416" i="3"/>
  <c r="G415" i="3"/>
  <c r="H415" i="3" s="1"/>
  <c r="F415" i="3"/>
  <c r="H414" i="3"/>
  <c r="G414" i="3"/>
  <c r="F414" i="3"/>
  <c r="H413" i="3"/>
  <c r="G413" i="3"/>
  <c r="F413" i="3"/>
  <c r="G412" i="3"/>
  <c r="F412" i="3"/>
  <c r="H412" i="3" s="1"/>
  <c r="G411" i="3"/>
  <c r="H411" i="3" s="1"/>
  <c r="F411" i="3"/>
  <c r="G410" i="3"/>
  <c r="H410" i="3" s="1"/>
  <c r="F410" i="3"/>
  <c r="G409" i="3"/>
  <c r="H409" i="3" s="1"/>
  <c r="F409" i="3"/>
  <c r="G408" i="3"/>
  <c r="H408" i="3" s="1"/>
  <c r="F408" i="3"/>
  <c r="G407" i="3"/>
  <c r="H407" i="3" s="1"/>
  <c r="F407" i="3"/>
  <c r="H406" i="3"/>
  <c r="G406" i="3"/>
  <c r="F406" i="3"/>
  <c r="H405" i="3"/>
  <c r="G405" i="3"/>
  <c r="F405" i="3"/>
  <c r="H404" i="3"/>
  <c r="G404" i="3"/>
  <c r="F404" i="3"/>
  <c r="G403" i="3"/>
  <c r="F403" i="3"/>
  <c r="G402" i="3"/>
  <c r="F402" i="3"/>
  <c r="G401" i="3"/>
  <c r="H401" i="3" s="1"/>
  <c r="F401" i="3"/>
  <c r="G400" i="3"/>
  <c r="H400" i="3" s="1"/>
  <c r="F400" i="3"/>
  <c r="G399" i="3"/>
  <c r="H399" i="3" s="1"/>
  <c r="F399" i="3"/>
  <c r="H398" i="3"/>
  <c r="G398" i="3"/>
  <c r="F398" i="3"/>
  <c r="H397" i="3"/>
  <c r="G397" i="3"/>
  <c r="F397" i="3"/>
  <c r="G396" i="3"/>
  <c r="F396" i="3"/>
  <c r="H396" i="3" s="1"/>
  <c r="G395" i="3"/>
  <c r="H395" i="3" s="1"/>
  <c r="F395" i="3"/>
  <c r="G394" i="3"/>
  <c r="H394" i="3" s="1"/>
  <c r="F394" i="3"/>
  <c r="G393" i="3"/>
  <c r="H393" i="3" s="1"/>
  <c r="F393" i="3"/>
  <c r="G392" i="3"/>
  <c r="H392" i="3" s="1"/>
  <c r="F392" i="3"/>
  <c r="G391" i="3"/>
  <c r="H391" i="3" s="1"/>
  <c r="F391" i="3"/>
  <c r="H390" i="3"/>
  <c r="G390" i="3"/>
  <c r="F390" i="3"/>
  <c r="H389" i="3"/>
  <c r="G389" i="3"/>
  <c r="F389" i="3"/>
  <c r="H388" i="3"/>
  <c r="G388" i="3"/>
  <c r="F388" i="3"/>
  <c r="G387" i="3"/>
  <c r="F387" i="3"/>
  <c r="G386" i="3"/>
  <c r="F386" i="3"/>
  <c r="G385" i="3"/>
  <c r="H385" i="3" s="1"/>
  <c r="F385" i="3"/>
  <c r="G384" i="3"/>
  <c r="H384" i="3" s="1"/>
  <c r="F384" i="3"/>
  <c r="G383" i="3"/>
  <c r="H383" i="3" s="1"/>
  <c r="F383" i="3"/>
  <c r="H382" i="3"/>
  <c r="G382" i="3"/>
  <c r="F382" i="3"/>
  <c r="H381" i="3"/>
  <c r="G381" i="3"/>
  <c r="F381" i="3"/>
  <c r="G380" i="3"/>
  <c r="F380" i="3"/>
  <c r="H380" i="3" s="1"/>
  <c r="G379" i="3"/>
  <c r="H379" i="3" s="1"/>
  <c r="F379" i="3"/>
  <c r="G378" i="3"/>
  <c r="H378" i="3" s="1"/>
  <c r="F378" i="3"/>
  <c r="G377" i="3"/>
  <c r="H377" i="3" s="1"/>
  <c r="F377" i="3"/>
  <c r="G376" i="3"/>
  <c r="H376" i="3" s="1"/>
  <c r="F376" i="3"/>
  <c r="G375" i="3"/>
  <c r="H375" i="3" s="1"/>
  <c r="F375" i="3"/>
  <c r="H374" i="3"/>
  <c r="G374" i="3"/>
  <c r="F374" i="3"/>
  <c r="H373" i="3"/>
  <c r="G373" i="3"/>
  <c r="F373" i="3"/>
  <c r="G372" i="3"/>
  <c r="F372" i="3"/>
  <c r="H372" i="3" s="1"/>
  <c r="G371" i="3"/>
  <c r="F371" i="3"/>
  <c r="H371" i="3" s="1"/>
  <c r="G370" i="3"/>
  <c r="F370" i="3"/>
  <c r="G369" i="3"/>
  <c r="H369" i="3" s="1"/>
  <c r="F369" i="3"/>
  <c r="G368" i="3"/>
  <c r="H368" i="3" s="1"/>
  <c r="F368" i="3"/>
  <c r="G367" i="3"/>
  <c r="H367" i="3" s="1"/>
  <c r="F367" i="3"/>
  <c r="H366" i="3"/>
  <c r="G366" i="3"/>
  <c r="F366" i="3"/>
  <c r="H365" i="3"/>
  <c r="G365" i="3"/>
  <c r="F365" i="3"/>
  <c r="H364" i="3"/>
  <c r="G364" i="3"/>
  <c r="F364" i="3"/>
  <c r="G363" i="3"/>
  <c r="H363" i="3" s="1"/>
  <c r="F363" i="3"/>
  <c r="G362" i="3"/>
  <c r="H362" i="3" s="1"/>
  <c r="F362" i="3"/>
  <c r="G361" i="3"/>
  <c r="H361" i="3" s="1"/>
  <c r="F361" i="3"/>
  <c r="G360" i="3"/>
  <c r="H360" i="3" s="1"/>
  <c r="F360" i="3"/>
  <c r="G359" i="3"/>
  <c r="H359" i="3" s="1"/>
  <c r="F359" i="3"/>
  <c r="H358" i="3"/>
  <c r="G358" i="3"/>
  <c r="F358" i="3"/>
  <c r="H357" i="3"/>
  <c r="G357" i="3"/>
  <c r="F357" i="3"/>
  <c r="G356" i="3"/>
  <c r="F356" i="3"/>
  <c r="H356" i="3" s="1"/>
  <c r="G355" i="3"/>
  <c r="F355" i="3"/>
  <c r="G354" i="3"/>
  <c r="H354" i="3" s="1"/>
  <c r="F354" i="3"/>
  <c r="G353" i="3"/>
  <c r="H353" i="3" s="1"/>
  <c r="F353" i="3"/>
  <c r="G352" i="3"/>
  <c r="H352" i="3" s="1"/>
  <c r="F352" i="3"/>
  <c r="G351" i="3"/>
  <c r="H351" i="3" s="1"/>
  <c r="F351" i="3"/>
  <c r="H350" i="3"/>
  <c r="G350" i="3"/>
  <c r="F350" i="3"/>
  <c r="H349" i="3"/>
  <c r="G349" i="3"/>
  <c r="F349" i="3"/>
  <c r="G348" i="3"/>
  <c r="F348" i="3"/>
  <c r="H348" i="3" s="1"/>
  <c r="G347" i="3"/>
  <c r="H347" i="3" s="1"/>
  <c r="F347" i="3"/>
  <c r="G346" i="3"/>
  <c r="H346" i="3" s="1"/>
  <c r="F346" i="3"/>
  <c r="G345" i="3"/>
  <c r="H345" i="3" s="1"/>
  <c r="F345" i="3"/>
  <c r="G344" i="3"/>
  <c r="H344" i="3" s="1"/>
  <c r="F344" i="3"/>
  <c r="G343" i="3"/>
  <c r="H343" i="3" s="1"/>
  <c r="F343" i="3"/>
  <c r="G342" i="3"/>
  <c r="F342" i="3"/>
  <c r="H342" i="3" s="1"/>
  <c r="G341" i="3"/>
  <c r="H341" i="3" s="1"/>
  <c r="F341" i="3"/>
  <c r="H340" i="3"/>
  <c r="G340" i="3"/>
  <c r="F340" i="3"/>
  <c r="G339" i="3"/>
  <c r="H339" i="3" s="1"/>
  <c r="F339" i="3"/>
  <c r="H338" i="3"/>
  <c r="G338" i="3"/>
  <c r="F338" i="3"/>
  <c r="G337" i="3"/>
  <c r="H337" i="3" s="1"/>
  <c r="F337" i="3"/>
  <c r="H336" i="3"/>
  <c r="G336" i="3"/>
  <c r="F336" i="3"/>
  <c r="H335" i="3"/>
  <c r="G335" i="3"/>
  <c r="F335" i="3"/>
  <c r="G334" i="3"/>
  <c r="F334" i="3"/>
  <c r="H334" i="3" s="1"/>
  <c r="G333" i="3"/>
  <c r="H333" i="3" s="1"/>
  <c r="F333" i="3"/>
  <c r="H332" i="3"/>
  <c r="G332" i="3"/>
  <c r="F332" i="3"/>
  <c r="G331" i="3"/>
  <c r="H331" i="3" s="1"/>
  <c r="F331" i="3"/>
  <c r="H330" i="3"/>
  <c r="G330" i="3"/>
  <c r="F330" i="3"/>
  <c r="G329" i="3"/>
  <c r="H329" i="3" s="1"/>
  <c r="F329" i="3"/>
  <c r="G328" i="3"/>
  <c r="F328" i="3"/>
  <c r="H328" i="3" s="1"/>
  <c r="H327" i="3"/>
  <c r="G327" i="3"/>
  <c r="F327" i="3"/>
  <c r="G326" i="3"/>
  <c r="F326" i="3"/>
  <c r="H326" i="3" s="1"/>
  <c r="G325" i="3"/>
  <c r="H325" i="3" s="1"/>
  <c r="F325" i="3"/>
  <c r="H324" i="3"/>
  <c r="G324" i="3"/>
  <c r="F324" i="3"/>
  <c r="G323" i="3"/>
  <c r="H323" i="3" s="1"/>
  <c r="F323" i="3"/>
  <c r="H322" i="3"/>
  <c r="G322" i="3"/>
  <c r="F322" i="3"/>
  <c r="G321" i="3"/>
  <c r="H321" i="3" s="1"/>
  <c r="F321" i="3"/>
  <c r="H320" i="3"/>
  <c r="G320" i="3"/>
  <c r="F320" i="3"/>
  <c r="H319" i="3"/>
  <c r="G319" i="3"/>
  <c r="F319" i="3"/>
  <c r="G318" i="3"/>
  <c r="F318" i="3"/>
  <c r="H318" i="3" s="1"/>
  <c r="G317" i="3"/>
  <c r="H317" i="3" s="1"/>
  <c r="F317" i="3"/>
  <c r="H316" i="3"/>
  <c r="G316" i="3"/>
  <c r="F316" i="3"/>
  <c r="G315" i="3"/>
  <c r="H315" i="3" s="1"/>
  <c r="F315" i="3"/>
  <c r="H314" i="3"/>
  <c r="G314" i="3"/>
  <c r="F314" i="3"/>
  <c r="G313" i="3"/>
  <c r="H313" i="3" s="1"/>
  <c r="F313" i="3"/>
  <c r="G312" i="3"/>
  <c r="F312" i="3"/>
  <c r="H312" i="3" s="1"/>
  <c r="H311" i="3"/>
  <c r="G311" i="3"/>
  <c r="F311" i="3"/>
  <c r="G310" i="3"/>
  <c r="F310" i="3"/>
  <c r="H310" i="3" s="1"/>
  <c r="G309" i="3"/>
  <c r="H309" i="3" s="1"/>
  <c r="F309" i="3"/>
  <c r="H308" i="3"/>
  <c r="G308" i="3"/>
  <c r="F308" i="3"/>
  <c r="G307" i="3"/>
  <c r="H307" i="3" s="1"/>
  <c r="F307" i="3"/>
  <c r="H306" i="3"/>
  <c r="G306" i="3"/>
  <c r="F306" i="3"/>
  <c r="G305" i="3"/>
  <c r="H305" i="3" s="1"/>
  <c r="F305" i="3"/>
  <c r="H304" i="3"/>
  <c r="G304" i="3"/>
  <c r="F304" i="3"/>
  <c r="H303" i="3"/>
  <c r="G303" i="3"/>
  <c r="F303" i="3"/>
  <c r="G302" i="3"/>
  <c r="F302" i="3"/>
  <c r="H302" i="3" s="1"/>
  <c r="G301" i="3"/>
  <c r="H301" i="3" s="1"/>
  <c r="F301" i="3"/>
  <c r="H300" i="3"/>
  <c r="G300" i="3"/>
  <c r="F300" i="3"/>
  <c r="G299" i="3"/>
  <c r="H299" i="3" s="1"/>
  <c r="F299" i="3"/>
  <c r="H298" i="3"/>
  <c r="G298" i="3"/>
  <c r="F298" i="3"/>
  <c r="G297" i="3"/>
  <c r="H297" i="3" s="1"/>
  <c r="F297" i="3"/>
  <c r="G296" i="3"/>
  <c r="F296" i="3"/>
  <c r="H296" i="3" s="1"/>
  <c r="H295" i="3"/>
  <c r="G295" i="3"/>
  <c r="F295" i="3"/>
  <c r="G294" i="3"/>
  <c r="H294" i="3" s="1"/>
  <c r="F294" i="3"/>
  <c r="G293" i="3"/>
  <c r="H293" i="3" s="1"/>
  <c r="F293" i="3"/>
  <c r="H292" i="3"/>
  <c r="G292" i="3"/>
  <c r="F292" i="3"/>
  <c r="G291" i="3"/>
  <c r="H291" i="3" s="1"/>
  <c r="F291" i="3"/>
  <c r="H290" i="3"/>
  <c r="G290" i="3"/>
  <c r="F290" i="3"/>
  <c r="G289" i="3"/>
  <c r="H289" i="3" s="1"/>
  <c r="F289" i="3"/>
  <c r="H288" i="3"/>
  <c r="G288" i="3"/>
  <c r="F288" i="3"/>
  <c r="H287" i="3"/>
  <c r="G287" i="3"/>
  <c r="F287" i="3"/>
  <c r="G286" i="3"/>
  <c r="F286" i="3"/>
  <c r="G285" i="3"/>
  <c r="H285" i="3" s="1"/>
  <c r="F285" i="3"/>
  <c r="H284" i="3"/>
  <c r="G284" i="3"/>
  <c r="F284" i="3"/>
  <c r="G283" i="3"/>
  <c r="H283" i="3" s="1"/>
  <c r="F283" i="3"/>
  <c r="H282" i="3"/>
  <c r="G282" i="3"/>
  <c r="F282" i="3"/>
  <c r="G281" i="3"/>
  <c r="H281" i="3" s="1"/>
  <c r="F281" i="3"/>
  <c r="G280" i="3"/>
  <c r="F280" i="3"/>
  <c r="H280" i="3" s="1"/>
  <c r="H279" i="3"/>
  <c r="G279" i="3"/>
  <c r="F279" i="3"/>
  <c r="G278" i="3"/>
  <c r="H278" i="3" s="1"/>
  <c r="F278" i="3"/>
  <c r="G277" i="3"/>
  <c r="H277" i="3" s="1"/>
  <c r="F277" i="3"/>
  <c r="H276" i="3"/>
  <c r="G276" i="3"/>
  <c r="F276" i="3"/>
  <c r="G275" i="3"/>
  <c r="H275" i="3" s="1"/>
  <c r="F275" i="3"/>
  <c r="H274" i="3"/>
  <c r="G274" i="3"/>
  <c r="F274" i="3"/>
  <c r="G273" i="3"/>
  <c r="H273" i="3" s="1"/>
  <c r="F273" i="3"/>
  <c r="G272" i="3"/>
  <c r="F272" i="3"/>
  <c r="H272" i="3" s="1"/>
  <c r="H271" i="3"/>
  <c r="G271" i="3"/>
  <c r="F271" i="3"/>
  <c r="G270" i="3"/>
  <c r="F270" i="3"/>
  <c r="G269" i="3"/>
  <c r="H269" i="3" s="1"/>
  <c r="F269" i="3"/>
  <c r="H268" i="3"/>
  <c r="G268" i="3"/>
  <c r="F268" i="3"/>
  <c r="G267" i="3"/>
  <c r="H267" i="3" s="1"/>
  <c r="F267" i="3"/>
  <c r="H266" i="3"/>
  <c r="G266" i="3"/>
  <c r="F266" i="3"/>
  <c r="G265" i="3"/>
  <c r="H265" i="3" s="1"/>
  <c r="F265" i="3"/>
  <c r="G264" i="3"/>
  <c r="F264" i="3"/>
  <c r="H264" i="3" s="1"/>
  <c r="H263" i="3"/>
  <c r="G263" i="3"/>
  <c r="F263" i="3"/>
  <c r="G262" i="3"/>
  <c r="H262" i="3" s="1"/>
  <c r="F262" i="3"/>
  <c r="G261" i="3"/>
  <c r="H261" i="3" s="1"/>
  <c r="F261" i="3"/>
  <c r="H260" i="3"/>
  <c r="G260" i="3"/>
  <c r="F260" i="3"/>
  <c r="G259" i="3"/>
  <c r="H259" i="3" s="1"/>
  <c r="F259" i="3"/>
  <c r="H258" i="3"/>
  <c r="G258" i="3"/>
  <c r="F258" i="3"/>
  <c r="G257" i="3"/>
  <c r="H257" i="3" s="1"/>
  <c r="F257" i="3"/>
  <c r="H256" i="3"/>
  <c r="G256" i="3"/>
  <c r="F256" i="3"/>
  <c r="H255" i="3"/>
  <c r="G255" i="3"/>
  <c r="F255" i="3"/>
  <c r="G254" i="3"/>
  <c r="F254" i="3"/>
  <c r="G253" i="3"/>
  <c r="H253" i="3" s="1"/>
  <c r="F253" i="3"/>
  <c r="H252" i="3"/>
  <c r="G252" i="3"/>
  <c r="F252" i="3"/>
  <c r="G251" i="3"/>
  <c r="H251" i="3" s="1"/>
  <c r="F251" i="3"/>
  <c r="H250" i="3"/>
  <c r="G250" i="3"/>
  <c r="F250" i="3"/>
  <c r="G249" i="3"/>
  <c r="H249" i="3" s="1"/>
  <c r="F249" i="3"/>
  <c r="G248" i="3"/>
  <c r="F248" i="3"/>
  <c r="H248" i="3" s="1"/>
  <c r="H247" i="3"/>
  <c r="G247" i="3"/>
  <c r="F247" i="3"/>
  <c r="G246" i="3"/>
  <c r="H246" i="3" s="1"/>
  <c r="F246" i="3"/>
  <c r="G245" i="3"/>
  <c r="H245" i="3" s="1"/>
  <c r="F245" i="3"/>
  <c r="H244" i="3"/>
  <c r="G244" i="3"/>
  <c r="F244" i="3"/>
  <c r="G243" i="3"/>
  <c r="H243" i="3" s="1"/>
  <c r="F243" i="3"/>
  <c r="H242" i="3"/>
  <c r="G242" i="3"/>
  <c r="F242" i="3"/>
  <c r="G241" i="3"/>
  <c r="H241" i="3" s="1"/>
  <c r="F241" i="3"/>
  <c r="H240" i="3"/>
  <c r="G240" i="3"/>
  <c r="F240" i="3"/>
  <c r="H239" i="3"/>
  <c r="G239" i="3"/>
  <c r="F239" i="3"/>
  <c r="G238" i="3"/>
  <c r="F238" i="3"/>
  <c r="G237" i="3"/>
  <c r="H237" i="3" s="1"/>
  <c r="F237" i="3"/>
  <c r="H236" i="3"/>
  <c r="G236" i="3"/>
  <c r="F236" i="3"/>
  <c r="G235" i="3"/>
  <c r="H235" i="3" s="1"/>
  <c r="F235" i="3"/>
  <c r="H234" i="3"/>
  <c r="G234" i="3"/>
  <c r="F234" i="3"/>
  <c r="G233" i="3"/>
  <c r="H233" i="3" s="1"/>
  <c r="F233" i="3"/>
  <c r="G232" i="3"/>
  <c r="F232" i="3"/>
  <c r="H232" i="3" s="1"/>
  <c r="H231" i="3"/>
  <c r="G231" i="3"/>
  <c r="F231" i="3"/>
  <c r="G230" i="3"/>
  <c r="H230" i="3" s="1"/>
  <c r="F230" i="3"/>
  <c r="G229" i="3"/>
  <c r="H229" i="3" s="1"/>
  <c r="F229" i="3"/>
  <c r="H228" i="3"/>
  <c r="G228" i="3"/>
  <c r="F228" i="3"/>
  <c r="G227" i="3"/>
  <c r="H227" i="3" s="1"/>
  <c r="F227" i="3"/>
  <c r="H226" i="3"/>
  <c r="G226" i="3"/>
  <c r="F226" i="3"/>
  <c r="G225" i="3"/>
  <c r="H225" i="3" s="1"/>
  <c r="F225" i="3"/>
  <c r="H224" i="3"/>
  <c r="G224" i="3"/>
  <c r="F224" i="3"/>
  <c r="H223" i="3"/>
  <c r="G223" i="3"/>
  <c r="F223" i="3"/>
  <c r="G222" i="3"/>
  <c r="F222" i="3"/>
  <c r="G221" i="3"/>
  <c r="H221" i="3" s="1"/>
  <c r="F221" i="3"/>
  <c r="H220" i="3"/>
  <c r="G220" i="3"/>
  <c r="F220" i="3"/>
  <c r="G219" i="3"/>
  <c r="H219" i="3" s="1"/>
  <c r="F219" i="3"/>
  <c r="H218" i="3"/>
  <c r="G218" i="3"/>
  <c r="F218" i="3"/>
  <c r="H217" i="3"/>
  <c r="G217" i="3"/>
  <c r="F217" i="3"/>
  <c r="G216" i="3"/>
  <c r="F216" i="3"/>
  <c r="H216" i="3" s="1"/>
  <c r="H215" i="3"/>
  <c r="G215" i="3"/>
  <c r="F215" i="3"/>
  <c r="G214" i="3"/>
  <c r="F214" i="3"/>
  <c r="G213" i="3"/>
  <c r="H213" i="3" s="1"/>
  <c r="F213" i="3"/>
  <c r="H212" i="3"/>
  <c r="G212" i="3"/>
  <c r="F212" i="3"/>
  <c r="G211" i="3"/>
  <c r="H211" i="3" s="1"/>
  <c r="F211" i="3"/>
  <c r="H210" i="3"/>
  <c r="G210" i="3"/>
  <c r="F210" i="3"/>
  <c r="G209" i="3"/>
  <c r="H209" i="3" s="1"/>
  <c r="F209" i="3"/>
  <c r="H208" i="3"/>
  <c r="G208" i="3"/>
  <c r="F208" i="3"/>
  <c r="H207" i="3"/>
  <c r="G207" i="3"/>
  <c r="F207" i="3"/>
  <c r="G206" i="3"/>
  <c r="H206" i="3" s="1"/>
  <c r="F206" i="3"/>
  <c r="G205" i="3"/>
  <c r="H205" i="3" s="1"/>
  <c r="F205" i="3"/>
  <c r="H204" i="3"/>
  <c r="G204" i="3"/>
  <c r="F204" i="3"/>
  <c r="G203" i="3"/>
  <c r="H203" i="3" s="1"/>
  <c r="F203" i="3"/>
  <c r="H202" i="3"/>
  <c r="G202" i="3"/>
  <c r="F202" i="3"/>
  <c r="H201" i="3"/>
  <c r="G201" i="3"/>
  <c r="F201" i="3"/>
  <c r="G200" i="3"/>
  <c r="F200" i="3"/>
  <c r="H200" i="3" s="1"/>
  <c r="H199" i="3"/>
  <c r="G199" i="3"/>
  <c r="F199" i="3"/>
  <c r="G198" i="3"/>
  <c r="F198" i="3"/>
  <c r="G197" i="3"/>
  <c r="H197" i="3" s="1"/>
  <c r="F197" i="3"/>
  <c r="H196" i="3"/>
  <c r="G196" i="3"/>
  <c r="F196" i="3"/>
  <c r="G195" i="3"/>
  <c r="H195" i="3" s="1"/>
  <c r="F195" i="3"/>
  <c r="H194" i="3"/>
  <c r="G194" i="3"/>
  <c r="F194" i="3"/>
  <c r="H193" i="3"/>
  <c r="G193" i="3"/>
  <c r="F193" i="3"/>
  <c r="G192" i="3"/>
  <c r="F192" i="3"/>
  <c r="H192" i="3" s="1"/>
  <c r="H191" i="3"/>
  <c r="G191" i="3"/>
  <c r="F191" i="3"/>
  <c r="G190" i="3"/>
  <c r="H190" i="3" s="1"/>
  <c r="F190" i="3"/>
  <c r="G189" i="3"/>
  <c r="H189" i="3" s="1"/>
  <c r="F189" i="3"/>
  <c r="H188" i="3"/>
  <c r="G188" i="3"/>
  <c r="F188" i="3"/>
  <c r="G187" i="3"/>
  <c r="H187" i="3" s="1"/>
  <c r="F187" i="3"/>
  <c r="H186" i="3"/>
  <c r="G186" i="3"/>
  <c r="F186" i="3"/>
  <c r="G185" i="3"/>
  <c r="F185" i="3"/>
  <c r="H185" i="3" s="1"/>
  <c r="G184" i="3"/>
  <c r="F184" i="3"/>
  <c r="H184" i="3" s="1"/>
  <c r="H183" i="3"/>
  <c r="G183" i="3"/>
  <c r="F183" i="3"/>
  <c r="G182" i="3"/>
  <c r="F182" i="3"/>
  <c r="G181" i="3"/>
  <c r="H181" i="3" s="1"/>
  <c r="F181" i="3"/>
  <c r="H180" i="3"/>
  <c r="G180" i="3"/>
  <c r="F180" i="3"/>
  <c r="G179" i="3"/>
  <c r="H179" i="3" s="1"/>
  <c r="F179" i="3"/>
  <c r="H178" i="3"/>
  <c r="G178" i="3"/>
  <c r="F178" i="3"/>
  <c r="H177" i="3"/>
  <c r="G177" i="3"/>
  <c r="F177" i="3"/>
  <c r="G176" i="3"/>
  <c r="F176" i="3"/>
  <c r="H176" i="3" s="1"/>
  <c r="H175" i="3"/>
  <c r="G175" i="3"/>
  <c r="F175" i="3"/>
  <c r="G174" i="3"/>
  <c r="H174" i="3" s="1"/>
  <c r="F174" i="3"/>
  <c r="G173" i="3"/>
  <c r="H173" i="3" s="1"/>
  <c r="F173" i="3"/>
  <c r="H172" i="3"/>
  <c r="G172" i="3"/>
  <c r="F172" i="3"/>
  <c r="G171" i="3"/>
  <c r="H171" i="3" s="1"/>
  <c r="F171" i="3"/>
  <c r="H170" i="3"/>
  <c r="G170" i="3"/>
  <c r="F170" i="3"/>
  <c r="G169" i="3"/>
  <c r="F169" i="3"/>
  <c r="H169" i="3" s="1"/>
  <c r="H168" i="3"/>
  <c r="G168" i="3"/>
  <c r="F168" i="3"/>
  <c r="H167" i="3"/>
  <c r="G167" i="3"/>
  <c r="F167" i="3"/>
  <c r="G166" i="3"/>
  <c r="F166" i="3"/>
  <c r="G165" i="3"/>
  <c r="H165" i="3" s="1"/>
  <c r="F165" i="3"/>
  <c r="H164" i="3"/>
  <c r="G164" i="3"/>
  <c r="F164" i="3"/>
  <c r="G163" i="3"/>
  <c r="H163" i="3" s="1"/>
  <c r="F163" i="3"/>
  <c r="H162" i="3"/>
  <c r="G162" i="3"/>
  <c r="F162" i="3"/>
  <c r="G161" i="3"/>
  <c r="F161" i="3"/>
  <c r="H161" i="3" s="1"/>
  <c r="G160" i="3"/>
  <c r="F160" i="3"/>
  <c r="H160" i="3" s="1"/>
  <c r="H159" i="3"/>
  <c r="G159" i="3"/>
  <c r="F159" i="3"/>
  <c r="G158" i="3"/>
  <c r="H158" i="3" s="1"/>
  <c r="F158" i="3"/>
  <c r="G157" i="3"/>
  <c r="H157" i="3" s="1"/>
  <c r="F157" i="3"/>
  <c r="H156" i="3"/>
  <c r="G156" i="3"/>
  <c r="F156" i="3"/>
  <c r="G155" i="3"/>
  <c r="H155" i="3" s="1"/>
  <c r="F155" i="3"/>
  <c r="H154" i="3"/>
  <c r="G154" i="3"/>
  <c r="F154" i="3"/>
  <c r="G153" i="3"/>
  <c r="F153" i="3"/>
  <c r="H153" i="3" s="1"/>
  <c r="H152" i="3"/>
  <c r="G152" i="3"/>
  <c r="F152" i="3"/>
  <c r="H151" i="3"/>
  <c r="G151" i="3"/>
  <c r="F151" i="3"/>
  <c r="G150" i="3"/>
  <c r="F150" i="3"/>
  <c r="G149" i="3"/>
  <c r="H149" i="3" s="1"/>
  <c r="F149" i="3"/>
  <c r="H148" i="3"/>
  <c r="G148" i="3"/>
  <c r="F148" i="3"/>
  <c r="G147" i="3"/>
  <c r="H147" i="3" s="1"/>
  <c r="F147" i="3"/>
  <c r="H146" i="3"/>
  <c r="G146" i="3"/>
  <c r="F146" i="3"/>
  <c r="G145" i="3"/>
  <c r="F145" i="3"/>
  <c r="H145" i="3" s="1"/>
  <c r="G144" i="3"/>
  <c r="F144" i="3"/>
  <c r="H144" i="3" s="1"/>
  <c r="H143" i="3"/>
  <c r="G143" i="3"/>
  <c r="F143" i="3"/>
  <c r="G142" i="3"/>
  <c r="H142" i="3" s="1"/>
  <c r="F142" i="3"/>
  <c r="G141" i="3"/>
  <c r="H141" i="3" s="1"/>
  <c r="F141" i="3"/>
  <c r="H140" i="3"/>
  <c r="G140" i="3"/>
  <c r="F140" i="3"/>
  <c r="G139" i="3"/>
  <c r="H139" i="3" s="1"/>
  <c r="F139" i="3"/>
  <c r="H138" i="3"/>
  <c r="G138" i="3"/>
  <c r="F138" i="3"/>
  <c r="G137" i="3"/>
  <c r="H137" i="3" s="1"/>
  <c r="F137" i="3"/>
  <c r="H136" i="3"/>
  <c r="G136" i="3"/>
  <c r="F136" i="3"/>
  <c r="H135" i="3"/>
  <c r="G135" i="3"/>
  <c r="F135" i="3"/>
  <c r="G134" i="3"/>
  <c r="F134" i="3"/>
  <c r="G133" i="3"/>
  <c r="H133" i="3" s="1"/>
  <c r="F133" i="3"/>
  <c r="H132" i="3"/>
  <c r="G132" i="3"/>
  <c r="F132" i="3"/>
  <c r="G131" i="3"/>
  <c r="H131" i="3" s="1"/>
  <c r="F131" i="3"/>
  <c r="H130" i="3"/>
  <c r="G130" i="3"/>
  <c r="F130" i="3"/>
  <c r="G129" i="3"/>
  <c r="H129" i="3" s="1"/>
  <c r="F129" i="3"/>
  <c r="G128" i="3"/>
  <c r="F128" i="3"/>
  <c r="H128" i="3" s="1"/>
  <c r="H127" i="3"/>
  <c r="G127" i="3"/>
  <c r="F127" i="3"/>
  <c r="G126" i="3"/>
  <c r="H126" i="3" s="1"/>
  <c r="F126" i="3"/>
  <c r="G125" i="3"/>
  <c r="H125" i="3" s="1"/>
  <c r="F125" i="3"/>
  <c r="H124" i="3"/>
  <c r="G124" i="3"/>
  <c r="F124" i="3"/>
  <c r="G123" i="3"/>
  <c r="H123" i="3" s="1"/>
  <c r="F123" i="3"/>
  <c r="H122" i="3"/>
  <c r="G122" i="3"/>
  <c r="F122" i="3"/>
  <c r="G121" i="3"/>
  <c r="H121" i="3" s="1"/>
  <c r="F121" i="3"/>
  <c r="H120" i="3"/>
  <c r="G120" i="3"/>
  <c r="F120" i="3"/>
  <c r="H119" i="3"/>
  <c r="G119" i="3"/>
  <c r="F119" i="3"/>
  <c r="G118" i="3"/>
  <c r="F118" i="3"/>
  <c r="G117" i="3"/>
  <c r="H117" i="3" s="1"/>
  <c r="F117" i="3"/>
  <c r="H116" i="3"/>
  <c r="G116" i="3"/>
  <c r="F116" i="3"/>
  <c r="G115" i="3"/>
  <c r="H115" i="3" s="1"/>
  <c r="F115" i="3"/>
  <c r="H114" i="3"/>
  <c r="G114" i="3"/>
  <c r="F114" i="3"/>
  <c r="G113" i="3"/>
  <c r="H113" i="3" s="1"/>
  <c r="F113" i="3"/>
  <c r="G112" i="3"/>
  <c r="F112" i="3"/>
  <c r="H112" i="3" s="1"/>
  <c r="H111" i="3"/>
  <c r="G111" i="3"/>
  <c r="F111" i="3"/>
  <c r="G110" i="3"/>
  <c r="H110" i="3" s="1"/>
  <c r="F110" i="3"/>
  <c r="G109" i="3"/>
  <c r="H109" i="3" s="1"/>
  <c r="F109" i="3"/>
  <c r="H108" i="3"/>
  <c r="G108" i="3"/>
  <c r="F108" i="3"/>
  <c r="G107" i="3"/>
  <c r="H107" i="3" s="1"/>
  <c r="F107" i="3"/>
  <c r="H106" i="3"/>
  <c r="G106" i="3"/>
  <c r="F106" i="3"/>
  <c r="G105" i="3"/>
  <c r="H105" i="3" s="1"/>
  <c r="F105" i="3"/>
  <c r="H104" i="3"/>
  <c r="G104" i="3"/>
  <c r="F104" i="3"/>
  <c r="H103" i="3"/>
  <c r="G103" i="3"/>
  <c r="F103" i="3"/>
  <c r="G102" i="3"/>
  <c r="F102" i="3"/>
  <c r="G101" i="3"/>
  <c r="H101" i="3" s="1"/>
  <c r="F101" i="3"/>
  <c r="H100" i="3"/>
  <c r="G100" i="3"/>
  <c r="F100" i="3"/>
  <c r="G99" i="3"/>
  <c r="H99" i="3" s="1"/>
  <c r="F99" i="3"/>
  <c r="H98" i="3"/>
  <c r="G98" i="3"/>
  <c r="F98" i="3"/>
  <c r="G97" i="3"/>
  <c r="H97" i="3" s="1"/>
  <c r="F97" i="3"/>
  <c r="G96" i="3"/>
  <c r="F96" i="3"/>
  <c r="H96" i="3" s="1"/>
  <c r="H95" i="3"/>
  <c r="G95" i="3"/>
  <c r="F95" i="3"/>
  <c r="G94" i="3"/>
  <c r="H94" i="3" s="1"/>
  <c r="F94" i="3"/>
  <c r="G93" i="3"/>
  <c r="H93" i="3" s="1"/>
  <c r="F93" i="3"/>
  <c r="H92" i="3"/>
  <c r="G92" i="3"/>
  <c r="F92" i="3"/>
  <c r="G91" i="3"/>
  <c r="H91" i="3" s="1"/>
  <c r="F91" i="3"/>
  <c r="H90" i="3"/>
  <c r="G90" i="3"/>
  <c r="F90" i="3"/>
  <c r="G89" i="3"/>
  <c r="H89" i="3" s="1"/>
  <c r="F89" i="3"/>
  <c r="H88" i="3"/>
  <c r="G88" i="3"/>
  <c r="F88" i="3"/>
  <c r="H87" i="3"/>
  <c r="G87" i="3"/>
  <c r="F87" i="3"/>
  <c r="G86" i="3"/>
  <c r="F86" i="3"/>
  <c r="G85" i="3"/>
  <c r="H85" i="3" s="1"/>
  <c r="F85" i="3"/>
  <c r="H84" i="3"/>
  <c r="G84" i="3"/>
  <c r="F84" i="3"/>
  <c r="G83" i="3"/>
  <c r="H83" i="3" s="1"/>
  <c r="F83" i="3"/>
  <c r="H82" i="3"/>
  <c r="G82" i="3"/>
  <c r="F82" i="3"/>
  <c r="G81" i="3"/>
  <c r="F81" i="3"/>
  <c r="H81" i="3" s="1"/>
  <c r="G80" i="3"/>
  <c r="F80" i="3"/>
  <c r="H80" i="3" s="1"/>
  <c r="G79" i="3"/>
  <c r="H79" i="3" s="1"/>
  <c r="F79" i="3"/>
  <c r="G78" i="3"/>
  <c r="H78" i="3" s="1"/>
  <c r="F78" i="3"/>
  <c r="G77" i="3"/>
  <c r="H77" i="3" s="1"/>
  <c r="F77" i="3"/>
  <c r="H76" i="3"/>
  <c r="G76" i="3"/>
  <c r="F76" i="3"/>
  <c r="G75" i="3"/>
  <c r="H75" i="3" s="1"/>
  <c r="F75" i="3"/>
  <c r="H74" i="3"/>
  <c r="G74" i="3"/>
  <c r="F74" i="3"/>
  <c r="G73" i="3"/>
  <c r="H73" i="3" s="1"/>
  <c r="F73" i="3"/>
  <c r="G72" i="3"/>
  <c r="F72" i="3"/>
  <c r="H72" i="3" s="1"/>
  <c r="G71" i="3"/>
  <c r="H71" i="3" s="1"/>
  <c r="F71" i="3"/>
  <c r="G70" i="3"/>
  <c r="H70" i="3" s="1"/>
  <c r="F70" i="3"/>
  <c r="G69" i="3"/>
  <c r="H69" i="3" s="1"/>
  <c r="F69" i="3"/>
  <c r="H68" i="3"/>
  <c r="G68" i="3"/>
  <c r="F68" i="3"/>
  <c r="G67" i="3"/>
  <c r="H67" i="3" s="1"/>
  <c r="F67" i="3"/>
  <c r="H66" i="3"/>
  <c r="G66" i="3"/>
  <c r="F66" i="3"/>
  <c r="G65" i="3"/>
  <c r="F65" i="3"/>
  <c r="H65" i="3" s="1"/>
  <c r="H64" i="3"/>
  <c r="G64" i="3"/>
  <c r="F64" i="3"/>
  <c r="G63" i="3"/>
  <c r="H63" i="3" s="1"/>
  <c r="F63" i="3"/>
  <c r="G62" i="3"/>
  <c r="H62" i="3" s="1"/>
  <c r="F62" i="3"/>
  <c r="G61" i="3"/>
  <c r="H61" i="3" s="1"/>
  <c r="F61" i="3"/>
  <c r="H60" i="3"/>
  <c r="G60" i="3"/>
  <c r="F60" i="3"/>
  <c r="G59" i="3"/>
  <c r="H59" i="3" s="1"/>
  <c r="F59" i="3"/>
  <c r="H58" i="3"/>
  <c r="G58" i="3"/>
  <c r="F58" i="3"/>
  <c r="G57" i="3"/>
  <c r="F57" i="3"/>
  <c r="H57" i="3" s="1"/>
  <c r="G56" i="3"/>
  <c r="F56" i="3"/>
  <c r="H56" i="3" s="1"/>
  <c r="G55" i="3"/>
  <c r="H55" i="3" s="1"/>
  <c r="F55" i="3"/>
  <c r="G54" i="3"/>
  <c r="H54" i="3" s="1"/>
  <c r="F54" i="3"/>
  <c r="G53" i="3"/>
  <c r="H53" i="3" s="1"/>
  <c r="F53" i="3"/>
  <c r="G52" i="3"/>
  <c r="H52" i="3" s="1"/>
  <c r="F52" i="3"/>
  <c r="G51" i="3"/>
  <c r="H51" i="3" s="1"/>
  <c r="F51" i="3"/>
  <c r="H50" i="3"/>
  <c r="G50" i="3"/>
  <c r="F50" i="3"/>
  <c r="G49" i="3"/>
  <c r="H49" i="3" s="1"/>
  <c r="F49" i="3"/>
  <c r="G48" i="3"/>
  <c r="F48" i="3"/>
  <c r="H48" i="3" s="1"/>
  <c r="H47" i="3"/>
  <c r="G47" i="3"/>
  <c r="F47" i="3"/>
  <c r="G46" i="3"/>
  <c r="F46" i="3"/>
  <c r="G45" i="3"/>
  <c r="H45" i="3" s="1"/>
  <c r="F45" i="3"/>
  <c r="G44" i="3"/>
  <c r="H44" i="3" s="1"/>
  <c r="F44" i="3"/>
  <c r="G43" i="3"/>
  <c r="H43" i="3" s="1"/>
  <c r="F43" i="3"/>
  <c r="H42" i="3"/>
  <c r="G42" i="3"/>
  <c r="F42" i="3"/>
  <c r="G41" i="3"/>
  <c r="H41" i="3" s="1"/>
  <c r="F41" i="3"/>
  <c r="H40" i="3"/>
  <c r="G40" i="3"/>
  <c r="F40" i="3"/>
  <c r="G39" i="3"/>
  <c r="H39" i="3" s="1"/>
  <c r="F39" i="3"/>
  <c r="G38" i="3"/>
  <c r="F38" i="3"/>
  <c r="H38" i="3" s="1"/>
  <c r="G37" i="3"/>
  <c r="H37" i="3" s="1"/>
  <c r="F37" i="3"/>
  <c r="G36" i="3"/>
  <c r="F36" i="3"/>
  <c r="H36" i="3" s="1"/>
  <c r="G35" i="3"/>
  <c r="H35" i="3" s="1"/>
  <c r="F35" i="3"/>
  <c r="H34" i="3"/>
  <c r="G34" i="3"/>
  <c r="F34" i="3"/>
  <c r="G33" i="3"/>
  <c r="H33" i="3" s="1"/>
  <c r="F33" i="3"/>
  <c r="H32" i="3"/>
  <c r="G32" i="3"/>
  <c r="F32" i="3"/>
  <c r="G31" i="3"/>
  <c r="H31" i="3" s="1"/>
  <c r="F31" i="3"/>
  <c r="G30" i="3"/>
  <c r="F30" i="3"/>
  <c r="H30" i="3" s="1"/>
  <c r="G29" i="3"/>
  <c r="H29" i="3" s="1"/>
  <c r="F29" i="3"/>
  <c r="G28" i="3"/>
  <c r="H28" i="3" s="1"/>
  <c r="F28" i="3"/>
  <c r="G27" i="3"/>
  <c r="H27" i="3" s="1"/>
  <c r="F27" i="3"/>
  <c r="H26" i="3"/>
  <c r="G26" i="3"/>
  <c r="F26" i="3"/>
  <c r="G25" i="3"/>
  <c r="H25" i="3" s="1"/>
  <c r="F25" i="3"/>
  <c r="G24" i="3"/>
  <c r="F24" i="3"/>
  <c r="H24" i="3" s="1"/>
  <c r="G23" i="3"/>
  <c r="H23" i="3" s="1"/>
  <c r="F23" i="3"/>
  <c r="G22" i="3"/>
  <c r="F22" i="3"/>
  <c r="H22" i="3" s="1"/>
  <c r="G21" i="3"/>
  <c r="H21" i="3" s="1"/>
  <c r="F21" i="3"/>
  <c r="G20" i="3"/>
  <c r="H20" i="3" s="1"/>
  <c r="F20" i="3"/>
  <c r="G19" i="3"/>
  <c r="H19" i="3" s="1"/>
  <c r="F19" i="3"/>
  <c r="H18" i="3"/>
  <c r="G18" i="3"/>
  <c r="F18" i="3"/>
  <c r="G17" i="3"/>
  <c r="H17" i="3" s="1"/>
  <c r="F17" i="3"/>
  <c r="H16" i="3"/>
  <c r="G16" i="3"/>
  <c r="F16" i="3"/>
  <c r="G15" i="3"/>
  <c r="H15" i="3" s="1"/>
  <c r="F15" i="3"/>
  <c r="G14" i="3"/>
  <c r="F14" i="3"/>
  <c r="H14" i="3" s="1"/>
  <c r="G13" i="3"/>
  <c r="H13" i="3" s="1"/>
  <c r="F13" i="3"/>
  <c r="H12" i="3"/>
  <c r="G12" i="3"/>
  <c r="F12" i="3"/>
  <c r="G11" i="3"/>
  <c r="H11" i="3" s="1"/>
  <c r="F11" i="3"/>
  <c r="H10" i="3"/>
  <c r="G10" i="3"/>
  <c r="F10" i="3"/>
  <c r="G9" i="3"/>
  <c r="H9" i="3" s="1"/>
  <c r="F9" i="3"/>
  <c r="G8" i="3"/>
  <c r="F8" i="3"/>
  <c r="H8" i="3" s="1"/>
  <c r="G7" i="3"/>
  <c r="H7" i="3" s="1"/>
  <c r="F7" i="3"/>
  <c r="G6" i="3"/>
  <c r="F6" i="3"/>
  <c r="G5" i="3"/>
  <c r="H5" i="3" s="1"/>
  <c r="F5" i="3"/>
  <c r="G4" i="3"/>
  <c r="H4" i="3" s="1"/>
  <c r="F4" i="3"/>
  <c r="G3" i="3"/>
  <c r="H3" i="3" s="1"/>
  <c r="F3" i="3"/>
  <c r="H2" i="3"/>
  <c r="G2" i="3"/>
  <c r="F2" i="3"/>
  <c r="G25" i="2"/>
  <c r="G12" i="2"/>
  <c r="G14" i="2" s="1"/>
  <c r="G15" i="2" s="1"/>
  <c r="G9" i="2"/>
  <c r="G8" i="2"/>
  <c r="G7" i="2"/>
  <c r="G6" i="2"/>
  <c r="G5" i="2"/>
  <c r="G4" i="2"/>
  <c r="G721" i="1"/>
  <c r="F721" i="1"/>
  <c r="G720" i="1"/>
  <c r="F720" i="1"/>
  <c r="G719" i="1"/>
  <c r="F719" i="1"/>
  <c r="G718" i="1"/>
  <c r="H718" i="1" s="1"/>
  <c r="I718" i="1" s="1"/>
  <c r="F718" i="1"/>
  <c r="G717" i="1"/>
  <c r="H717" i="1" s="1"/>
  <c r="I717" i="1" s="1"/>
  <c r="F717" i="1"/>
  <c r="H716" i="1"/>
  <c r="I716" i="1" s="1"/>
  <c r="G716" i="1"/>
  <c r="F716" i="1"/>
  <c r="G715" i="1"/>
  <c r="H715" i="1" s="1"/>
  <c r="I715" i="1" s="1"/>
  <c r="F715" i="1"/>
  <c r="I714" i="1"/>
  <c r="H714" i="1"/>
  <c r="G714" i="1"/>
  <c r="F714" i="1"/>
  <c r="G713" i="1"/>
  <c r="F713" i="1"/>
  <c r="G712" i="1"/>
  <c r="F712" i="1"/>
  <c r="G711" i="1"/>
  <c r="F711" i="1"/>
  <c r="G710" i="1"/>
  <c r="H710" i="1" s="1"/>
  <c r="I710" i="1" s="1"/>
  <c r="F710" i="1"/>
  <c r="G709" i="1"/>
  <c r="F709" i="1"/>
  <c r="H708" i="1"/>
  <c r="I708" i="1" s="1"/>
  <c r="G708" i="1"/>
  <c r="F708" i="1"/>
  <c r="G707" i="1"/>
  <c r="H707" i="1" s="1"/>
  <c r="I707" i="1" s="1"/>
  <c r="F707" i="1"/>
  <c r="I706" i="1"/>
  <c r="H706" i="1"/>
  <c r="G706" i="1"/>
  <c r="F706" i="1"/>
  <c r="G705" i="1"/>
  <c r="F705" i="1"/>
  <c r="G704" i="1"/>
  <c r="F704" i="1"/>
  <c r="G703" i="1"/>
  <c r="F703" i="1"/>
  <c r="G702" i="1"/>
  <c r="H702" i="1" s="1"/>
  <c r="I702" i="1" s="1"/>
  <c r="F702" i="1"/>
  <c r="G701" i="1"/>
  <c r="H701" i="1" s="1"/>
  <c r="I701" i="1" s="1"/>
  <c r="F701" i="1"/>
  <c r="H700" i="1"/>
  <c r="I700" i="1" s="1"/>
  <c r="G700" i="1"/>
  <c r="F700" i="1"/>
  <c r="G699" i="1"/>
  <c r="H699" i="1" s="1"/>
  <c r="I699" i="1" s="1"/>
  <c r="F699" i="1"/>
  <c r="I698" i="1"/>
  <c r="H698" i="1"/>
  <c r="G698" i="1"/>
  <c r="F698" i="1"/>
  <c r="G697" i="1"/>
  <c r="F697" i="1"/>
  <c r="G696" i="1"/>
  <c r="F696" i="1"/>
  <c r="G695" i="1"/>
  <c r="F695" i="1"/>
  <c r="G694" i="1"/>
  <c r="H694" i="1" s="1"/>
  <c r="I694" i="1" s="1"/>
  <c r="F694" i="1"/>
  <c r="G693" i="1"/>
  <c r="F693" i="1"/>
  <c r="H692" i="1"/>
  <c r="I692" i="1" s="1"/>
  <c r="G692" i="1"/>
  <c r="F692" i="1"/>
  <c r="G691" i="1"/>
  <c r="H691" i="1" s="1"/>
  <c r="I691" i="1" s="1"/>
  <c r="F691" i="1"/>
  <c r="I690" i="1"/>
  <c r="H690" i="1"/>
  <c r="G690" i="1"/>
  <c r="F690" i="1"/>
  <c r="G689" i="1"/>
  <c r="F689" i="1"/>
  <c r="G688" i="1"/>
  <c r="F688" i="1"/>
  <c r="G687" i="1"/>
  <c r="F687" i="1"/>
  <c r="G686" i="1"/>
  <c r="H686" i="1" s="1"/>
  <c r="I686" i="1" s="1"/>
  <c r="F686" i="1"/>
  <c r="G685" i="1"/>
  <c r="F685" i="1"/>
  <c r="H684" i="1"/>
  <c r="I684" i="1" s="1"/>
  <c r="G684" i="1"/>
  <c r="F684" i="1"/>
  <c r="G683" i="1"/>
  <c r="H683" i="1" s="1"/>
  <c r="I683" i="1" s="1"/>
  <c r="F683" i="1"/>
  <c r="I682" i="1"/>
  <c r="H682" i="1"/>
  <c r="G682" i="1"/>
  <c r="F682" i="1"/>
  <c r="G681" i="1"/>
  <c r="F681" i="1"/>
  <c r="G680" i="1"/>
  <c r="F680" i="1"/>
  <c r="G679" i="1"/>
  <c r="F679" i="1"/>
  <c r="G678" i="1"/>
  <c r="H678" i="1" s="1"/>
  <c r="I678" i="1" s="1"/>
  <c r="F678" i="1"/>
  <c r="G677" i="1"/>
  <c r="F677" i="1"/>
  <c r="H676" i="1"/>
  <c r="I676" i="1" s="1"/>
  <c r="G676" i="1"/>
  <c r="F676" i="1"/>
  <c r="G675" i="1"/>
  <c r="H675" i="1" s="1"/>
  <c r="I675" i="1" s="1"/>
  <c r="F675" i="1"/>
  <c r="I674" i="1"/>
  <c r="H674" i="1"/>
  <c r="G674" i="1"/>
  <c r="F674" i="1"/>
  <c r="G673" i="1"/>
  <c r="F673" i="1"/>
  <c r="G672" i="1"/>
  <c r="F672" i="1"/>
  <c r="G671" i="1"/>
  <c r="F671" i="1"/>
  <c r="G670" i="1"/>
  <c r="H670" i="1" s="1"/>
  <c r="I670" i="1" s="1"/>
  <c r="F670" i="1"/>
  <c r="G669" i="1"/>
  <c r="F669" i="1"/>
  <c r="H668" i="1"/>
  <c r="I668" i="1" s="1"/>
  <c r="G668" i="1"/>
  <c r="F668" i="1"/>
  <c r="G667" i="1"/>
  <c r="H667" i="1" s="1"/>
  <c r="I667" i="1" s="1"/>
  <c r="F667" i="1"/>
  <c r="I666" i="1"/>
  <c r="H666" i="1"/>
  <c r="G666" i="1"/>
  <c r="F666" i="1"/>
  <c r="G665" i="1"/>
  <c r="F665" i="1"/>
  <c r="G664" i="1"/>
  <c r="F664" i="1"/>
  <c r="G663" i="1"/>
  <c r="F663" i="1"/>
  <c r="G662" i="1"/>
  <c r="H662" i="1" s="1"/>
  <c r="I662" i="1" s="1"/>
  <c r="F662" i="1"/>
  <c r="G661" i="1"/>
  <c r="F661" i="1"/>
  <c r="H660" i="1"/>
  <c r="I660" i="1" s="1"/>
  <c r="G660" i="1"/>
  <c r="F660" i="1"/>
  <c r="G659" i="1"/>
  <c r="H659" i="1" s="1"/>
  <c r="I659" i="1" s="1"/>
  <c r="F659" i="1"/>
  <c r="I658" i="1"/>
  <c r="H658" i="1"/>
  <c r="G658" i="1"/>
  <c r="F658" i="1"/>
  <c r="G657" i="1"/>
  <c r="F657" i="1"/>
  <c r="G656" i="1"/>
  <c r="F656" i="1"/>
  <c r="G655" i="1"/>
  <c r="F655" i="1"/>
  <c r="G654" i="1"/>
  <c r="H654" i="1" s="1"/>
  <c r="I654" i="1" s="1"/>
  <c r="F654" i="1"/>
  <c r="G653" i="1"/>
  <c r="F653" i="1"/>
  <c r="H652" i="1"/>
  <c r="I652" i="1" s="1"/>
  <c r="G652" i="1"/>
  <c r="F652" i="1"/>
  <c r="G651" i="1"/>
  <c r="H651" i="1" s="1"/>
  <c r="I651" i="1" s="1"/>
  <c r="F651" i="1"/>
  <c r="I650" i="1"/>
  <c r="H650" i="1"/>
  <c r="G650" i="1"/>
  <c r="F650" i="1"/>
  <c r="G649" i="1"/>
  <c r="F649" i="1"/>
  <c r="G648" i="1"/>
  <c r="F648" i="1"/>
  <c r="G647" i="1"/>
  <c r="F647" i="1"/>
  <c r="G646" i="1"/>
  <c r="H646" i="1" s="1"/>
  <c r="I646" i="1" s="1"/>
  <c r="F646" i="1"/>
  <c r="G645" i="1"/>
  <c r="F645" i="1"/>
  <c r="H644" i="1"/>
  <c r="I644" i="1" s="1"/>
  <c r="G644" i="1"/>
  <c r="F644" i="1"/>
  <c r="G643" i="1"/>
  <c r="H643" i="1" s="1"/>
  <c r="I643" i="1" s="1"/>
  <c r="F643" i="1"/>
  <c r="I642" i="1"/>
  <c r="H642" i="1"/>
  <c r="G642" i="1"/>
  <c r="F642" i="1"/>
  <c r="G641" i="1"/>
  <c r="F641" i="1"/>
  <c r="G640" i="1"/>
  <c r="F640" i="1"/>
  <c r="G639" i="1"/>
  <c r="F639" i="1"/>
  <c r="G638" i="1"/>
  <c r="H638" i="1" s="1"/>
  <c r="I638" i="1" s="1"/>
  <c r="F638" i="1"/>
  <c r="G637" i="1"/>
  <c r="F637" i="1"/>
  <c r="H636" i="1"/>
  <c r="I636" i="1" s="1"/>
  <c r="G636" i="1"/>
  <c r="F636" i="1"/>
  <c r="G635" i="1"/>
  <c r="H635" i="1" s="1"/>
  <c r="I635" i="1" s="1"/>
  <c r="F635" i="1"/>
  <c r="I634" i="1"/>
  <c r="H634" i="1"/>
  <c r="G634" i="1"/>
  <c r="F634" i="1"/>
  <c r="G633" i="1"/>
  <c r="F633" i="1"/>
  <c r="G632" i="1"/>
  <c r="F632" i="1"/>
  <c r="G631" i="1"/>
  <c r="F631" i="1"/>
  <c r="G630" i="1"/>
  <c r="H630" i="1" s="1"/>
  <c r="I630" i="1" s="1"/>
  <c r="F630" i="1"/>
  <c r="G629" i="1"/>
  <c r="F629" i="1"/>
  <c r="H628" i="1"/>
  <c r="I628" i="1" s="1"/>
  <c r="G628" i="1"/>
  <c r="F628" i="1"/>
  <c r="G627" i="1"/>
  <c r="H627" i="1" s="1"/>
  <c r="I627" i="1" s="1"/>
  <c r="F627" i="1"/>
  <c r="I626" i="1"/>
  <c r="H626" i="1"/>
  <c r="G626" i="1"/>
  <c r="F626" i="1"/>
  <c r="G625" i="1"/>
  <c r="F625" i="1"/>
  <c r="G624" i="1"/>
  <c r="H624" i="1" s="1"/>
  <c r="I624" i="1" s="1"/>
  <c r="F624" i="1"/>
  <c r="G623" i="1"/>
  <c r="F623" i="1"/>
  <c r="G622" i="1"/>
  <c r="H622" i="1" s="1"/>
  <c r="I622" i="1" s="1"/>
  <c r="F622" i="1"/>
  <c r="G621" i="1"/>
  <c r="H621" i="1" s="1"/>
  <c r="I621" i="1" s="1"/>
  <c r="F621" i="1"/>
  <c r="H620" i="1"/>
  <c r="I620" i="1" s="1"/>
  <c r="G620" i="1"/>
  <c r="F620" i="1"/>
  <c r="G619" i="1"/>
  <c r="F619" i="1"/>
  <c r="H618" i="1"/>
  <c r="I618" i="1" s="1"/>
  <c r="G618" i="1"/>
  <c r="F618" i="1"/>
  <c r="G617" i="1"/>
  <c r="F617" i="1"/>
  <c r="H616" i="1"/>
  <c r="I616" i="1" s="1"/>
  <c r="G616" i="1"/>
  <c r="F616" i="1"/>
  <c r="G615" i="1"/>
  <c r="F615" i="1"/>
  <c r="G614" i="1"/>
  <c r="F614" i="1"/>
  <c r="G613" i="1"/>
  <c r="F613" i="1"/>
  <c r="H612" i="1"/>
  <c r="I612" i="1" s="1"/>
  <c r="G612" i="1"/>
  <c r="F612" i="1"/>
  <c r="G611" i="1"/>
  <c r="H611" i="1" s="1"/>
  <c r="I611" i="1" s="1"/>
  <c r="F611" i="1"/>
  <c r="I610" i="1"/>
  <c r="H610" i="1"/>
  <c r="G610" i="1"/>
  <c r="F610" i="1"/>
  <c r="G609" i="1"/>
  <c r="F609" i="1"/>
  <c r="I608" i="1"/>
  <c r="G608" i="1"/>
  <c r="H608" i="1" s="1"/>
  <c r="F608" i="1"/>
  <c r="G607" i="1"/>
  <c r="F607" i="1"/>
  <c r="G606" i="1"/>
  <c r="H606" i="1" s="1"/>
  <c r="I606" i="1" s="1"/>
  <c r="F606" i="1"/>
  <c r="G605" i="1"/>
  <c r="H605" i="1" s="1"/>
  <c r="I605" i="1" s="1"/>
  <c r="F605" i="1"/>
  <c r="H604" i="1"/>
  <c r="I604" i="1" s="1"/>
  <c r="G604" i="1"/>
  <c r="F604" i="1"/>
  <c r="G603" i="1"/>
  <c r="F603" i="1"/>
  <c r="H602" i="1"/>
  <c r="I602" i="1" s="1"/>
  <c r="G602" i="1"/>
  <c r="F602" i="1"/>
  <c r="G601" i="1"/>
  <c r="H601" i="1" s="1"/>
  <c r="I601" i="1" s="1"/>
  <c r="F601" i="1"/>
  <c r="G600" i="1"/>
  <c r="F600" i="1"/>
  <c r="H600" i="1" s="1"/>
  <c r="I600" i="1" s="1"/>
  <c r="G599" i="1"/>
  <c r="F599" i="1"/>
  <c r="G598" i="1"/>
  <c r="F598" i="1"/>
  <c r="G597" i="1"/>
  <c r="F597" i="1"/>
  <c r="H596" i="1"/>
  <c r="I596" i="1" s="1"/>
  <c r="G596" i="1"/>
  <c r="F596" i="1"/>
  <c r="G595" i="1"/>
  <c r="H595" i="1" s="1"/>
  <c r="I595" i="1" s="1"/>
  <c r="F595" i="1"/>
  <c r="I594" i="1"/>
  <c r="H594" i="1"/>
  <c r="G594" i="1"/>
  <c r="F594" i="1"/>
  <c r="G593" i="1"/>
  <c r="H593" i="1" s="1"/>
  <c r="I593" i="1" s="1"/>
  <c r="F593" i="1"/>
  <c r="G592" i="1"/>
  <c r="H592" i="1" s="1"/>
  <c r="I592" i="1" s="1"/>
  <c r="F592" i="1"/>
  <c r="G591" i="1"/>
  <c r="F591" i="1"/>
  <c r="G590" i="1"/>
  <c r="H590" i="1" s="1"/>
  <c r="I590" i="1" s="1"/>
  <c r="F590" i="1"/>
  <c r="G589" i="1"/>
  <c r="H589" i="1" s="1"/>
  <c r="I589" i="1" s="1"/>
  <c r="F589" i="1"/>
  <c r="H588" i="1"/>
  <c r="I588" i="1" s="1"/>
  <c r="G588" i="1"/>
  <c r="F588" i="1"/>
  <c r="G587" i="1"/>
  <c r="F587" i="1"/>
  <c r="H586" i="1"/>
  <c r="I586" i="1" s="1"/>
  <c r="G586" i="1"/>
  <c r="F586" i="1"/>
  <c r="G585" i="1"/>
  <c r="H585" i="1" s="1"/>
  <c r="I585" i="1" s="1"/>
  <c r="F585" i="1"/>
  <c r="H584" i="1"/>
  <c r="I584" i="1" s="1"/>
  <c r="G584" i="1"/>
  <c r="F584" i="1"/>
  <c r="G583" i="1"/>
  <c r="F583" i="1"/>
  <c r="G582" i="1"/>
  <c r="F582" i="1"/>
  <c r="G581" i="1"/>
  <c r="F581" i="1"/>
  <c r="H580" i="1"/>
  <c r="I580" i="1" s="1"/>
  <c r="G580" i="1"/>
  <c r="F580" i="1"/>
  <c r="G579" i="1"/>
  <c r="H579" i="1" s="1"/>
  <c r="I579" i="1" s="1"/>
  <c r="F579" i="1"/>
  <c r="I578" i="1"/>
  <c r="H578" i="1"/>
  <c r="G578" i="1"/>
  <c r="F578" i="1"/>
  <c r="G577" i="1"/>
  <c r="H577" i="1" s="1"/>
  <c r="I577" i="1" s="1"/>
  <c r="F577" i="1"/>
  <c r="I576" i="1"/>
  <c r="G576" i="1"/>
  <c r="H576" i="1" s="1"/>
  <c r="F576" i="1"/>
  <c r="G575" i="1"/>
  <c r="F575" i="1"/>
  <c r="G574" i="1"/>
  <c r="H574" i="1" s="1"/>
  <c r="I574" i="1" s="1"/>
  <c r="F574" i="1"/>
  <c r="G573" i="1"/>
  <c r="H573" i="1" s="1"/>
  <c r="I573" i="1" s="1"/>
  <c r="F573" i="1"/>
  <c r="H572" i="1"/>
  <c r="I572" i="1" s="1"/>
  <c r="G572" i="1"/>
  <c r="F572" i="1"/>
  <c r="G571" i="1"/>
  <c r="F571" i="1"/>
  <c r="H570" i="1"/>
  <c r="I570" i="1" s="1"/>
  <c r="G570" i="1"/>
  <c r="F570" i="1"/>
  <c r="G569" i="1"/>
  <c r="H569" i="1" s="1"/>
  <c r="I569" i="1" s="1"/>
  <c r="F569" i="1"/>
  <c r="H568" i="1"/>
  <c r="I568" i="1" s="1"/>
  <c r="G568" i="1"/>
  <c r="F568" i="1"/>
  <c r="G567" i="1"/>
  <c r="F567" i="1"/>
  <c r="G566" i="1"/>
  <c r="F566" i="1"/>
  <c r="G565" i="1"/>
  <c r="F565" i="1"/>
  <c r="H564" i="1"/>
  <c r="I564" i="1" s="1"/>
  <c r="G564" i="1"/>
  <c r="F564" i="1"/>
  <c r="G563" i="1"/>
  <c r="F563" i="1"/>
  <c r="H563" i="1" s="1"/>
  <c r="I563" i="1" s="1"/>
  <c r="G562" i="1"/>
  <c r="H562" i="1" s="1"/>
  <c r="I562" i="1" s="1"/>
  <c r="F562" i="1"/>
  <c r="G561" i="1"/>
  <c r="H561" i="1" s="1"/>
  <c r="I561" i="1" s="1"/>
  <c r="F561" i="1"/>
  <c r="G560" i="1"/>
  <c r="F560" i="1"/>
  <c r="H560" i="1" s="1"/>
  <c r="I560" i="1" s="1"/>
  <c r="G559" i="1"/>
  <c r="H559" i="1" s="1"/>
  <c r="I559" i="1" s="1"/>
  <c r="F559" i="1"/>
  <c r="I558" i="1"/>
  <c r="H558" i="1"/>
  <c r="G558" i="1"/>
  <c r="F558" i="1"/>
  <c r="G557" i="1"/>
  <c r="H557" i="1" s="1"/>
  <c r="I557" i="1" s="1"/>
  <c r="F557" i="1"/>
  <c r="I556" i="1"/>
  <c r="G556" i="1"/>
  <c r="F556" i="1"/>
  <c r="H556" i="1" s="1"/>
  <c r="G555" i="1"/>
  <c r="H555" i="1" s="1"/>
  <c r="I555" i="1" s="1"/>
  <c r="F555" i="1"/>
  <c r="I554" i="1"/>
  <c r="H554" i="1"/>
  <c r="G554" i="1"/>
  <c r="F554" i="1"/>
  <c r="G553" i="1"/>
  <c r="H553" i="1" s="1"/>
  <c r="I553" i="1" s="1"/>
  <c r="F553" i="1"/>
  <c r="G552" i="1"/>
  <c r="F552" i="1"/>
  <c r="H552" i="1" s="1"/>
  <c r="I552" i="1" s="1"/>
  <c r="G551" i="1"/>
  <c r="H551" i="1" s="1"/>
  <c r="I551" i="1" s="1"/>
  <c r="F551" i="1"/>
  <c r="I550" i="1"/>
  <c r="H550" i="1"/>
  <c r="G550" i="1"/>
  <c r="F550" i="1"/>
  <c r="G549" i="1"/>
  <c r="H549" i="1" s="1"/>
  <c r="I549" i="1" s="1"/>
  <c r="F549" i="1"/>
  <c r="I548" i="1"/>
  <c r="G548" i="1"/>
  <c r="F548" i="1"/>
  <c r="H548" i="1" s="1"/>
  <c r="G547" i="1"/>
  <c r="H547" i="1" s="1"/>
  <c r="I547" i="1" s="1"/>
  <c r="F547" i="1"/>
  <c r="I546" i="1"/>
  <c r="H546" i="1"/>
  <c r="G546" i="1"/>
  <c r="F546" i="1"/>
  <c r="G545" i="1"/>
  <c r="H545" i="1" s="1"/>
  <c r="I545" i="1" s="1"/>
  <c r="F545" i="1"/>
  <c r="G544" i="1"/>
  <c r="F544" i="1"/>
  <c r="H544" i="1" s="1"/>
  <c r="I544" i="1" s="1"/>
  <c r="G543" i="1"/>
  <c r="H543" i="1" s="1"/>
  <c r="I543" i="1" s="1"/>
  <c r="F543" i="1"/>
  <c r="I542" i="1"/>
  <c r="H542" i="1"/>
  <c r="G542" i="1"/>
  <c r="F542" i="1"/>
  <c r="G541" i="1"/>
  <c r="F541" i="1"/>
  <c r="G540" i="1"/>
  <c r="F540" i="1"/>
  <c r="H540" i="1" s="1"/>
  <c r="I540" i="1" s="1"/>
  <c r="G539" i="1"/>
  <c r="H539" i="1" s="1"/>
  <c r="I539" i="1" s="1"/>
  <c r="F539" i="1"/>
  <c r="H538" i="1"/>
  <c r="I538" i="1" s="1"/>
  <c r="G538" i="1"/>
  <c r="F538" i="1"/>
  <c r="G537" i="1"/>
  <c r="H537" i="1" s="1"/>
  <c r="I537" i="1" s="1"/>
  <c r="F537" i="1"/>
  <c r="G536" i="1"/>
  <c r="F536" i="1"/>
  <c r="H536" i="1" s="1"/>
  <c r="I536" i="1" s="1"/>
  <c r="G535" i="1"/>
  <c r="H535" i="1" s="1"/>
  <c r="I535" i="1" s="1"/>
  <c r="F535" i="1"/>
  <c r="I534" i="1"/>
  <c r="H534" i="1"/>
  <c r="G534" i="1"/>
  <c r="F534" i="1"/>
  <c r="G533" i="1"/>
  <c r="H533" i="1" s="1"/>
  <c r="I533" i="1" s="1"/>
  <c r="F533" i="1"/>
  <c r="G532" i="1"/>
  <c r="F532" i="1"/>
  <c r="H532" i="1" s="1"/>
  <c r="I532" i="1" s="1"/>
  <c r="G531" i="1"/>
  <c r="H531" i="1" s="1"/>
  <c r="I531" i="1" s="1"/>
  <c r="F531" i="1"/>
  <c r="I530" i="1"/>
  <c r="H530" i="1"/>
  <c r="G530" i="1"/>
  <c r="F530" i="1"/>
  <c r="G529" i="1"/>
  <c r="H529" i="1" s="1"/>
  <c r="I529" i="1" s="1"/>
  <c r="F529" i="1"/>
  <c r="G528" i="1"/>
  <c r="F528" i="1"/>
  <c r="H528" i="1" s="1"/>
  <c r="I528" i="1" s="1"/>
  <c r="G527" i="1"/>
  <c r="H527" i="1" s="1"/>
  <c r="I527" i="1" s="1"/>
  <c r="F527" i="1"/>
  <c r="I526" i="1"/>
  <c r="H526" i="1"/>
  <c r="G526" i="1"/>
  <c r="F526" i="1"/>
  <c r="G525" i="1"/>
  <c r="H525" i="1" s="1"/>
  <c r="I525" i="1" s="1"/>
  <c r="F525" i="1"/>
  <c r="I524" i="1"/>
  <c r="G524" i="1"/>
  <c r="F524" i="1"/>
  <c r="H524" i="1" s="1"/>
  <c r="G523" i="1"/>
  <c r="H523" i="1" s="1"/>
  <c r="I523" i="1" s="1"/>
  <c r="F523" i="1"/>
  <c r="I522" i="1"/>
  <c r="H522" i="1"/>
  <c r="G522" i="1"/>
  <c r="F522" i="1"/>
  <c r="G521" i="1"/>
  <c r="H521" i="1" s="1"/>
  <c r="I521" i="1" s="1"/>
  <c r="F521" i="1"/>
  <c r="G520" i="1"/>
  <c r="F520" i="1"/>
  <c r="H520" i="1" s="1"/>
  <c r="I520" i="1" s="1"/>
  <c r="G519" i="1"/>
  <c r="H519" i="1" s="1"/>
  <c r="I519" i="1" s="1"/>
  <c r="F519" i="1"/>
  <c r="I518" i="1"/>
  <c r="H518" i="1"/>
  <c r="G518" i="1"/>
  <c r="F518" i="1"/>
  <c r="G517" i="1"/>
  <c r="F517" i="1"/>
  <c r="I516" i="1"/>
  <c r="G516" i="1"/>
  <c r="F516" i="1"/>
  <c r="H516" i="1" s="1"/>
  <c r="G515" i="1"/>
  <c r="H515" i="1" s="1"/>
  <c r="I515" i="1" s="1"/>
  <c r="F515" i="1"/>
  <c r="I514" i="1"/>
  <c r="H514" i="1"/>
  <c r="G514" i="1"/>
  <c r="F514" i="1"/>
  <c r="G513" i="1"/>
  <c r="H513" i="1" s="1"/>
  <c r="I513" i="1" s="1"/>
  <c r="F513" i="1"/>
  <c r="G512" i="1"/>
  <c r="F512" i="1"/>
  <c r="H512" i="1" s="1"/>
  <c r="I512" i="1" s="1"/>
  <c r="G511" i="1"/>
  <c r="H511" i="1" s="1"/>
  <c r="I511" i="1" s="1"/>
  <c r="F511" i="1"/>
  <c r="I510" i="1"/>
  <c r="H510" i="1"/>
  <c r="G510" i="1"/>
  <c r="F510" i="1"/>
  <c r="G509" i="1"/>
  <c r="H509" i="1" s="1"/>
  <c r="I509" i="1" s="1"/>
  <c r="F509" i="1"/>
  <c r="G508" i="1"/>
  <c r="F508" i="1"/>
  <c r="H508" i="1" s="1"/>
  <c r="I508" i="1" s="1"/>
  <c r="G507" i="1"/>
  <c r="H507" i="1" s="1"/>
  <c r="I507" i="1" s="1"/>
  <c r="F507" i="1"/>
  <c r="H506" i="1"/>
  <c r="I506" i="1" s="1"/>
  <c r="G506" i="1"/>
  <c r="F506" i="1"/>
  <c r="G505" i="1"/>
  <c r="H505" i="1" s="1"/>
  <c r="I505" i="1" s="1"/>
  <c r="F505" i="1"/>
  <c r="G504" i="1"/>
  <c r="F504" i="1"/>
  <c r="H504" i="1" s="1"/>
  <c r="I504" i="1" s="1"/>
  <c r="G503" i="1"/>
  <c r="H503" i="1" s="1"/>
  <c r="I503" i="1" s="1"/>
  <c r="F503" i="1"/>
  <c r="I502" i="1"/>
  <c r="H502" i="1"/>
  <c r="G502" i="1"/>
  <c r="F502" i="1"/>
  <c r="G501" i="1"/>
  <c r="H501" i="1" s="1"/>
  <c r="I501" i="1" s="1"/>
  <c r="F501" i="1"/>
  <c r="G500" i="1"/>
  <c r="F500" i="1"/>
  <c r="H500" i="1" s="1"/>
  <c r="I500" i="1" s="1"/>
  <c r="G499" i="1"/>
  <c r="H499" i="1" s="1"/>
  <c r="I499" i="1" s="1"/>
  <c r="F499" i="1"/>
  <c r="I498" i="1"/>
  <c r="H498" i="1"/>
  <c r="G498" i="1"/>
  <c r="F498" i="1"/>
  <c r="G497" i="1"/>
  <c r="H497" i="1" s="1"/>
  <c r="I497" i="1" s="1"/>
  <c r="F497" i="1"/>
  <c r="G496" i="1"/>
  <c r="F496" i="1"/>
  <c r="H496" i="1" s="1"/>
  <c r="I496" i="1" s="1"/>
  <c r="G495" i="1"/>
  <c r="H495" i="1" s="1"/>
  <c r="I495" i="1" s="1"/>
  <c r="F495" i="1"/>
  <c r="I494" i="1"/>
  <c r="H494" i="1"/>
  <c r="G494" i="1"/>
  <c r="F494" i="1"/>
  <c r="G493" i="1"/>
  <c r="H493" i="1" s="1"/>
  <c r="I493" i="1" s="1"/>
  <c r="F493" i="1"/>
  <c r="I492" i="1"/>
  <c r="G492" i="1"/>
  <c r="F492" i="1"/>
  <c r="H492" i="1" s="1"/>
  <c r="G491" i="1"/>
  <c r="H491" i="1" s="1"/>
  <c r="I491" i="1" s="1"/>
  <c r="F491" i="1"/>
  <c r="I490" i="1"/>
  <c r="H490" i="1"/>
  <c r="G490" i="1"/>
  <c r="F490" i="1"/>
  <c r="G489" i="1"/>
  <c r="H489" i="1" s="1"/>
  <c r="I489" i="1" s="1"/>
  <c r="F489" i="1"/>
  <c r="G488" i="1"/>
  <c r="F488" i="1"/>
  <c r="H488" i="1" s="1"/>
  <c r="I488" i="1" s="1"/>
  <c r="G487" i="1"/>
  <c r="H487" i="1" s="1"/>
  <c r="I487" i="1" s="1"/>
  <c r="F487" i="1"/>
  <c r="I486" i="1"/>
  <c r="H486" i="1"/>
  <c r="G486" i="1"/>
  <c r="F486" i="1"/>
  <c r="G485" i="1"/>
  <c r="F485" i="1"/>
  <c r="I484" i="1"/>
  <c r="G484" i="1"/>
  <c r="F484" i="1"/>
  <c r="H484" i="1" s="1"/>
  <c r="G483" i="1"/>
  <c r="H483" i="1" s="1"/>
  <c r="I483" i="1" s="1"/>
  <c r="F483" i="1"/>
  <c r="G482" i="1"/>
  <c r="H482" i="1" s="1"/>
  <c r="I482" i="1" s="1"/>
  <c r="F482" i="1"/>
  <c r="G481" i="1"/>
  <c r="H481" i="1" s="1"/>
  <c r="I481" i="1" s="1"/>
  <c r="F481" i="1"/>
  <c r="G480" i="1"/>
  <c r="F480" i="1"/>
  <c r="G479" i="1"/>
  <c r="H479" i="1" s="1"/>
  <c r="I479" i="1" s="1"/>
  <c r="F479" i="1"/>
  <c r="I478" i="1"/>
  <c r="G478" i="1"/>
  <c r="H478" i="1" s="1"/>
  <c r="F478" i="1"/>
  <c r="G477" i="1"/>
  <c r="F477" i="1"/>
  <c r="I476" i="1"/>
  <c r="G476" i="1"/>
  <c r="H476" i="1" s="1"/>
  <c r="F476" i="1"/>
  <c r="G475" i="1"/>
  <c r="H475" i="1" s="1"/>
  <c r="I475" i="1" s="1"/>
  <c r="F475" i="1"/>
  <c r="G474" i="1"/>
  <c r="H474" i="1" s="1"/>
  <c r="I474" i="1" s="1"/>
  <c r="F474" i="1"/>
  <c r="G473" i="1"/>
  <c r="H473" i="1" s="1"/>
  <c r="I473" i="1" s="1"/>
  <c r="F473" i="1"/>
  <c r="G472" i="1"/>
  <c r="H472" i="1" s="1"/>
  <c r="I472" i="1" s="1"/>
  <c r="F472" i="1"/>
  <c r="G471" i="1"/>
  <c r="H471" i="1" s="1"/>
  <c r="I471" i="1" s="1"/>
  <c r="F471" i="1"/>
  <c r="I470" i="1"/>
  <c r="G470" i="1"/>
  <c r="H470" i="1" s="1"/>
  <c r="F470" i="1"/>
  <c r="G469" i="1"/>
  <c r="H469" i="1" s="1"/>
  <c r="I469" i="1" s="1"/>
  <c r="F469" i="1"/>
  <c r="H468" i="1"/>
  <c r="I468" i="1" s="1"/>
  <c r="G468" i="1"/>
  <c r="F468" i="1"/>
  <c r="G467" i="1"/>
  <c r="H467" i="1" s="1"/>
  <c r="I467" i="1" s="1"/>
  <c r="F467" i="1"/>
  <c r="G466" i="1"/>
  <c r="H466" i="1" s="1"/>
  <c r="I466" i="1" s="1"/>
  <c r="F466" i="1"/>
  <c r="G465" i="1"/>
  <c r="F465" i="1"/>
  <c r="I464" i="1"/>
  <c r="H464" i="1"/>
  <c r="G464" i="1"/>
  <c r="F464" i="1"/>
  <c r="G463" i="1"/>
  <c r="H463" i="1" s="1"/>
  <c r="I463" i="1" s="1"/>
  <c r="F463" i="1"/>
  <c r="G462" i="1"/>
  <c r="H462" i="1" s="1"/>
  <c r="I462" i="1" s="1"/>
  <c r="F462" i="1"/>
  <c r="G461" i="1"/>
  <c r="F461" i="1"/>
  <c r="H460" i="1"/>
  <c r="I460" i="1" s="1"/>
  <c r="G460" i="1"/>
  <c r="F460" i="1"/>
  <c r="G459" i="1"/>
  <c r="H459" i="1" s="1"/>
  <c r="I459" i="1" s="1"/>
  <c r="F459" i="1"/>
  <c r="G458" i="1"/>
  <c r="H458" i="1" s="1"/>
  <c r="I458" i="1" s="1"/>
  <c r="F458" i="1"/>
  <c r="G457" i="1"/>
  <c r="F457" i="1"/>
  <c r="G456" i="1"/>
  <c r="F456" i="1"/>
  <c r="H456" i="1" s="1"/>
  <c r="I456" i="1" s="1"/>
  <c r="I455" i="1"/>
  <c r="G455" i="1"/>
  <c r="H455" i="1" s="1"/>
  <c r="F455" i="1"/>
  <c r="I454" i="1"/>
  <c r="G454" i="1"/>
  <c r="H454" i="1" s="1"/>
  <c r="F454" i="1"/>
  <c r="G453" i="1"/>
  <c r="F453" i="1"/>
  <c r="H452" i="1"/>
  <c r="I452" i="1" s="1"/>
  <c r="G452" i="1"/>
  <c r="F452" i="1"/>
  <c r="H451" i="1"/>
  <c r="I451" i="1" s="1"/>
  <c r="G451" i="1"/>
  <c r="F451" i="1"/>
  <c r="H450" i="1"/>
  <c r="I450" i="1" s="1"/>
  <c r="G450" i="1"/>
  <c r="F450" i="1"/>
  <c r="G449" i="1"/>
  <c r="F449" i="1"/>
  <c r="H448" i="1"/>
  <c r="I448" i="1" s="1"/>
  <c r="G448" i="1"/>
  <c r="F448" i="1"/>
  <c r="H447" i="1"/>
  <c r="I447" i="1" s="1"/>
  <c r="G447" i="1"/>
  <c r="F447" i="1"/>
  <c r="H446" i="1"/>
  <c r="I446" i="1" s="1"/>
  <c r="G446" i="1"/>
  <c r="F446" i="1"/>
  <c r="G445" i="1"/>
  <c r="H445" i="1" s="1"/>
  <c r="I445" i="1" s="1"/>
  <c r="F445" i="1"/>
  <c r="H444" i="1"/>
  <c r="I444" i="1" s="1"/>
  <c r="G444" i="1"/>
  <c r="F444" i="1"/>
  <c r="H443" i="1"/>
  <c r="I443" i="1" s="1"/>
  <c r="G443" i="1"/>
  <c r="F443" i="1"/>
  <c r="H442" i="1"/>
  <c r="I442" i="1" s="1"/>
  <c r="G442" i="1"/>
  <c r="F442" i="1"/>
  <c r="G441" i="1"/>
  <c r="H441" i="1" s="1"/>
  <c r="I441" i="1" s="1"/>
  <c r="F441" i="1"/>
  <c r="H440" i="1"/>
  <c r="I440" i="1" s="1"/>
  <c r="G440" i="1"/>
  <c r="F440" i="1"/>
  <c r="H439" i="1"/>
  <c r="I439" i="1" s="1"/>
  <c r="G439" i="1"/>
  <c r="F439" i="1"/>
  <c r="H438" i="1"/>
  <c r="I438" i="1" s="1"/>
  <c r="G438" i="1"/>
  <c r="F438" i="1"/>
  <c r="G437" i="1"/>
  <c r="H437" i="1" s="1"/>
  <c r="I437" i="1" s="1"/>
  <c r="F437" i="1"/>
  <c r="H436" i="1"/>
  <c r="I436" i="1" s="1"/>
  <c r="G436" i="1"/>
  <c r="F436" i="1"/>
  <c r="H435" i="1"/>
  <c r="I435" i="1" s="1"/>
  <c r="G435" i="1"/>
  <c r="F435" i="1"/>
  <c r="H434" i="1"/>
  <c r="I434" i="1" s="1"/>
  <c r="G434" i="1"/>
  <c r="F434" i="1"/>
  <c r="G433" i="1"/>
  <c r="F433" i="1"/>
  <c r="H432" i="1"/>
  <c r="I432" i="1" s="1"/>
  <c r="G432" i="1"/>
  <c r="F432" i="1"/>
  <c r="H431" i="1"/>
  <c r="I431" i="1" s="1"/>
  <c r="G431" i="1"/>
  <c r="F431" i="1"/>
  <c r="H430" i="1"/>
  <c r="I430" i="1" s="1"/>
  <c r="G430" i="1"/>
  <c r="F430" i="1"/>
  <c r="G429" i="1"/>
  <c r="H429" i="1" s="1"/>
  <c r="I429" i="1" s="1"/>
  <c r="F429" i="1"/>
  <c r="G428" i="1"/>
  <c r="F428" i="1"/>
  <c r="H428" i="1" s="1"/>
  <c r="I428" i="1" s="1"/>
  <c r="H427" i="1"/>
  <c r="I427" i="1" s="1"/>
  <c r="G427" i="1"/>
  <c r="F427" i="1"/>
  <c r="H426" i="1"/>
  <c r="I426" i="1" s="1"/>
  <c r="G426" i="1"/>
  <c r="F426" i="1"/>
  <c r="G425" i="1"/>
  <c r="H425" i="1" s="1"/>
  <c r="I425" i="1" s="1"/>
  <c r="F425" i="1"/>
  <c r="G424" i="1"/>
  <c r="F424" i="1"/>
  <c r="H424" i="1" s="1"/>
  <c r="I424" i="1" s="1"/>
  <c r="H423" i="1"/>
  <c r="I423" i="1" s="1"/>
  <c r="G423" i="1"/>
  <c r="F423" i="1"/>
  <c r="H422" i="1"/>
  <c r="I422" i="1" s="1"/>
  <c r="G422" i="1"/>
  <c r="F422" i="1"/>
  <c r="G421" i="1"/>
  <c r="H421" i="1" s="1"/>
  <c r="I421" i="1" s="1"/>
  <c r="F421" i="1"/>
  <c r="G420" i="1"/>
  <c r="F420" i="1"/>
  <c r="H420" i="1" s="1"/>
  <c r="I420" i="1" s="1"/>
  <c r="H419" i="1"/>
  <c r="I419" i="1" s="1"/>
  <c r="G419" i="1"/>
  <c r="F419" i="1"/>
  <c r="H418" i="1"/>
  <c r="I418" i="1" s="1"/>
  <c r="G418" i="1"/>
  <c r="F418" i="1"/>
  <c r="G417" i="1"/>
  <c r="F417" i="1"/>
  <c r="G416" i="1"/>
  <c r="F416" i="1"/>
  <c r="H416" i="1" s="1"/>
  <c r="I416" i="1" s="1"/>
  <c r="H415" i="1"/>
  <c r="I415" i="1" s="1"/>
  <c r="G415" i="1"/>
  <c r="F415" i="1"/>
  <c r="G414" i="1"/>
  <c r="H414" i="1" s="1"/>
  <c r="I414" i="1" s="1"/>
  <c r="F414" i="1"/>
  <c r="G413" i="1"/>
  <c r="H413" i="1" s="1"/>
  <c r="I413" i="1" s="1"/>
  <c r="F413" i="1"/>
  <c r="G412" i="1"/>
  <c r="F412" i="1"/>
  <c r="H412" i="1" s="1"/>
  <c r="I412" i="1" s="1"/>
  <c r="H411" i="1"/>
  <c r="I411" i="1" s="1"/>
  <c r="G411" i="1"/>
  <c r="F411" i="1"/>
  <c r="H410" i="1"/>
  <c r="I410" i="1" s="1"/>
  <c r="G410" i="1"/>
  <c r="F410" i="1"/>
  <c r="G409" i="1"/>
  <c r="H409" i="1" s="1"/>
  <c r="I409" i="1" s="1"/>
  <c r="F409" i="1"/>
  <c r="G408" i="1"/>
  <c r="F408" i="1"/>
  <c r="H408" i="1" s="1"/>
  <c r="I408" i="1" s="1"/>
  <c r="H407" i="1"/>
  <c r="I407" i="1" s="1"/>
  <c r="G407" i="1"/>
  <c r="F407" i="1"/>
  <c r="G406" i="1"/>
  <c r="H406" i="1" s="1"/>
  <c r="I406" i="1" s="1"/>
  <c r="F406" i="1"/>
  <c r="G405" i="1"/>
  <c r="H405" i="1" s="1"/>
  <c r="I405" i="1" s="1"/>
  <c r="F405" i="1"/>
  <c r="G404" i="1"/>
  <c r="F404" i="1"/>
  <c r="H404" i="1" s="1"/>
  <c r="I404" i="1" s="1"/>
  <c r="H403" i="1"/>
  <c r="I403" i="1" s="1"/>
  <c r="G403" i="1"/>
  <c r="F403" i="1"/>
  <c r="G402" i="1"/>
  <c r="H402" i="1" s="1"/>
  <c r="I402" i="1" s="1"/>
  <c r="F402" i="1"/>
  <c r="G401" i="1"/>
  <c r="F401" i="1"/>
  <c r="G400" i="1"/>
  <c r="F400" i="1"/>
  <c r="H400" i="1" s="1"/>
  <c r="I400" i="1" s="1"/>
  <c r="H399" i="1"/>
  <c r="I399" i="1" s="1"/>
  <c r="G399" i="1"/>
  <c r="F399" i="1"/>
  <c r="G398" i="1"/>
  <c r="H398" i="1" s="1"/>
  <c r="I398" i="1" s="1"/>
  <c r="F398" i="1"/>
  <c r="G397" i="1"/>
  <c r="H397" i="1" s="1"/>
  <c r="I397" i="1" s="1"/>
  <c r="F397" i="1"/>
  <c r="G396" i="1"/>
  <c r="F396" i="1"/>
  <c r="H396" i="1" s="1"/>
  <c r="I396" i="1" s="1"/>
  <c r="H395" i="1"/>
  <c r="I395" i="1" s="1"/>
  <c r="G395" i="1"/>
  <c r="F395" i="1"/>
  <c r="H394" i="1"/>
  <c r="I394" i="1" s="1"/>
  <c r="G394" i="1"/>
  <c r="F394" i="1"/>
  <c r="G393" i="1"/>
  <c r="H393" i="1" s="1"/>
  <c r="I393" i="1" s="1"/>
  <c r="F393" i="1"/>
  <c r="G392" i="1"/>
  <c r="F392" i="1"/>
  <c r="H392" i="1" s="1"/>
  <c r="I392" i="1" s="1"/>
  <c r="H391" i="1"/>
  <c r="I391" i="1" s="1"/>
  <c r="G391" i="1"/>
  <c r="F391" i="1"/>
  <c r="G390" i="1"/>
  <c r="H390" i="1" s="1"/>
  <c r="I390" i="1" s="1"/>
  <c r="F390" i="1"/>
  <c r="G389" i="1"/>
  <c r="H389" i="1" s="1"/>
  <c r="I389" i="1" s="1"/>
  <c r="F389" i="1"/>
  <c r="G388" i="1"/>
  <c r="F388" i="1"/>
  <c r="H388" i="1" s="1"/>
  <c r="I388" i="1" s="1"/>
  <c r="H387" i="1"/>
  <c r="I387" i="1" s="1"/>
  <c r="G387" i="1"/>
  <c r="F387" i="1"/>
  <c r="G386" i="1"/>
  <c r="H386" i="1" s="1"/>
  <c r="I386" i="1" s="1"/>
  <c r="F386" i="1"/>
  <c r="G385" i="1"/>
  <c r="F385" i="1"/>
  <c r="G384" i="1"/>
  <c r="F384" i="1"/>
  <c r="H384" i="1" s="1"/>
  <c r="I384" i="1" s="1"/>
  <c r="H383" i="1"/>
  <c r="I383" i="1" s="1"/>
  <c r="G383" i="1"/>
  <c r="F383" i="1"/>
  <c r="G382" i="1"/>
  <c r="H382" i="1" s="1"/>
  <c r="I382" i="1" s="1"/>
  <c r="F382" i="1"/>
  <c r="G381" i="1"/>
  <c r="H381" i="1" s="1"/>
  <c r="I381" i="1" s="1"/>
  <c r="F381" i="1"/>
  <c r="G380" i="1"/>
  <c r="F380" i="1"/>
  <c r="H380" i="1" s="1"/>
  <c r="I380" i="1" s="1"/>
  <c r="H379" i="1"/>
  <c r="I379" i="1" s="1"/>
  <c r="G379" i="1"/>
  <c r="F379" i="1"/>
  <c r="H378" i="1"/>
  <c r="I378" i="1" s="1"/>
  <c r="G378" i="1"/>
  <c r="F378" i="1"/>
  <c r="G377" i="1"/>
  <c r="H377" i="1" s="1"/>
  <c r="I377" i="1" s="1"/>
  <c r="F377" i="1"/>
  <c r="G376" i="1"/>
  <c r="F376" i="1"/>
  <c r="H376" i="1" s="1"/>
  <c r="I376" i="1" s="1"/>
  <c r="H375" i="1"/>
  <c r="I375" i="1" s="1"/>
  <c r="G375" i="1"/>
  <c r="F375" i="1"/>
  <c r="G374" i="1"/>
  <c r="H374" i="1" s="1"/>
  <c r="I374" i="1" s="1"/>
  <c r="F374" i="1"/>
  <c r="G373" i="1"/>
  <c r="H373" i="1" s="1"/>
  <c r="I373" i="1" s="1"/>
  <c r="F373" i="1"/>
  <c r="G372" i="1"/>
  <c r="F372" i="1"/>
  <c r="H372" i="1" s="1"/>
  <c r="I372" i="1" s="1"/>
  <c r="H371" i="1"/>
  <c r="I371" i="1" s="1"/>
  <c r="G371" i="1"/>
  <c r="F371" i="1"/>
  <c r="G370" i="1"/>
  <c r="H370" i="1" s="1"/>
  <c r="I370" i="1" s="1"/>
  <c r="F370" i="1"/>
  <c r="G369" i="1"/>
  <c r="F369" i="1"/>
  <c r="G368" i="1"/>
  <c r="F368" i="1"/>
  <c r="H368" i="1" s="1"/>
  <c r="I368" i="1" s="1"/>
  <c r="H367" i="1"/>
  <c r="I367" i="1" s="1"/>
  <c r="G367" i="1"/>
  <c r="F367" i="1"/>
  <c r="G366" i="1"/>
  <c r="H366" i="1" s="1"/>
  <c r="I366" i="1" s="1"/>
  <c r="F366" i="1"/>
  <c r="G365" i="1"/>
  <c r="H365" i="1" s="1"/>
  <c r="I365" i="1" s="1"/>
  <c r="F365" i="1"/>
  <c r="G364" i="1"/>
  <c r="F364" i="1"/>
  <c r="H364" i="1" s="1"/>
  <c r="I364" i="1" s="1"/>
  <c r="H363" i="1"/>
  <c r="I363" i="1" s="1"/>
  <c r="G363" i="1"/>
  <c r="F363" i="1"/>
  <c r="H362" i="1"/>
  <c r="I362" i="1" s="1"/>
  <c r="G362" i="1"/>
  <c r="F362" i="1"/>
  <c r="G361" i="1"/>
  <c r="H361" i="1" s="1"/>
  <c r="I361" i="1" s="1"/>
  <c r="F361" i="1"/>
  <c r="G360" i="1"/>
  <c r="F360" i="1"/>
  <c r="H360" i="1" s="1"/>
  <c r="I360" i="1" s="1"/>
  <c r="H359" i="1"/>
  <c r="I359" i="1" s="1"/>
  <c r="G359" i="1"/>
  <c r="F359" i="1"/>
  <c r="G358" i="1"/>
  <c r="H358" i="1" s="1"/>
  <c r="I358" i="1" s="1"/>
  <c r="F358" i="1"/>
  <c r="G357" i="1"/>
  <c r="H357" i="1" s="1"/>
  <c r="I357" i="1" s="1"/>
  <c r="F357" i="1"/>
  <c r="G356" i="1"/>
  <c r="F356" i="1"/>
  <c r="H356" i="1" s="1"/>
  <c r="I356" i="1" s="1"/>
  <c r="H355" i="1"/>
  <c r="I355" i="1" s="1"/>
  <c r="G355" i="1"/>
  <c r="F355" i="1"/>
  <c r="G354" i="1"/>
  <c r="H354" i="1" s="1"/>
  <c r="I354" i="1" s="1"/>
  <c r="F354" i="1"/>
  <c r="G353" i="1"/>
  <c r="F353" i="1"/>
  <c r="G352" i="1"/>
  <c r="F352" i="1"/>
  <c r="H352" i="1" s="1"/>
  <c r="I352" i="1" s="1"/>
  <c r="H351" i="1"/>
  <c r="I351" i="1" s="1"/>
  <c r="G351" i="1"/>
  <c r="F351" i="1"/>
  <c r="G350" i="1"/>
  <c r="H350" i="1" s="1"/>
  <c r="I350" i="1" s="1"/>
  <c r="F350" i="1"/>
  <c r="G349" i="1"/>
  <c r="H349" i="1" s="1"/>
  <c r="I349" i="1" s="1"/>
  <c r="F349" i="1"/>
  <c r="G348" i="1"/>
  <c r="F348" i="1"/>
  <c r="H348" i="1" s="1"/>
  <c r="I348" i="1" s="1"/>
  <c r="H347" i="1"/>
  <c r="I347" i="1" s="1"/>
  <c r="G347" i="1"/>
  <c r="F347" i="1"/>
  <c r="H346" i="1"/>
  <c r="I346" i="1" s="1"/>
  <c r="G346" i="1"/>
  <c r="F346" i="1"/>
  <c r="G345" i="1"/>
  <c r="H345" i="1" s="1"/>
  <c r="I345" i="1" s="1"/>
  <c r="F345" i="1"/>
  <c r="G344" i="1"/>
  <c r="F344" i="1"/>
  <c r="H344" i="1" s="1"/>
  <c r="I344" i="1" s="1"/>
  <c r="H343" i="1"/>
  <c r="I343" i="1" s="1"/>
  <c r="G343" i="1"/>
  <c r="F343" i="1"/>
  <c r="G342" i="1"/>
  <c r="H342" i="1" s="1"/>
  <c r="I342" i="1" s="1"/>
  <c r="F342" i="1"/>
  <c r="G341" i="1"/>
  <c r="H341" i="1" s="1"/>
  <c r="I341" i="1" s="1"/>
  <c r="F341" i="1"/>
  <c r="G340" i="1"/>
  <c r="F340" i="1"/>
  <c r="H340" i="1" s="1"/>
  <c r="I340" i="1" s="1"/>
  <c r="H339" i="1"/>
  <c r="I339" i="1" s="1"/>
  <c r="G339" i="1"/>
  <c r="F339" i="1"/>
  <c r="H338" i="1"/>
  <c r="I338" i="1" s="1"/>
  <c r="G338" i="1"/>
  <c r="F338" i="1"/>
  <c r="H337" i="1"/>
  <c r="I337" i="1" s="1"/>
  <c r="G337" i="1"/>
  <c r="F337" i="1"/>
  <c r="H336" i="1"/>
  <c r="I336" i="1" s="1"/>
  <c r="G336" i="1"/>
  <c r="F336" i="1"/>
  <c r="G335" i="1"/>
  <c r="F335" i="1"/>
  <c r="G334" i="1"/>
  <c r="H334" i="1" s="1"/>
  <c r="I334" i="1" s="1"/>
  <c r="F334" i="1"/>
  <c r="G333" i="1"/>
  <c r="F333" i="1"/>
  <c r="H333" i="1" s="1"/>
  <c r="I333" i="1" s="1"/>
  <c r="I332" i="1"/>
  <c r="G332" i="1"/>
  <c r="F332" i="1"/>
  <c r="H332" i="1" s="1"/>
  <c r="G331" i="1"/>
  <c r="F331" i="1"/>
  <c r="H331" i="1" s="1"/>
  <c r="I331" i="1" s="1"/>
  <c r="G330" i="1"/>
  <c r="F330" i="1"/>
  <c r="H330" i="1" s="1"/>
  <c r="I330" i="1" s="1"/>
  <c r="G329" i="1"/>
  <c r="F329" i="1"/>
  <c r="H329" i="1" s="1"/>
  <c r="I329" i="1" s="1"/>
  <c r="I328" i="1"/>
  <c r="G328" i="1"/>
  <c r="F328" i="1"/>
  <c r="H328" i="1" s="1"/>
  <c r="I327" i="1"/>
  <c r="G327" i="1"/>
  <c r="F327" i="1"/>
  <c r="H327" i="1" s="1"/>
  <c r="G326" i="1"/>
  <c r="F326" i="1"/>
  <c r="H326" i="1" s="1"/>
  <c r="I326" i="1" s="1"/>
  <c r="I325" i="1"/>
  <c r="G325" i="1"/>
  <c r="F325" i="1"/>
  <c r="H325" i="1" s="1"/>
  <c r="I324" i="1"/>
  <c r="G324" i="1"/>
  <c r="F324" i="1"/>
  <c r="H324" i="1" s="1"/>
  <c r="G323" i="1"/>
  <c r="F323" i="1"/>
  <c r="H323" i="1" s="1"/>
  <c r="I323" i="1" s="1"/>
  <c r="G322" i="1"/>
  <c r="F322" i="1"/>
  <c r="H322" i="1" s="1"/>
  <c r="I322" i="1" s="1"/>
  <c r="G321" i="1"/>
  <c r="F321" i="1"/>
  <c r="H321" i="1" s="1"/>
  <c r="I321" i="1" s="1"/>
  <c r="I320" i="1"/>
  <c r="G320" i="1"/>
  <c r="F320" i="1"/>
  <c r="H320" i="1" s="1"/>
  <c r="I319" i="1"/>
  <c r="G319" i="1"/>
  <c r="F319" i="1"/>
  <c r="H319" i="1" s="1"/>
  <c r="G318" i="1"/>
  <c r="F318" i="1"/>
  <c r="H318" i="1" s="1"/>
  <c r="I318" i="1" s="1"/>
  <c r="I317" i="1"/>
  <c r="G317" i="1"/>
  <c r="F317" i="1"/>
  <c r="H317" i="1" s="1"/>
  <c r="I316" i="1"/>
  <c r="G316" i="1"/>
  <c r="F316" i="1"/>
  <c r="H316" i="1" s="1"/>
  <c r="G315" i="1"/>
  <c r="F315" i="1"/>
  <c r="H315" i="1" s="1"/>
  <c r="I315" i="1" s="1"/>
  <c r="G314" i="1"/>
  <c r="F314" i="1"/>
  <c r="H314" i="1" s="1"/>
  <c r="I314" i="1" s="1"/>
  <c r="G313" i="1"/>
  <c r="F313" i="1"/>
  <c r="I312" i="1"/>
  <c r="G312" i="1"/>
  <c r="F312" i="1"/>
  <c r="H312" i="1" s="1"/>
  <c r="G311" i="1"/>
  <c r="F311" i="1"/>
  <c r="G310" i="1"/>
  <c r="F310" i="1"/>
  <c r="H310" i="1" s="1"/>
  <c r="I310" i="1" s="1"/>
  <c r="G309" i="1"/>
  <c r="F309" i="1"/>
  <c r="I308" i="1"/>
  <c r="G308" i="1"/>
  <c r="F308" i="1"/>
  <c r="H308" i="1" s="1"/>
  <c r="G307" i="1"/>
  <c r="H307" i="1" s="1"/>
  <c r="I307" i="1" s="1"/>
  <c r="F307" i="1"/>
  <c r="G306" i="1"/>
  <c r="H306" i="1" s="1"/>
  <c r="I306" i="1" s="1"/>
  <c r="F306" i="1"/>
  <c r="G305" i="1"/>
  <c r="F305" i="1"/>
  <c r="I304" i="1"/>
  <c r="G304" i="1"/>
  <c r="H304" i="1" s="1"/>
  <c r="F304" i="1"/>
  <c r="G303" i="1"/>
  <c r="F303" i="1"/>
  <c r="G302" i="1"/>
  <c r="F302" i="1"/>
  <c r="G301" i="1"/>
  <c r="F301" i="1"/>
  <c r="G300" i="1"/>
  <c r="H300" i="1" s="1"/>
  <c r="I300" i="1" s="1"/>
  <c r="F300" i="1"/>
  <c r="G299" i="1"/>
  <c r="H299" i="1" s="1"/>
  <c r="I299" i="1" s="1"/>
  <c r="F299" i="1"/>
  <c r="G298" i="1"/>
  <c r="H298" i="1" s="1"/>
  <c r="I298" i="1" s="1"/>
  <c r="F298" i="1"/>
  <c r="G297" i="1"/>
  <c r="F297" i="1"/>
  <c r="I296" i="1"/>
  <c r="G296" i="1"/>
  <c r="H296" i="1" s="1"/>
  <c r="F296" i="1"/>
  <c r="G295" i="1"/>
  <c r="F295" i="1"/>
  <c r="G294" i="1"/>
  <c r="F294" i="1"/>
  <c r="G293" i="1"/>
  <c r="F293" i="1"/>
  <c r="G292" i="1"/>
  <c r="H292" i="1" s="1"/>
  <c r="I292" i="1" s="1"/>
  <c r="F292" i="1"/>
  <c r="G291" i="1"/>
  <c r="H291" i="1" s="1"/>
  <c r="I291" i="1" s="1"/>
  <c r="F291" i="1"/>
  <c r="G290" i="1"/>
  <c r="H290" i="1" s="1"/>
  <c r="I290" i="1" s="1"/>
  <c r="F290" i="1"/>
  <c r="G289" i="1"/>
  <c r="F289" i="1"/>
  <c r="I288" i="1"/>
  <c r="G288" i="1"/>
  <c r="H288" i="1" s="1"/>
  <c r="F288" i="1"/>
  <c r="G287" i="1"/>
  <c r="F287" i="1"/>
  <c r="G286" i="1"/>
  <c r="F286" i="1"/>
  <c r="G285" i="1"/>
  <c r="F285" i="1"/>
  <c r="G284" i="1"/>
  <c r="H284" i="1" s="1"/>
  <c r="I284" i="1" s="1"/>
  <c r="F284" i="1"/>
  <c r="G283" i="1"/>
  <c r="H283" i="1" s="1"/>
  <c r="I283" i="1" s="1"/>
  <c r="F283" i="1"/>
  <c r="G282" i="1"/>
  <c r="H282" i="1" s="1"/>
  <c r="I282" i="1" s="1"/>
  <c r="F282" i="1"/>
  <c r="G281" i="1"/>
  <c r="F281" i="1"/>
  <c r="I280" i="1"/>
  <c r="G280" i="1"/>
  <c r="H280" i="1" s="1"/>
  <c r="F280" i="1"/>
  <c r="G279" i="1"/>
  <c r="F279" i="1"/>
  <c r="G278" i="1"/>
  <c r="F278" i="1"/>
  <c r="G277" i="1"/>
  <c r="F277" i="1"/>
  <c r="G276" i="1"/>
  <c r="H276" i="1" s="1"/>
  <c r="I276" i="1" s="1"/>
  <c r="F276" i="1"/>
  <c r="G275" i="1"/>
  <c r="H275" i="1" s="1"/>
  <c r="I275" i="1" s="1"/>
  <c r="F275" i="1"/>
  <c r="G274" i="1"/>
  <c r="H274" i="1" s="1"/>
  <c r="I274" i="1" s="1"/>
  <c r="F274" i="1"/>
  <c r="G273" i="1"/>
  <c r="F273" i="1"/>
  <c r="I272" i="1"/>
  <c r="G272" i="1"/>
  <c r="H272" i="1" s="1"/>
  <c r="F272" i="1"/>
  <c r="G271" i="1"/>
  <c r="F271" i="1"/>
  <c r="G270" i="1"/>
  <c r="F270" i="1"/>
  <c r="G269" i="1"/>
  <c r="F269" i="1"/>
  <c r="G268" i="1"/>
  <c r="H268" i="1" s="1"/>
  <c r="I268" i="1" s="1"/>
  <c r="F268" i="1"/>
  <c r="G267" i="1"/>
  <c r="H267" i="1" s="1"/>
  <c r="I267" i="1" s="1"/>
  <c r="F267" i="1"/>
  <c r="G266" i="1"/>
  <c r="H266" i="1" s="1"/>
  <c r="I266" i="1" s="1"/>
  <c r="F266" i="1"/>
  <c r="G265" i="1"/>
  <c r="F265" i="1"/>
  <c r="I264" i="1"/>
  <c r="G264" i="1"/>
  <c r="H264" i="1" s="1"/>
  <c r="F264" i="1"/>
  <c r="G263" i="1"/>
  <c r="F263" i="1"/>
  <c r="G262" i="1"/>
  <c r="F262" i="1"/>
  <c r="G261" i="1"/>
  <c r="F261" i="1"/>
  <c r="G260" i="1"/>
  <c r="H260" i="1" s="1"/>
  <c r="I260" i="1" s="1"/>
  <c r="F260" i="1"/>
  <c r="G259" i="1"/>
  <c r="H259" i="1" s="1"/>
  <c r="I259" i="1" s="1"/>
  <c r="F259" i="1"/>
  <c r="G258" i="1"/>
  <c r="H258" i="1" s="1"/>
  <c r="I258" i="1" s="1"/>
  <c r="F258" i="1"/>
  <c r="G257" i="1"/>
  <c r="F257" i="1"/>
  <c r="I256" i="1"/>
  <c r="G256" i="1"/>
  <c r="H256" i="1" s="1"/>
  <c r="F256" i="1"/>
  <c r="G255" i="1"/>
  <c r="F255" i="1"/>
  <c r="G254" i="1"/>
  <c r="F254" i="1"/>
  <c r="G253" i="1"/>
  <c r="F253" i="1"/>
  <c r="G252" i="1"/>
  <c r="H252" i="1" s="1"/>
  <c r="I252" i="1" s="1"/>
  <c r="F252" i="1"/>
  <c r="G251" i="1"/>
  <c r="H251" i="1" s="1"/>
  <c r="I251" i="1" s="1"/>
  <c r="F251" i="1"/>
  <c r="G250" i="1"/>
  <c r="H250" i="1" s="1"/>
  <c r="I250" i="1" s="1"/>
  <c r="F250" i="1"/>
  <c r="G249" i="1"/>
  <c r="F249" i="1"/>
  <c r="I248" i="1"/>
  <c r="G248" i="1"/>
  <c r="H248" i="1" s="1"/>
  <c r="F248" i="1"/>
  <c r="G247" i="1"/>
  <c r="F247" i="1"/>
  <c r="G246" i="1"/>
  <c r="F246" i="1"/>
  <c r="G245" i="1"/>
  <c r="F245" i="1"/>
  <c r="G244" i="1"/>
  <c r="H244" i="1" s="1"/>
  <c r="I244" i="1" s="1"/>
  <c r="F244" i="1"/>
  <c r="G243" i="1"/>
  <c r="H243" i="1" s="1"/>
  <c r="I243" i="1" s="1"/>
  <c r="F243" i="1"/>
  <c r="G242" i="1"/>
  <c r="H242" i="1" s="1"/>
  <c r="I242" i="1" s="1"/>
  <c r="F242" i="1"/>
  <c r="G241" i="1"/>
  <c r="F241" i="1"/>
  <c r="I240" i="1"/>
  <c r="G240" i="1"/>
  <c r="H240" i="1" s="1"/>
  <c r="F240" i="1"/>
  <c r="G239" i="1"/>
  <c r="F239" i="1"/>
  <c r="G238" i="1"/>
  <c r="F238" i="1"/>
  <c r="G237" i="1"/>
  <c r="F237" i="1"/>
  <c r="G236" i="1"/>
  <c r="H236" i="1" s="1"/>
  <c r="I236" i="1" s="1"/>
  <c r="F236" i="1"/>
  <c r="G235" i="1"/>
  <c r="H235" i="1" s="1"/>
  <c r="I235" i="1" s="1"/>
  <c r="F235" i="1"/>
  <c r="G234" i="1"/>
  <c r="H234" i="1" s="1"/>
  <c r="I234" i="1" s="1"/>
  <c r="F234" i="1"/>
  <c r="G233" i="1"/>
  <c r="F233" i="1"/>
  <c r="I232" i="1"/>
  <c r="G232" i="1"/>
  <c r="H232" i="1" s="1"/>
  <c r="F232" i="1"/>
  <c r="G231" i="1"/>
  <c r="F231" i="1"/>
  <c r="G230" i="1"/>
  <c r="F230" i="1"/>
  <c r="G229" i="1"/>
  <c r="F229" i="1"/>
  <c r="G228" i="1"/>
  <c r="H228" i="1" s="1"/>
  <c r="I228" i="1" s="1"/>
  <c r="F228" i="1"/>
  <c r="G227" i="1"/>
  <c r="H227" i="1" s="1"/>
  <c r="I227" i="1" s="1"/>
  <c r="F227" i="1"/>
  <c r="G226" i="1"/>
  <c r="H226" i="1" s="1"/>
  <c r="I226" i="1" s="1"/>
  <c r="F226" i="1"/>
  <c r="G225" i="1"/>
  <c r="F225" i="1"/>
  <c r="I224" i="1"/>
  <c r="G224" i="1"/>
  <c r="H224" i="1" s="1"/>
  <c r="F224" i="1"/>
  <c r="G223" i="1"/>
  <c r="F223" i="1"/>
  <c r="G222" i="1"/>
  <c r="F222" i="1"/>
  <c r="G221" i="1"/>
  <c r="F221" i="1"/>
  <c r="G220" i="1"/>
  <c r="H220" i="1" s="1"/>
  <c r="I220" i="1" s="1"/>
  <c r="F220" i="1"/>
  <c r="G219" i="1"/>
  <c r="H219" i="1" s="1"/>
  <c r="I219" i="1" s="1"/>
  <c r="F219" i="1"/>
  <c r="G218" i="1"/>
  <c r="H218" i="1" s="1"/>
  <c r="I218" i="1" s="1"/>
  <c r="F218" i="1"/>
  <c r="G217" i="1"/>
  <c r="F217" i="1"/>
  <c r="I216" i="1"/>
  <c r="G216" i="1"/>
  <c r="H216" i="1" s="1"/>
  <c r="F216" i="1"/>
  <c r="G215" i="1"/>
  <c r="F215" i="1"/>
  <c r="G214" i="1"/>
  <c r="F214" i="1"/>
  <c r="G213" i="1"/>
  <c r="F213" i="1"/>
  <c r="G212" i="1"/>
  <c r="H212" i="1" s="1"/>
  <c r="I212" i="1" s="1"/>
  <c r="F212" i="1"/>
  <c r="G211" i="1"/>
  <c r="H211" i="1" s="1"/>
  <c r="I211" i="1" s="1"/>
  <c r="F211" i="1"/>
  <c r="G210" i="1"/>
  <c r="H210" i="1" s="1"/>
  <c r="I210" i="1" s="1"/>
  <c r="F210" i="1"/>
  <c r="G209" i="1"/>
  <c r="F209" i="1"/>
  <c r="I208" i="1"/>
  <c r="G208" i="1"/>
  <c r="H208" i="1" s="1"/>
  <c r="F208" i="1"/>
  <c r="G207" i="1"/>
  <c r="F207" i="1"/>
  <c r="G206" i="1"/>
  <c r="F206" i="1"/>
  <c r="G205" i="1"/>
  <c r="F205" i="1"/>
  <c r="G204" i="1"/>
  <c r="H204" i="1" s="1"/>
  <c r="I204" i="1" s="1"/>
  <c r="F204" i="1"/>
  <c r="G203" i="1"/>
  <c r="H203" i="1" s="1"/>
  <c r="I203" i="1" s="1"/>
  <c r="F203" i="1"/>
  <c r="G202" i="1"/>
  <c r="H202" i="1" s="1"/>
  <c r="I202" i="1" s="1"/>
  <c r="F202" i="1"/>
  <c r="G201" i="1"/>
  <c r="F201" i="1"/>
  <c r="I200" i="1"/>
  <c r="G200" i="1"/>
  <c r="H200" i="1" s="1"/>
  <c r="F200" i="1"/>
  <c r="G199" i="1"/>
  <c r="F199" i="1"/>
  <c r="G198" i="1"/>
  <c r="F198" i="1"/>
  <c r="G197" i="1"/>
  <c r="F197" i="1"/>
  <c r="G196" i="1"/>
  <c r="H196" i="1" s="1"/>
  <c r="I196" i="1" s="1"/>
  <c r="F196" i="1"/>
  <c r="G195" i="1"/>
  <c r="H195" i="1" s="1"/>
  <c r="I195" i="1" s="1"/>
  <c r="F195" i="1"/>
  <c r="G194" i="1"/>
  <c r="H194" i="1" s="1"/>
  <c r="I194" i="1" s="1"/>
  <c r="F194" i="1"/>
  <c r="G193" i="1"/>
  <c r="F193" i="1"/>
  <c r="I192" i="1"/>
  <c r="G192" i="1"/>
  <c r="H192" i="1" s="1"/>
  <c r="F192" i="1"/>
  <c r="G191" i="1"/>
  <c r="F191" i="1"/>
  <c r="G190" i="1"/>
  <c r="F190" i="1"/>
  <c r="G189" i="1"/>
  <c r="F189" i="1"/>
  <c r="G188" i="1"/>
  <c r="H188" i="1" s="1"/>
  <c r="I188" i="1" s="1"/>
  <c r="F188" i="1"/>
  <c r="G187" i="1"/>
  <c r="H187" i="1" s="1"/>
  <c r="I187" i="1" s="1"/>
  <c r="F187" i="1"/>
  <c r="G186" i="1"/>
  <c r="H186" i="1" s="1"/>
  <c r="I186" i="1" s="1"/>
  <c r="F186" i="1"/>
  <c r="G185" i="1"/>
  <c r="F185" i="1"/>
  <c r="G184" i="1"/>
  <c r="H184" i="1" s="1"/>
  <c r="I184" i="1" s="1"/>
  <c r="F184" i="1"/>
  <c r="G183" i="1"/>
  <c r="F183" i="1"/>
  <c r="G182" i="1"/>
  <c r="F182" i="1"/>
  <c r="G181" i="1"/>
  <c r="F181" i="1"/>
  <c r="G180" i="1"/>
  <c r="H180" i="1" s="1"/>
  <c r="I180" i="1" s="1"/>
  <c r="F180" i="1"/>
  <c r="G179" i="1"/>
  <c r="F179" i="1"/>
  <c r="G178" i="1"/>
  <c r="H178" i="1" s="1"/>
  <c r="I178" i="1" s="1"/>
  <c r="F178" i="1"/>
  <c r="G177" i="1"/>
  <c r="F177" i="1"/>
  <c r="G176" i="1"/>
  <c r="H176" i="1" s="1"/>
  <c r="I176" i="1" s="1"/>
  <c r="F176" i="1"/>
  <c r="G175" i="1"/>
  <c r="F175" i="1"/>
  <c r="G174" i="1"/>
  <c r="F174" i="1"/>
  <c r="G173" i="1"/>
  <c r="F173" i="1"/>
  <c r="G172" i="1"/>
  <c r="H172" i="1" s="1"/>
  <c r="I172" i="1" s="1"/>
  <c r="F172" i="1"/>
  <c r="G171" i="1"/>
  <c r="F171" i="1"/>
  <c r="G170" i="1"/>
  <c r="H170" i="1" s="1"/>
  <c r="I170" i="1" s="1"/>
  <c r="F170" i="1"/>
  <c r="G169" i="1"/>
  <c r="F169" i="1"/>
  <c r="G168" i="1"/>
  <c r="H168" i="1" s="1"/>
  <c r="I168" i="1" s="1"/>
  <c r="F168" i="1"/>
  <c r="G167" i="1"/>
  <c r="F167" i="1"/>
  <c r="G166" i="1"/>
  <c r="F166" i="1"/>
  <c r="G165" i="1"/>
  <c r="F165" i="1"/>
  <c r="G164" i="1"/>
  <c r="H164" i="1" s="1"/>
  <c r="I164" i="1" s="1"/>
  <c r="F164" i="1"/>
  <c r="G163" i="1"/>
  <c r="F163" i="1"/>
  <c r="G162" i="1"/>
  <c r="H162" i="1" s="1"/>
  <c r="I162" i="1" s="1"/>
  <c r="F162" i="1"/>
  <c r="G161" i="1"/>
  <c r="F161" i="1"/>
  <c r="G160" i="1"/>
  <c r="H160" i="1" s="1"/>
  <c r="I160" i="1" s="1"/>
  <c r="F160" i="1"/>
  <c r="G159" i="1"/>
  <c r="F159" i="1"/>
  <c r="G158" i="1"/>
  <c r="F158" i="1"/>
  <c r="G157" i="1"/>
  <c r="F157" i="1"/>
  <c r="G156" i="1"/>
  <c r="H156" i="1" s="1"/>
  <c r="I156" i="1" s="1"/>
  <c r="F156" i="1"/>
  <c r="G155" i="1"/>
  <c r="F155" i="1"/>
  <c r="G154" i="1"/>
  <c r="H154" i="1" s="1"/>
  <c r="I154" i="1" s="1"/>
  <c r="F154" i="1"/>
  <c r="G153" i="1"/>
  <c r="F153" i="1"/>
  <c r="G152" i="1"/>
  <c r="H152" i="1" s="1"/>
  <c r="I152" i="1" s="1"/>
  <c r="F152" i="1"/>
  <c r="G151" i="1"/>
  <c r="F151" i="1"/>
  <c r="G150" i="1"/>
  <c r="F150" i="1"/>
  <c r="G149" i="1"/>
  <c r="F149" i="1"/>
  <c r="G148" i="1"/>
  <c r="H148" i="1" s="1"/>
  <c r="I148" i="1" s="1"/>
  <c r="F148" i="1"/>
  <c r="G147" i="1"/>
  <c r="F147" i="1"/>
  <c r="G146" i="1"/>
  <c r="H146" i="1" s="1"/>
  <c r="I146" i="1" s="1"/>
  <c r="F146" i="1"/>
  <c r="G145" i="1"/>
  <c r="F145" i="1"/>
  <c r="G144" i="1"/>
  <c r="H144" i="1" s="1"/>
  <c r="I144" i="1" s="1"/>
  <c r="F144" i="1"/>
  <c r="G143" i="1"/>
  <c r="F143" i="1"/>
  <c r="G142" i="1"/>
  <c r="F142" i="1"/>
  <c r="G141" i="1"/>
  <c r="F141" i="1"/>
  <c r="G140" i="1"/>
  <c r="H140" i="1" s="1"/>
  <c r="I140" i="1" s="1"/>
  <c r="F140" i="1"/>
  <c r="G139" i="1"/>
  <c r="F139" i="1"/>
  <c r="G138" i="1"/>
  <c r="H138" i="1" s="1"/>
  <c r="I138" i="1" s="1"/>
  <c r="F138" i="1"/>
  <c r="G137" i="1"/>
  <c r="F137" i="1"/>
  <c r="G136" i="1"/>
  <c r="H136" i="1" s="1"/>
  <c r="I136" i="1" s="1"/>
  <c r="F136" i="1"/>
  <c r="G135" i="1"/>
  <c r="F135" i="1"/>
  <c r="G134" i="1"/>
  <c r="F134" i="1"/>
  <c r="G133" i="1"/>
  <c r="F133" i="1"/>
  <c r="G132" i="1"/>
  <c r="H132" i="1" s="1"/>
  <c r="I132" i="1" s="1"/>
  <c r="F132" i="1"/>
  <c r="G131" i="1"/>
  <c r="F131" i="1"/>
  <c r="G130" i="1"/>
  <c r="H130" i="1" s="1"/>
  <c r="I130" i="1" s="1"/>
  <c r="F130" i="1"/>
  <c r="G129" i="1"/>
  <c r="F129" i="1"/>
  <c r="G128" i="1"/>
  <c r="H128" i="1" s="1"/>
  <c r="I128" i="1" s="1"/>
  <c r="F128" i="1"/>
  <c r="G127" i="1"/>
  <c r="F127" i="1"/>
  <c r="G126" i="1"/>
  <c r="F126" i="1"/>
  <c r="G125" i="1"/>
  <c r="F125" i="1"/>
  <c r="G124" i="1"/>
  <c r="H124" i="1" s="1"/>
  <c r="I124" i="1" s="1"/>
  <c r="F124" i="1"/>
  <c r="G123" i="1"/>
  <c r="F123" i="1"/>
  <c r="G122" i="1"/>
  <c r="H122" i="1" s="1"/>
  <c r="I122" i="1" s="1"/>
  <c r="F122" i="1"/>
  <c r="G121" i="1"/>
  <c r="F121" i="1"/>
  <c r="G120" i="1"/>
  <c r="H120" i="1" s="1"/>
  <c r="I120" i="1" s="1"/>
  <c r="F120" i="1"/>
  <c r="I119" i="1"/>
  <c r="G119" i="1"/>
  <c r="H119" i="1" s="1"/>
  <c r="F119" i="1"/>
  <c r="G118" i="1"/>
  <c r="F118" i="1"/>
  <c r="G117" i="1"/>
  <c r="F117" i="1"/>
  <c r="G116" i="1"/>
  <c r="H116" i="1" s="1"/>
  <c r="I116" i="1" s="1"/>
  <c r="F116" i="1"/>
  <c r="G115" i="1"/>
  <c r="F115" i="1"/>
  <c r="G114" i="1"/>
  <c r="H114" i="1" s="1"/>
  <c r="I114" i="1" s="1"/>
  <c r="F114" i="1"/>
  <c r="G113" i="1"/>
  <c r="F113" i="1"/>
  <c r="G112" i="1"/>
  <c r="H112" i="1" s="1"/>
  <c r="I112" i="1" s="1"/>
  <c r="F112" i="1"/>
  <c r="G111" i="1"/>
  <c r="F111" i="1"/>
  <c r="G110" i="1"/>
  <c r="F110" i="1"/>
  <c r="G109" i="1"/>
  <c r="F109" i="1"/>
  <c r="G108" i="1"/>
  <c r="H108" i="1" s="1"/>
  <c r="I108" i="1" s="1"/>
  <c r="F108" i="1"/>
  <c r="G107" i="1"/>
  <c r="F107" i="1"/>
  <c r="G106" i="1"/>
  <c r="H106" i="1" s="1"/>
  <c r="I106" i="1" s="1"/>
  <c r="F106" i="1"/>
  <c r="G105" i="1"/>
  <c r="F105" i="1"/>
  <c r="G104" i="1"/>
  <c r="H104" i="1" s="1"/>
  <c r="I104" i="1" s="1"/>
  <c r="F104" i="1"/>
  <c r="G103" i="1"/>
  <c r="F103" i="1"/>
  <c r="G102" i="1"/>
  <c r="F102" i="1"/>
  <c r="G101" i="1"/>
  <c r="F101" i="1"/>
  <c r="G100" i="1"/>
  <c r="H100" i="1" s="1"/>
  <c r="I100" i="1" s="1"/>
  <c r="F100" i="1"/>
  <c r="G99" i="1"/>
  <c r="F99" i="1"/>
  <c r="G98" i="1"/>
  <c r="H98" i="1" s="1"/>
  <c r="I98" i="1" s="1"/>
  <c r="F98" i="1"/>
  <c r="G97" i="1"/>
  <c r="F97" i="1"/>
  <c r="G96" i="1"/>
  <c r="H96" i="1" s="1"/>
  <c r="I96" i="1" s="1"/>
  <c r="F96" i="1"/>
  <c r="G95" i="1"/>
  <c r="F95" i="1"/>
  <c r="G94" i="1"/>
  <c r="F94" i="1"/>
  <c r="G93" i="1"/>
  <c r="F93" i="1"/>
  <c r="G92" i="1"/>
  <c r="H92" i="1" s="1"/>
  <c r="I92" i="1" s="1"/>
  <c r="F92" i="1"/>
  <c r="G91" i="1"/>
  <c r="F91" i="1"/>
  <c r="G90" i="1"/>
  <c r="H90" i="1" s="1"/>
  <c r="I90" i="1" s="1"/>
  <c r="F90" i="1"/>
  <c r="G89" i="1"/>
  <c r="F89" i="1"/>
  <c r="G88" i="1"/>
  <c r="H88" i="1" s="1"/>
  <c r="I88" i="1" s="1"/>
  <c r="F88" i="1"/>
  <c r="G87" i="1"/>
  <c r="F87" i="1"/>
  <c r="G86" i="1"/>
  <c r="F86" i="1"/>
  <c r="G85" i="1"/>
  <c r="F85" i="1"/>
  <c r="G84" i="1"/>
  <c r="H84" i="1" s="1"/>
  <c r="I84" i="1" s="1"/>
  <c r="F84" i="1"/>
  <c r="G83" i="1"/>
  <c r="F83" i="1"/>
  <c r="G82" i="1"/>
  <c r="H82" i="1" s="1"/>
  <c r="I82" i="1" s="1"/>
  <c r="F82" i="1"/>
  <c r="G81" i="1"/>
  <c r="F81" i="1"/>
  <c r="G80" i="1"/>
  <c r="H80" i="1" s="1"/>
  <c r="I80" i="1" s="1"/>
  <c r="F80" i="1"/>
  <c r="G79" i="1"/>
  <c r="F79" i="1"/>
  <c r="G78" i="1"/>
  <c r="F78" i="1"/>
  <c r="G77" i="1"/>
  <c r="F77" i="1"/>
  <c r="G76" i="1"/>
  <c r="H76" i="1" s="1"/>
  <c r="I76" i="1" s="1"/>
  <c r="F76" i="1"/>
  <c r="G75" i="1"/>
  <c r="F75" i="1"/>
  <c r="G74" i="1"/>
  <c r="H74" i="1" s="1"/>
  <c r="I74" i="1" s="1"/>
  <c r="F74" i="1"/>
  <c r="G73" i="1"/>
  <c r="F73" i="1"/>
  <c r="G72" i="1"/>
  <c r="H72" i="1" s="1"/>
  <c r="I72" i="1" s="1"/>
  <c r="F72" i="1"/>
  <c r="I71" i="1"/>
  <c r="G71" i="1"/>
  <c r="H71" i="1" s="1"/>
  <c r="F71" i="1"/>
  <c r="G70" i="1"/>
  <c r="F70" i="1"/>
  <c r="G69" i="1"/>
  <c r="F69" i="1"/>
  <c r="G68" i="1"/>
  <c r="H68" i="1" s="1"/>
  <c r="I68" i="1" s="1"/>
  <c r="F68" i="1"/>
  <c r="G67" i="1"/>
  <c r="F67" i="1"/>
  <c r="G66" i="1"/>
  <c r="H66" i="1" s="1"/>
  <c r="I66" i="1" s="1"/>
  <c r="F66" i="1"/>
  <c r="G65" i="1"/>
  <c r="F65" i="1"/>
  <c r="G64" i="1"/>
  <c r="H64" i="1" s="1"/>
  <c r="I64" i="1" s="1"/>
  <c r="F64" i="1"/>
  <c r="I63" i="1"/>
  <c r="G63" i="1"/>
  <c r="H63" i="1" s="1"/>
  <c r="F63" i="1"/>
  <c r="G62" i="1"/>
  <c r="F62" i="1"/>
  <c r="G61" i="1"/>
  <c r="F61" i="1"/>
  <c r="G60" i="1"/>
  <c r="H60" i="1" s="1"/>
  <c r="I60" i="1" s="1"/>
  <c r="F60" i="1"/>
  <c r="G59" i="1"/>
  <c r="F59" i="1"/>
  <c r="G58" i="1"/>
  <c r="H58" i="1" s="1"/>
  <c r="I58" i="1" s="1"/>
  <c r="F58" i="1"/>
  <c r="G57" i="1"/>
  <c r="F57" i="1"/>
  <c r="G56" i="1"/>
  <c r="H56" i="1" s="1"/>
  <c r="I56" i="1" s="1"/>
  <c r="F56" i="1"/>
  <c r="I55" i="1"/>
  <c r="G55" i="1"/>
  <c r="H55" i="1" s="1"/>
  <c r="F55" i="1"/>
  <c r="G54" i="1"/>
  <c r="F54" i="1"/>
  <c r="G53" i="1"/>
  <c r="F53" i="1"/>
  <c r="G52" i="1"/>
  <c r="H52" i="1" s="1"/>
  <c r="I52" i="1" s="1"/>
  <c r="F52" i="1"/>
  <c r="G51" i="1"/>
  <c r="F51" i="1"/>
  <c r="G50" i="1"/>
  <c r="H50" i="1" s="1"/>
  <c r="I50" i="1" s="1"/>
  <c r="F50" i="1"/>
  <c r="G49" i="1"/>
  <c r="F49" i="1"/>
  <c r="G48" i="1"/>
  <c r="H48" i="1" s="1"/>
  <c r="I48" i="1" s="1"/>
  <c r="F48" i="1"/>
  <c r="I47" i="1"/>
  <c r="G47" i="1"/>
  <c r="H47" i="1" s="1"/>
  <c r="F47" i="1"/>
  <c r="G46" i="1"/>
  <c r="F46" i="1"/>
  <c r="G45" i="1"/>
  <c r="F45" i="1"/>
  <c r="G44" i="1"/>
  <c r="H44" i="1" s="1"/>
  <c r="I44" i="1" s="1"/>
  <c r="F44" i="1"/>
  <c r="G43" i="1"/>
  <c r="F43" i="1"/>
  <c r="G42" i="1"/>
  <c r="H42" i="1" s="1"/>
  <c r="I42" i="1" s="1"/>
  <c r="F42" i="1"/>
  <c r="G41" i="1"/>
  <c r="F41" i="1"/>
  <c r="G40" i="1"/>
  <c r="H40" i="1" s="1"/>
  <c r="I40" i="1" s="1"/>
  <c r="F40" i="1"/>
  <c r="I39" i="1"/>
  <c r="G39" i="1"/>
  <c r="H39" i="1" s="1"/>
  <c r="F39" i="1"/>
  <c r="G38" i="1"/>
  <c r="F38" i="1"/>
  <c r="G37" i="1"/>
  <c r="F37" i="1"/>
  <c r="G36" i="1"/>
  <c r="H36" i="1" s="1"/>
  <c r="I36" i="1" s="1"/>
  <c r="F36" i="1"/>
  <c r="G35" i="1"/>
  <c r="F35" i="1"/>
  <c r="G34" i="1"/>
  <c r="H34" i="1" s="1"/>
  <c r="I34" i="1" s="1"/>
  <c r="F34" i="1"/>
  <c r="G33" i="1"/>
  <c r="F33" i="1"/>
  <c r="G32" i="1"/>
  <c r="H32" i="1" s="1"/>
  <c r="I32" i="1" s="1"/>
  <c r="F32" i="1"/>
  <c r="I31" i="1"/>
  <c r="G31" i="1"/>
  <c r="H31" i="1" s="1"/>
  <c r="F31" i="1"/>
  <c r="G30" i="1"/>
  <c r="F30" i="1"/>
  <c r="G29" i="1"/>
  <c r="F29" i="1"/>
  <c r="G28" i="1"/>
  <c r="H28" i="1" s="1"/>
  <c r="I28" i="1" s="1"/>
  <c r="F28" i="1"/>
  <c r="G27" i="1"/>
  <c r="F27" i="1"/>
  <c r="G26" i="1"/>
  <c r="H26" i="1" s="1"/>
  <c r="I26" i="1" s="1"/>
  <c r="F26" i="1"/>
  <c r="G25" i="1"/>
  <c r="F25" i="1"/>
  <c r="G24" i="1"/>
  <c r="H24" i="1" s="1"/>
  <c r="I24" i="1" s="1"/>
  <c r="F24" i="1"/>
  <c r="G23" i="1"/>
  <c r="H23" i="1" s="1"/>
  <c r="I23" i="1" s="1"/>
  <c r="F23" i="1"/>
  <c r="G22" i="1"/>
  <c r="H22" i="1" s="1"/>
  <c r="I22" i="1" s="1"/>
  <c r="F22" i="1"/>
  <c r="G21" i="1"/>
  <c r="H21" i="1" s="1"/>
  <c r="I21" i="1" s="1"/>
  <c r="F21" i="1"/>
  <c r="G20" i="1"/>
  <c r="H20" i="1" s="1"/>
  <c r="I20" i="1" s="1"/>
  <c r="F20" i="1"/>
  <c r="G19" i="1"/>
  <c r="H19" i="1" s="1"/>
  <c r="I19" i="1" s="1"/>
  <c r="F19" i="1"/>
  <c r="G18" i="1"/>
  <c r="H18" i="1" s="1"/>
  <c r="I18" i="1" s="1"/>
  <c r="F18" i="1"/>
  <c r="G17" i="1"/>
  <c r="H17" i="1" s="1"/>
  <c r="I17" i="1" s="1"/>
  <c r="F17" i="1"/>
  <c r="G16" i="1"/>
  <c r="H16" i="1" s="1"/>
  <c r="I16" i="1" s="1"/>
  <c r="F16" i="1"/>
  <c r="G15" i="1"/>
  <c r="H15" i="1" s="1"/>
  <c r="I15" i="1" s="1"/>
  <c r="F15" i="1"/>
  <c r="G14" i="1"/>
  <c r="H14" i="1" s="1"/>
  <c r="I14" i="1" s="1"/>
  <c r="F14" i="1"/>
  <c r="G13" i="1"/>
  <c r="H13" i="1" s="1"/>
  <c r="I13" i="1" s="1"/>
  <c r="F13" i="1"/>
  <c r="G12" i="1"/>
  <c r="H12" i="1" s="1"/>
  <c r="I12" i="1" s="1"/>
  <c r="F12" i="1"/>
  <c r="G11" i="1"/>
  <c r="H11" i="1" s="1"/>
  <c r="I11" i="1" s="1"/>
  <c r="F11" i="1"/>
  <c r="G10" i="1"/>
  <c r="H10" i="1" s="1"/>
  <c r="I10" i="1" s="1"/>
  <c r="F10" i="1"/>
  <c r="G9" i="1"/>
  <c r="H9" i="1" s="1"/>
  <c r="I9" i="1" s="1"/>
  <c r="F9" i="1"/>
  <c r="G8" i="1"/>
  <c r="H8" i="1" s="1"/>
  <c r="I8" i="1" s="1"/>
  <c r="F8" i="1"/>
  <c r="G7" i="1"/>
  <c r="H7" i="1" s="1"/>
  <c r="I7" i="1" s="1"/>
  <c r="F7" i="1"/>
  <c r="G6" i="1"/>
  <c r="H6" i="1" s="1"/>
  <c r="I6" i="1" s="1"/>
  <c r="F6" i="1"/>
  <c r="G5" i="1"/>
  <c r="H5" i="1" s="1"/>
  <c r="I5" i="1" s="1"/>
  <c r="F5" i="1"/>
  <c r="G4" i="1"/>
  <c r="H4" i="1" s="1"/>
  <c r="I4" i="1" s="1"/>
  <c r="F4" i="1"/>
  <c r="G3" i="1"/>
  <c r="H3" i="1" s="1"/>
  <c r="I3" i="1" s="1"/>
  <c r="F3" i="1"/>
  <c r="I2" i="1"/>
  <c r="H27" i="1" l="1"/>
  <c r="I27" i="1" s="1"/>
  <c r="H51" i="1"/>
  <c r="I51" i="1" s="1"/>
  <c r="H123" i="1"/>
  <c r="I123" i="1" s="1"/>
  <c r="H147" i="1"/>
  <c r="I147" i="1" s="1"/>
  <c r="H54" i="1"/>
  <c r="I54" i="1" s="1"/>
  <c r="H86" i="1"/>
  <c r="I86" i="1" s="1"/>
  <c r="H118" i="1"/>
  <c r="I118" i="1" s="1"/>
  <c r="H126" i="1"/>
  <c r="I126" i="1" s="1"/>
  <c r="H158" i="1"/>
  <c r="I158" i="1" s="1"/>
  <c r="H166" i="1"/>
  <c r="I166" i="1" s="1"/>
  <c r="H174" i="1"/>
  <c r="I174" i="1" s="1"/>
  <c r="H190" i="1"/>
  <c r="I190" i="1" s="1"/>
  <c r="H198" i="1"/>
  <c r="I198" i="1" s="1"/>
  <c r="H206" i="1"/>
  <c r="I206" i="1" s="1"/>
  <c r="H262" i="1"/>
  <c r="I262" i="1" s="1"/>
  <c r="H278" i="1"/>
  <c r="I278" i="1" s="1"/>
  <c r="H294" i="1"/>
  <c r="I294" i="1" s="1"/>
  <c r="H302" i="1"/>
  <c r="I302" i="1" s="1"/>
  <c r="H59" i="1"/>
  <c r="I59" i="1" s="1"/>
  <c r="H163" i="1"/>
  <c r="I163" i="1" s="1"/>
  <c r="H179" i="1"/>
  <c r="I179" i="1" s="1"/>
  <c r="H70" i="1"/>
  <c r="I70" i="1" s="1"/>
  <c r="H102" i="1"/>
  <c r="I102" i="1" s="1"/>
  <c r="H134" i="1"/>
  <c r="I134" i="1" s="1"/>
  <c r="H142" i="1"/>
  <c r="I142" i="1" s="1"/>
  <c r="H150" i="1"/>
  <c r="I150" i="1" s="1"/>
  <c r="H182" i="1"/>
  <c r="I182" i="1" s="1"/>
  <c r="H230" i="1"/>
  <c r="I230" i="1" s="1"/>
  <c r="H238" i="1"/>
  <c r="I238" i="1" s="1"/>
  <c r="H246" i="1"/>
  <c r="I246" i="1" s="1"/>
  <c r="H286" i="1"/>
  <c r="I286" i="1" s="1"/>
  <c r="H79" i="1"/>
  <c r="I79" i="1" s="1"/>
  <c r="H87" i="1"/>
  <c r="I87" i="1" s="1"/>
  <c r="H95" i="1"/>
  <c r="I95" i="1" s="1"/>
  <c r="H103" i="1"/>
  <c r="I103" i="1" s="1"/>
  <c r="H111" i="1"/>
  <c r="I111" i="1" s="1"/>
  <c r="H127" i="1"/>
  <c r="I127" i="1" s="1"/>
  <c r="H135" i="1"/>
  <c r="I135" i="1" s="1"/>
  <c r="H143" i="1"/>
  <c r="I143" i="1" s="1"/>
  <c r="H151" i="1"/>
  <c r="I151" i="1" s="1"/>
  <c r="H159" i="1"/>
  <c r="I159" i="1" s="1"/>
  <c r="H167" i="1"/>
  <c r="I167" i="1" s="1"/>
  <c r="H175" i="1"/>
  <c r="I175" i="1" s="1"/>
  <c r="H183" i="1"/>
  <c r="I183" i="1" s="1"/>
  <c r="H191" i="1"/>
  <c r="I191" i="1" s="1"/>
  <c r="H199" i="1"/>
  <c r="I199" i="1" s="1"/>
  <c r="H207" i="1"/>
  <c r="I207" i="1" s="1"/>
  <c r="H215" i="1"/>
  <c r="I215" i="1" s="1"/>
  <c r="H223" i="1"/>
  <c r="I223" i="1" s="1"/>
  <c r="H231" i="1"/>
  <c r="I231" i="1" s="1"/>
  <c r="H239" i="1"/>
  <c r="I239" i="1" s="1"/>
  <c r="H247" i="1"/>
  <c r="I247" i="1" s="1"/>
  <c r="H255" i="1"/>
  <c r="I255" i="1" s="1"/>
  <c r="H263" i="1"/>
  <c r="I263" i="1" s="1"/>
  <c r="H271" i="1"/>
  <c r="I271" i="1" s="1"/>
  <c r="H279" i="1"/>
  <c r="I279" i="1" s="1"/>
  <c r="H287" i="1"/>
  <c r="I287" i="1" s="1"/>
  <c r="H295" i="1"/>
  <c r="I295" i="1" s="1"/>
  <c r="H303" i="1"/>
  <c r="I303" i="1" s="1"/>
  <c r="H311" i="1"/>
  <c r="I311" i="1" s="1"/>
  <c r="H43" i="1"/>
  <c r="I43" i="1" s="1"/>
  <c r="H99" i="1"/>
  <c r="I99" i="1" s="1"/>
  <c r="H29" i="1"/>
  <c r="I29" i="1" s="1"/>
  <c r="H37" i="1"/>
  <c r="I37" i="1" s="1"/>
  <c r="H45" i="1"/>
  <c r="I45" i="1" s="1"/>
  <c r="H53" i="1"/>
  <c r="I53" i="1" s="1"/>
  <c r="H61" i="1"/>
  <c r="I61" i="1" s="1"/>
  <c r="H69" i="1"/>
  <c r="I69" i="1" s="1"/>
  <c r="H77" i="1"/>
  <c r="I77" i="1" s="1"/>
  <c r="H85" i="1"/>
  <c r="I85" i="1" s="1"/>
  <c r="H93" i="1"/>
  <c r="I93" i="1" s="1"/>
  <c r="H101" i="1"/>
  <c r="I101" i="1" s="1"/>
  <c r="H109" i="1"/>
  <c r="I109" i="1" s="1"/>
  <c r="H117" i="1"/>
  <c r="I117" i="1" s="1"/>
  <c r="H125" i="1"/>
  <c r="I125" i="1" s="1"/>
  <c r="H133" i="1"/>
  <c r="I133" i="1" s="1"/>
  <c r="H141" i="1"/>
  <c r="I141" i="1" s="1"/>
  <c r="H149" i="1"/>
  <c r="I149" i="1" s="1"/>
  <c r="H157" i="1"/>
  <c r="I157" i="1" s="1"/>
  <c r="H165" i="1"/>
  <c r="I165" i="1" s="1"/>
  <c r="H173" i="1"/>
  <c r="I173" i="1" s="1"/>
  <c r="H181" i="1"/>
  <c r="I181" i="1" s="1"/>
  <c r="H189" i="1"/>
  <c r="I189" i="1" s="1"/>
  <c r="H197" i="1"/>
  <c r="I197" i="1" s="1"/>
  <c r="H205" i="1"/>
  <c r="I205" i="1" s="1"/>
  <c r="H213" i="1"/>
  <c r="I213" i="1" s="1"/>
  <c r="H221" i="1"/>
  <c r="I221" i="1" s="1"/>
  <c r="H229" i="1"/>
  <c r="I229" i="1" s="1"/>
  <c r="H237" i="1"/>
  <c r="I237" i="1" s="1"/>
  <c r="H245" i="1"/>
  <c r="I245" i="1" s="1"/>
  <c r="H253" i="1"/>
  <c r="I253" i="1" s="1"/>
  <c r="H261" i="1"/>
  <c r="I261" i="1" s="1"/>
  <c r="H269" i="1"/>
  <c r="I269" i="1" s="1"/>
  <c r="H277" i="1"/>
  <c r="I277" i="1" s="1"/>
  <c r="H285" i="1"/>
  <c r="I285" i="1" s="1"/>
  <c r="H293" i="1"/>
  <c r="I293" i="1" s="1"/>
  <c r="H301" i="1"/>
  <c r="I301" i="1" s="1"/>
  <c r="H309" i="1"/>
  <c r="I309" i="1" s="1"/>
  <c r="H449" i="1"/>
  <c r="I449" i="1" s="1"/>
  <c r="H75" i="1"/>
  <c r="I75" i="1" s="1"/>
  <c r="H139" i="1"/>
  <c r="I139" i="1" s="1"/>
  <c r="H155" i="1"/>
  <c r="I155" i="1" s="1"/>
  <c r="H83" i="1"/>
  <c r="I83" i="1" s="1"/>
  <c r="H107" i="1"/>
  <c r="I107" i="1" s="1"/>
  <c r="H171" i="1"/>
  <c r="I171" i="1" s="1"/>
  <c r="H38" i="1"/>
  <c r="I38" i="1" s="1"/>
  <c r="H78" i="1"/>
  <c r="I78" i="1" s="1"/>
  <c r="H222" i="1"/>
  <c r="I222" i="1" s="1"/>
  <c r="H254" i="1"/>
  <c r="I254" i="1" s="1"/>
  <c r="H270" i="1"/>
  <c r="I270" i="1" s="1"/>
  <c r="H353" i="1"/>
  <c r="I353" i="1" s="1"/>
  <c r="H369" i="1"/>
  <c r="I369" i="1" s="1"/>
  <c r="H401" i="1"/>
  <c r="I401" i="1" s="1"/>
  <c r="H453" i="1"/>
  <c r="I453" i="1" s="1"/>
  <c r="H480" i="1"/>
  <c r="I480" i="1" s="1"/>
  <c r="H541" i="1"/>
  <c r="I541" i="1" s="1"/>
  <c r="H35" i="1"/>
  <c r="I35" i="1" s="1"/>
  <c r="H67" i="1"/>
  <c r="I67" i="1" s="1"/>
  <c r="H91" i="1"/>
  <c r="I91" i="1" s="1"/>
  <c r="H115" i="1"/>
  <c r="I115" i="1" s="1"/>
  <c r="H131" i="1"/>
  <c r="I131" i="1" s="1"/>
  <c r="H30" i="1"/>
  <c r="I30" i="1" s="1"/>
  <c r="H46" i="1"/>
  <c r="I46" i="1" s="1"/>
  <c r="H62" i="1"/>
  <c r="I62" i="1" s="1"/>
  <c r="H94" i="1"/>
  <c r="I94" i="1" s="1"/>
  <c r="H110" i="1"/>
  <c r="I110" i="1" s="1"/>
  <c r="H214" i="1"/>
  <c r="I214" i="1" s="1"/>
  <c r="H385" i="1"/>
  <c r="I385" i="1" s="1"/>
  <c r="H417" i="1"/>
  <c r="I417" i="1" s="1"/>
  <c r="H25" i="1"/>
  <c r="I25" i="1" s="1"/>
  <c r="H33" i="1"/>
  <c r="I33" i="1" s="1"/>
  <c r="H41" i="1"/>
  <c r="I41" i="1" s="1"/>
  <c r="H49" i="1"/>
  <c r="I49" i="1" s="1"/>
  <c r="H57" i="1"/>
  <c r="I57" i="1" s="1"/>
  <c r="H65" i="1"/>
  <c r="I65" i="1" s="1"/>
  <c r="H73" i="1"/>
  <c r="I73" i="1" s="1"/>
  <c r="H81" i="1"/>
  <c r="I81" i="1" s="1"/>
  <c r="H89" i="1"/>
  <c r="I89" i="1" s="1"/>
  <c r="H97" i="1"/>
  <c r="I97" i="1" s="1"/>
  <c r="H105" i="1"/>
  <c r="I105" i="1" s="1"/>
  <c r="H113" i="1"/>
  <c r="I113" i="1" s="1"/>
  <c r="H121" i="1"/>
  <c r="I121" i="1" s="1"/>
  <c r="H129" i="1"/>
  <c r="I129" i="1" s="1"/>
  <c r="H137" i="1"/>
  <c r="I137" i="1" s="1"/>
  <c r="H145" i="1"/>
  <c r="I145" i="1" s="1"/>
  <c r="H153" i="1"/>
  <c r="I153" i="1" s="1"/>
  <c r="H161" i="1"/>
  <c r="I161" i="1" s="1"/>
  <c r="H169" i="1"/>
  <c r="I169" i="1" s="1"/>
  <c r="H177" i="1"/>
  <c r="I177" i="1" s="1"/>
  <c r="H185" i="1"/>
  <c r="I185" i="1" s="1"/>
  <c r="H193" i="1"/>
  <c r="I193" i="1" s="1"/>
  <c r="H201" i="1"/>
  <c r="I201" i="1" s="1"/>
  <c r="H209" i="1"/>
  <c r="I209" i="1" s="1"/>
  <c r="H217" i="1"/>
  <c r="I217" i="1" s="1"/>
  <c r="H225" i="1"/>
  <c r="I225" i="1" s="1"/>
  <c r="H233" i="1"/>
  <c r="I233" i="1" s="1"/>
  <c r="H241" i="1"/>
  <c r="I241" i="1" s="1"/>
  <c r="H249" i="1"/>
  <c r="I249" i="1" s="1"/>
  <c r="H257" i="1"/>
  <c r="I257" i="1" s="1"/>
  <c r="H265" i="1"/>
  <c r="I265" i="1" s="1"/>
  <c r="H273" i="1"/>
  <c r="I273" i="1" s="1"/>
  <c r="H281" i="1"/>
  <c r="I281" i="1" s="1"/>
  <c r="H289" i="1"/>
  <c r="I289" i="1" s="1"/>
  <c r="H297" i="1"/>
  <c r="I297" i="1" s="1"/>
  <c r="H305" i="1"/>
  <c r="I305" i="1" s="1"/>
  <c r="H313" i="1"/>
  <c r="I313" i="1" s="1"/>
  <c r="H335" i="1"/>
  <c r="I335" i="1" s="1"/>
  <c r="H433" i="1"/>
  <c r="I433" i="1" s="1"/>
  <c r="H485" i="1"/>
  <c r="I485" i="1" s="1"/>
  <c r="H477" i="1"/>
  <c r="I477" i="1" s="1"/>
  <c r="H517" i="1"/>
  <c r="I517" i="1" s="1"/>
  <c r="H461" i="1"/>
  <c r="I461" i="1" s="1"/>
  <c r="H582" i="1"/>
  <c r="I582" i="1" s="1"/>
  <c r="H597" i="1"/>
  <c r="I597" i="1" s="1"/>
  <c r="H603" i="1"/>
  <c r="I603" i="1" s="1"/>
  <c r="H637" i="1"/>
  <c r="I637" i="1" s="1"/>
  <c r="H653" i="1"/>
  <c r="I653" i="1" s="1"/>
  <c r="H669" i="1"/>
  <c r="I669" i="1" s="1"/>
  <c r="H685" i="1"/>
  <c r="I685" i="1" s="1"/>
  <c r="H457" i="1"/>
  <c r="I457" i="1" s="1"/>
  <c r="H598" i="1"/>
  <c r="I598" i="1" s="1"/>
  <c r="H613" i="1"/>
  <c r="I613" i="1" s="1"/>
  <c r="H619" i="1"/>
  <c r="I619" i="1" s="1"/>
  <c r="H632" i="1"/>
  <c r="I632" i="1" s="1"/>
  <c r="H648" i="1"/>
  <c r="I648" i="1" s="1"/>
  <c r="H664" i="1"/>
  <c r="I664" i="1" s="1"/>
  <c r="H680" i="1"/>
  <c r="I680" i="1" s="1"/>
  <c r="H696" i="1"/>
  <c r="I696" i="1" s="1"/>
  <c r="H712" i="1"/>
  <c r="I712" i="1" s="1"/>
  <c r="H565" i="1"/>
  <c r="I565" i="1" s="1"/>
  <c r="H571" i="1"/>
  <c r="I571" i="1" s="1"/>
  <c r="H614" i="1"/>
  <c r="I614" i="1" s="1"/>
  <c r="H629" i="1"/>
  <c r="I629" i="1" s="1"/>
  <c r="H645" i="1"/>
  <c r="I645" i="1" s="1"/>
  <c r="H661" i="1"/>
  <c r="I661" i="1" s="1"/>
  <c r="H677" i="1"/>
  <c r="I677" i="1" s="1"/>
  <c r="H693" i="1"/>
  <c r="I693" i="1" s="1"/>
  <c r="H709" i="1"/>
  <c r="I709" i="1" s="1"/>
  <c r="H465" i="1"/>
  <c r="I465" i="1" s="1"/>
  <c r="H566" i="1"/>
  <c r="I566" i="1" s="1"/>
  <c r="H581" i="1"/>
  <c r="I581" i="1" s="1"/>
  <c r="H587" i="1"/>
  <c r="I587" i="1" s="1"/>
  <c r="H640" i="1"/>
  <c r="I640" i="1" s="1"/>
  <c r="H656" i="1"/>
  <c r="I656" i="1" s="1"/>
  <c r="H672" i="1"/>
  <c r="I672" i="1" s="1"/>
  <c r="H688" i="1"/>
  <c r="I688" i="1" s="1"/>
  <c r="H704" i="1"/>
  <c r="I704" i="1" s="1"/>
  <c r="H720" i="1"/>
  <c r="I720" i="1" s="1"/>
  <c r="H609" i="1"/>
  <c r="I609" i="1" s="1"/>
  <c r="H617" i="1"/>
  <c r="I617" i="1" s="1"/>
  <c r="H625" i="1"/>
  <c r="I625" i="1" s="1"/>
  <c r="H633" i="1"/>
  <c r="I633" i="1" s="1"/>
  <c r="H641" i="1"/>
  <c r="I641" i="1" s="1"/>
  <c r="H649" i="1"/>
  <c r="I649" i="1" s="1"/>
  <c r="H657" i="1"/>
  <c r="I657" i="1" s="1"/>
  <c r="H665" i="1"/>
  <c r="I665" i="1" s="1"/>
  <c r="H673" i="1"/>
  <c r="I673" i="1" s="1"/>
  <c r="H681" i="1"/>
  <c r="I681" i="1" s="1"/>
  <c r="H689" i="1"/>
  <c r="I689" i="1" s="1"/>
  <c r="H697" i="1"/>
  <c r="I697" i="1" s="1"/>
  <c r="H705" i="1"/>
  <c r="I705" i="1" s="1"/>
  <c r="H713" i="1"/>
  <c r="I713" i="1" s="1"/>
  <c r="H721" i="1"/>
  <c r="I721" i="1" s="1"/>
  <c r="H46" i="3"/>
  <c r="H182" i="3"/>
  <c r="G23" i="2"/>
  <c r="G22" i="2"/>
  <c r="G21" i="2"/>
  <c r="H198" i="3"/>
  <c r="H567" i="1"/>
  <c r="I567" i="1" s="1"/>
  <c r="H575" i="1"/>
  <c r="I575" i="1" s="1"/>
  <c r="H583" i="1"/>
  <c r="I583" i="1" s="1"/>
  <c r="H591" i="1"/>
  <c r="I591" i="1" s="1"/>
  <c r="H599" i="1"/>
  <c r="I599" i="1" s="1"/>
  <c r="H607" i="1"/>
  <c r="I607" i="1" s="1"/>
  <c r="H615" i="1"/>
  <c r="I615" i="1" s="1"/>
  <c r="H623" i="1"/>
  <c r="I623" i="1" s="1"/>
  <c r="H631" i="1"/>
  <c r="I631" i="1" s="1"/>
  <c r="H639" i="1"/>
  <c r="I639" i="1" s="1"/>
  <c r="H647" i="1"/>
  <c r="I647" i="1" s="1"/>
  <c r="H655" i="1"/>
  <c r="I655" i="1" s="1"/>
  <c r="H663" i="1"/>
  <c r="I663" i="1" s="1"/>
  <c r="H671" i="1"/>
  <c r="I671" i="1" s="1"/>
  <c r="H679" i="1"/>
  <c r="I679" i="1" s="1"/>
  <c r="H687" i="1"/>
  <c r="I687" i="1" s="1"/>
  <c r="H695" i="1"/>
  <c r="I695" i="1" s="1"/>
  <c r="H703" i="1"/>
  <c r="I703" i="1" s="1"/>
  <c r="H711" i="1"/>
  <c r="I711" i="1" s="1"/>
  <c r="H719" i="1"/>
  <c r="I719" i="1" s="1"/>
  <c r="H214" i="3"/>
  <c r="G16" i="2"/>
  <c r="H6" i="3"/>
  <c r="H86" i="3"/>
  <c r="H102" i="3"/>
  <c r="H118" i="3"/>
  <c r="H134" i="3"/>
  <c r="H150" i="3"/>
  <c r="H166" i="3"/>
  <c r="H222" i="3"/>
  <c r="H238" i="3"/>
  <c r="H254" i="3"/>
  <c r="H270" i="3"/>
  <c r="H286" i="3"/>
  <c r="H355" i="3"/>
  <c r="H402" i="3"/>
  <c r="H419" i="3"/>
  <c r="H483" i="3"/>
  <c r="H530" i="3"/>
  <c r="H547" i="3"/>
  <c r="H594" i="3"/>
  <c r="H658" i="3"/>
  <c r="H3" i="5"/>
  <c r="H67" i="5"/>
  <c r="H131" i="5"/>
  <c r="H195" i="5"/>
  <c r="H259" i="5"/>
  <c r="H293" i="5"/>
  <c r="H386" i="3"/>
  <c r="H403" i="3"/>
  <c r="H450" i="3"/>
  <c r="H467" i="3"/>
  <c r="H514" i="3"/>
  <c r="H531" i="3"/>
  <c r="H578" i="3"/>
  <c r="H642" i="3"/>
  <c r="H706" i="3"/>
  <c r="H51" i="5"/>
  <c r="H115" i="5"/>
  <c r="H179" i="5"/>
  <c r="H243" i="5"/>
  <c r="H370" i="3"/>
  <c r="H387" i="3"/>
  <c r="H434" i="3"/>
  <c r="H498" i="3"/>
  <c r="H515" i="3"/>
  <c r="H562" i="3"/>
  <c r="H626" i="3"/>
  <c r="H690" i="3"/>
  <c r="H35" i="5"/>
  <c r="H99" i="5"/>
  <c r="H163" i="5"/>
  <c r="H227" i="5"/>
  <c r="H291" i="5"/>
  <c r="H674" i="3"/>
</calcChain>
</file>

<file path=xl/sharedStrings.xml><?xml version="1.0" encoding="utf-8"?>
<sst xmlns="http://schemas.openxmlformats.org/spreadsheetml/2006/main" count="1125" uniqueCount="73">
  <si>
    <t>Data</t>
  </si>
  <si>
    <t>Ora</t>
  </si>
  <si>
    <t>Furnizuesi X Furnizimi (EMIFurnizuesiX) [MWh]</t>
  </si>
  <si>
    <t>Konsumi i Nominuar i  Furnizuesi X (EKNKFurnizuesiX) [MWh]</t>
  </si>
  <si>
    <t>Energjia e Jobalancit (EJBFFurnizuesiXj) [MWh]</t>
  </si>
  <si>
    <t>NEW
Actual (abs)</t>
  </si>
  <si>
    <t xml:space="preserve">
OLD
Predicted (abs)</t>
  </si>
  <si>
    <t>DELTA (ABS)</t>
  </si>
  <si>
    <t>\=(new-old)/old</t>
  </si>
  <si>
    <t>Çmimi i jobalancit [€/MWh]</t>
  </si>
  <si>
    <t>Pagesa e Energjisë së Jobalancit   (PEJBj) [€]</t>
  </si>
  <si>
    <t>-Llogaritjet e barazimit përfundimtar për Furnizuesi X prej: 1.6.2026 deri 30.6.2026.</t>
  </si>
  <si>
    <t>LLBP__01 6 2026 deri 30 6 2026_FurnizuesiX_V_01.xlsx</t>
  </si>
  <si>
    <t>Nr. rendor</t>
  </si>
  <si>
    <t>Emërtimi - Përshkrimi</t>
  </si>
  <si>
    <t>Sasia</t>
  </si>
  <si>
    <t>Sqarime</t>
  </si>
  <si>
    <t>Energjia e Matur (EMIFurnizuesiX) [MWh]</t>
  </si>
  <si>
    <t>Energjia e matur e  meritore për llogaritje</t>
  </si>
  <si>
    <t>Energjia e kontraktuar [MWh]</t>
  </si>
  <si>
    <t>Blerjet në tregun me shumicë</t>
  </si>
  <si>
    <t>Energjia e Jobalancit (EJBFurnizuesiX) (+) [MWh]</t>
  </si>
  <si>
    <t>Shuma totale e jobalanceve pozitive për Palën</t>
  </si>
  <si>
    <t>Energjia e Jobalancit (EJBFurnizuesiX) (-) [MWh]</t>
  </si>
  <si>
    <t>Shuma totale e jobalanceve negative për Palën</t>
  </si>
  <si>
    <t>Pagesa e Energjisë së Jobalancit (PEJBFurnizuesiX) (+)</t>
  </si>
  <si>
    <t>Pagesa totale e jobalanceve pozitive</t>
  </si>
  <si>
    <t>Pagesa e Energjisë së Jobalancit (PEJBFurnizuesiX) (-)</t>
  </si>
  <si>
    <t>Pagesa totale e Jobalanceve negative</t>
  </si>
  <si>
    <t>Energjia e matur në Llogarinë Hyrëse [MWh]</t>
  </si>
  <si>
    <t>Prodhimi i matur i Prodhuesve</t>
  </si>
  <si>
    <t>Energjia e matur në Llogarinë Dalëse [MWh]</t>
  </si>
  <si>
    <t>Energjia e matur që del nga rrjeti i transmisioni bashkë me humbjet</t>
  </si>
  <si>
    <t>Energjia në Llogarinë Balancuese [MWh]</t>
  </si>
  <si>
    <t>(7)-(8)</t>
  </si>
  <si>
    <t xml:space="preserve">Llogaria balancuese </t>
  </si>
  <si>
    <t>Gjendja e të gjitha llogarive</t>
  </si>
  <si>
    <t>Çmimi balancues i OST-së (ÇB’OST’m) [€/MWh]</t>
  </si>
  <si>
    <t>Çmimi balancues për periudhën e dhënë: (10)/(9)</t>
  </si>
  <si>
    <t xml:space="preserve">Rialokimi </t>
  </si>
  <si>
    <t>Rialokimi i pagesave për Palët Tregtare: (11) x (1)</t>
  </si>
  <si>
    <t>Pagesa finale për jobalance</t>
  </si>
  <si>
    <t>Gjendja për pagesë për/nga mekanizmi balancues deri më 30.06.2026 (5)+(6)+(12)</t>
  </si>
  <si>
    <t>Tarifa për Fondin BRE [€/MWh]</t>
  </si>
  <si>
    <t>Tarifa e Fondit të burimeve të ripërtëritshme e vendosur nga ZRrE</t>
  </si>
  <si>
    <t>Tarifa për Operatorit të sistemit [€/MWh]</t>
  </si>
  <si>
    <t>Tarifa për Operatorin e Sistemit e vendosur nga ZRrE</t>
  </si>
  <si>
    <t>Tarifa për Operatorit të tregut [€/MWh]</t>
  </si>
  <si>
    <t>Tarifa për Operatorin e Tregut e vendosur nga ZRrE</t>
  </si>
  <si>
    <t>Çmimi referent [€/MWh]</t>
  </si>
  <si>
    <t>Çmimi referent për pagesën e Nominimeve Kontraktuale  tek Fondi i Operatorit të Tregut</t>
  </si>
  <si>
    <t>Pagesa për fondin BRE</t>
  </si>
  <si>
    <t>Gjendja për pagesë në Fondin Bre deri më 30.06.2026: (14)x (1)</t>
  </si>
  <si>
    <t>Pagesa për Operatorin e Sistemit</t>
  </si>
  <si>
    <t>Gjendja për pagesë për Operatorin e Sistemit deri më 30.06.2026: (15) x (1)</t>
  </si>
  <si>
    <t>Pagesa për Operatorin e Tregut</t>
  </si>
  <si>
    <t>Gjendja për pagesë për Operatorin e Tregut deri më 30.06.2026: (16) x (1)</t>
  </si>
  <si>
    <t>Nominimet Kontraktuale të BRE [MWh]</t>
  </si>
  <si>
    <t>Sasia e Nominimeve Kontraktuale deri më 30.06.2026</t>
  </si>
  <si>
    <t>Pagesa e Nominimeve Kontraktuale</t>
  </si>
  <si>
    <t>Gjendja për pagesë për Operatorin e Tregut deri më 30.06.2026: (17) x (21)</t>
  </si>
  <si>
    <t>Frekuenca</t>
  </si>
  <si>
    <t>g) Above 50%</t>
  </si>
  <si>
    <t>f) 40-49.99%</t>
  </si>
  <si>
    <t>e) 30-39.99%</t>
  </si>
  <si>
    <t>d) 20-29.99%</t>
  </si>
  <si>
    <t>c) 10-19.99%</t>
  </si>
  <si>
    <t>b) 5-9.99%</t>
  </si>
  <si>
    <t>a) 0-4.99%</t>
  </si>
  <si>
    <t>Freq Ranges</t>
  </si>
  <si>
    <t>Expressed as a %</t>
  </si>
  <si>
    <t>Total Result</t>
  </si>
  <si>
    <t>Freq ranges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</si>
</sst>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%"/>
    <numFmt numFmtId="166" formatCode="\€#,##0.00"/>
    <numFmt numFmtId="167" formatCode="0.00000000"/>
    <numFmt numFmtId="168" formatCode="#,##0.00\ [$€-41B]"/>
    <numFmt numFmtId="169" formatCode="#,##0.000"/>
  </numFmts>
  <fonts count="11">
    <font>
      <sz val="11"/>
      <color theme="1"/>
      <name val="Calibri"/>
      <family val="2"/>
      <charset val="238"/>
    </font>
    <font>
      <sz val="11"/>
      <color theme="1"/>
      <name val="Calibri"/>
      <family val="2"/>
      <charset val="1"/>
    </font>
    <font>
      <sz val="10"/>
      <color rgb="FF000000"/>
      <name val="Arial"/>
      <family val="2"/>
      <charset val="1"/>
    </font>
    <font>
      <b/>
      <sz val="11"/>
      <color theme="1"/>
      <name val="Calibri"/>
      <family val="2"/>
      <charset val="238"/>
    </font>
    <font>
      <sz val="10"/>
      <color theme="1"/>
      <name val="Arial Narrow"/>
      <family val="2"/>
      <charset val="1"/>
    </font>
    <font>
      <b/>
      <sz val="10"/>
      <color theme="1"/>
      <name val="Arial Narrow"/>
      <family val="2"/>
      <charset val="1"/>
    </font>
    <font>
      <sz val="10"/>
      <name val="Arial Narrow"/>
      <family val="2"/>
      <charset val="1"/>
    </font>
    <font>
      <sz val="10"/>
      <color theme="0"/>
      <name val="Arial Narrow"/>
      <family val="2"/>
      <charset val="1"/>
    </font>
    <font>
      <b/>
      <sz val="10"/>
      <name val="Arial Narrow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0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>
      <alignment horizontal="left"/>
    </xf>
    <xf numFmtId="0" fontId="10" fillId="0" borderId="0"/>
    <xf numFmtId="0" fontId="10" fillId="0" borderId="0"/>
    <xf numFmtId="0" fontId="3" fillId="0" borderId="0"/>
    <xf numFmtId="0" fontId="3" fillId="0" borderId="0">
      <alignment horizontal="left"/>
    </xf>
    <xf numFmtId="0" fontId="10" fillId="0" borderId="0"/>
  </cellStyleXfs>
  <cellXfs count="63">
    <xf numFmtId="0" fontId="0" fillId="0" borderId="0" xfId="0"/>
    <xf numFmtId="14" fontId="4" fillId="0" borderId="0" xfId="0" applyNumberFormat="1" applyFont="1" applyProtection="1">
      <protection locked="0"/>
    </xf>
    <xf numFmtId="0" fontId="4" fillId="0" borderId="0" xfId="0" applyFont="1"/>
    <xf numFmtId="14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5" fillId="0" borderId="0" xfId="0" applyFont="1"/>
    <xf numFmtId="164" fontId="4" fillId="0" borderId="0" xfId="0" applyNumberFormat="1" applyFont="1"/>
    <xf numFmtId="165" fontId="4" fillId="0" borderId="0" xfId="15" applyNumberFormat="1" applyFont="1"/>
    <xf numFmtId="2" fontId="4" fillId="0" borderId="0" xfId="0" applyNumberFormat="1" applyFont="1"/>
    <xf numFmtId="1" fontId="5" fillId="0" borderId="0" xfId="0" applyNumberFormat="1" applyFont="1"/>
    <xf numFmtId="1" fontId="4" fillId="0" borderId="0" xfId="0" applyNumberFormat="1" applyFont="1"/>
    <xf numFmtId="0" fontId="6" fillId="0" borderId="0" xfId="0" applyFont="1"/>
    <xf numFmtId="1" fontId="7" fillId="0" borderId="0" xfId="0" applyNumberFormat="1" applyFont="1"/>
    <xf numFmtId="0" fontId="7" fillId="0" borderId="0" xfId="0" applyFont="1"/>
    <xf numFmtId="0" fontId="8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0" fontId="8" fillId="0" borderId="1" xfId="0" applyFont="1" applyBorder="1"/>
    <xf numFmtId="1" fontId="6" fillId="0" borderId="1" xfId="0" applyNumberFormat="1" applyFont="1" applyBorder="1" applyAlignment="1">
      <alignment vertical="center"/>
    </xf>
    <xf numFmtId="1" fontId="6" fillId="0" borderId="1" xfId="0" applyNumberFormat="1" applyFont="1" applyBorder="1" applyAlignment="1">
      <alignment vertical="center" wrapText="1"/>
    </xf>
    <xf numFmtId="164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66" fontId="6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164" fontId="6" fillId="0" borderId="1" xfId="0" applyNumberFormat="1" applyFont="1" applyBorder="1" applyAlignment="1">
      <alignment horizontal="right" vertical="center"/>
    </xf>
    <xf numFmtId="167" fontId="6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vertical="center"/>
    </xf>
    <xf numFmtId="166" fontId="8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vertical="center"/>
    </xf>
    <xf numFmtId="164" fontId="4" fillId="0" borderId="1" xfId="0" applyNumberFormat="1" applyFont="1" applyBorder="1"/>
    <xf numFmtId="1" fontId="4" fillId="0" borderId="1" xfId="0" applyNumberFormat="1" applyFont="1" applyBorder="1"/>
    <xf numFmtId="168" fontId="4" fillId="0" borderId="1" xfId="0" applyNumberFormat="1" applyFont="1" applyBorder="1"/>
    <xf numFmtId="166" fontId="4" fillId="0" borderId="1" xfId="0" applyNumberFormat="1" applyFont="1" applyBorder="1" applyAlignment="1">
      <alignment horizontal="right" vertical="center"/>
    </xf>
    <xf numFmtId="169" fontId="4" fillId="0" borderId="1" xfId="0" applyNumberFormat="1" applyFont="1" applyBorder="1" applyAlignment="1">
      <alignment horizontal="right" vertical="center"/>
    </xf>
    <xf numFmtId="0" fontId="4" fillId="0" borderId="1" xfId="0" applyFont="1" applyBorder="1"/>
    <xf numFmtId="0" fontId="6" fillId="0" borderId="1" xfId="0" applyFont="1" applyBorder="1" applyAlignment="1">
      <alignment wrapText="1"/>
    </xf>
    <xf numFmtId="0" fontId="10" fillId="0" borderId="2" xfId="15" applyBorder="1"/>
    <xf numFmtId="0" fontId="10" fillId="0" borderId="3" xfId="16" applyBorder="1"/>
    <xf numFmtId="0" fontId="10" fillId="0" borderId="4" xfId="15" applyBorder="1"/>
    <xf numFmtId="0" fontId="10" fillId="0" borderId="5" xfId="16" applyBorder="1"/>
    <xf numFmtId="0" fontId="10" fillId="0" borderId="6" xfId="14" applyBorder="1">
      <alignment horizontal="left"/>
    </xf>
    <xf numFmtId="0" fontId="10" fillId="0" borderId="7" xfId="14" applyBorder="1">
      <alignment horizontal="left"/>
    </xf>
    <xf numFmtId="0" fontId="10" fillId="0" borderId="8" xfId="14" applyBorder="1">
      <alignment horizontal="left"/>
    </xf>
    <xf numFmtId="0" fontId="10" fillId="0" borderId="9" xfId="19" applyBorder="1"/>
    <xf numFmtId="0" fontId="10" fillId="0" borderId="10" xfId="19" applyBorder="1"/>
    <xf numFmtId="0" fontId="10" fillId="0" borderId="11" xfId="14" applyBorder="1">
      <alignment horizontal="left"/>
    </xf>
    <xf numFmtId="0" fontId="10" fillId="0" borderId="12" xfId="19" applyBorder="1"/>
    <xf numFmtId="0" fontId="10" fillId="0" borderId="13" xfId="19" applyBorder="1"/>
    <xf numFmtId="0" fontId="10" fillId="0" borderId="6" xfId="19" applyBorder="1"/>
    <xf numFmtId="0" fontId="10" fillId="0" borderId="7" xfId="19" applyBorder="1"/>
    <xf numFmtId="0" fontId="3" fillId="0" borderId="14" xfId="18" applyBorder="1">
      <alignment horizontal="left"/>
    </xf>
    <xf numFmtId="0" fontId="3" fillId="0" borderId="15" xfId="17" applyBorder="1"/>
    <xf numFmtId="0" fontId="3" fillId="0" borderId="16" xfId="17" applyBorder="1"/>
    <xf numFmtId="14" fontId="0" fillId="0" borderId="0" xfId="0" applyNumberFormat="1" applyProtection="1">
      <protection locked="0"/>
    </xf>
    <xf numFmtId="14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wrapText="1"/>
    </xf>
    <xf numFmtId="0" fontId="9" fillId="0" borderId="0" xfId="0" applyFont="1"/>
    <xf numFmtId="164" fontId="0" fillId="0" borderId="0" xfId="0" applyNumberFormat="1"/>
    <xf numFmtId="165" fontId="10" fillId="0" borderId="0" xfId="15" applyNumberFormat="1"/>
    <xf numFmtId="2" fontId="0" fillId="0" borderId="0" xfId="0" applyNumberFormat="1"/>
  </cellXfs>
  <cellStyles count="20">
    <cellStyle name="Normal" xfId="0" builtinId="0"/>
    <cellStyle name="Normal 12" xfId="1" xr:uid="{00000000-0005-0000-0000-000006000000}"/>
    <cellStyle name="Normal 12 2" xfId="2" xr:uid="{00000000-0005-0000-0000-000007000000}"/>
    <cellStyle name="Normal 12 3" xfId="3" xr:uid="{00000000-0005-0000-0000-000008000000}"/>
    <cellStyle name="Normal 12 4" xfId="4" xr:uid="{00000000-0005-0000-0000-000009000000}"/>
    <cellStyle name="Normal 12 5" xfId="5" xr:uid="{00000000-0005-0000-0000-00000A000000}"/>
    <cellStyle name="Normal 2" xfId="6" xr:uid="{00000000-0005-0000-0000-00000B000000}"/>
    <cellStyle name="Normal 3" xfId="7" xr:uid="{00000000-0005-0000-0000-00000C000000}"/>
    <cellStyle name="Normal 3 2" xfId="8" xr:uid="{00000000-0005-0000-0000-00000D000000}"/>
    <cellStyle name="Normal 3 3" xfId="9" xr:uid="{00000000-0005-0000-0000-00000E000000}"/>
    <cellStyle name="Normal 3 4" xfId="10" xr:uid="{00000000-0005-0000-0000-00000F000000}"/>
    <cellStyle name="Normal 3 5" xfId="11" xr:uid="{00000000-0005-0000-0000-000010000000}"/>
    <cellStyle name="Normal 4" xfId="12" xr:uid="{00000000-0005-0000-0000-000011000000}"/>
    <cellStyle name="Normal 4 6 7" xfId="13" xr:uid="{00000000-0005-0000-0000-000012000000}"/>
    <cellStyle name="Pivot Table Category" xfId="14" xr:uid="{00000000-0005-0000-0000-000013000000}"/>
    <cellStyle name="Pivot Table Corner" xfId="15" xr:uid="{00000000-0005-0000-0000-000014000000}"/>
    <cellStyle name="Pivot Table Field" xfId="16" xr:uid="{00000000-0005-0000-0000-000015000000}"/>
    <cellStyle name="Pivot Table Result" xfId="17" xr:uid="{00000000-0005-0000-0000-000016000000}"/>
    <cellStyle name="Pivot Table Title" xfId="18" xr:uid="{00000000-0005-0000-0000-000017000000}"/>
    <cellStyle name="Pivot Table Value" xfId="19" xr:uid="{00000000-0005-0000-0000-00001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24h'!$B$3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24h'!$A$4:$A$11</c:f>
              <c:strCache>
                <c:ptCount val="8"/>
                <c:pt idx="0">
                  <c:v>Frekuenca</c:v>
                </c:pt>
                <c:pt idx="1">
                  <c:v>a) 0-4.99%</c:v>
                </c:pt>
                <c:pt idx="2">
                  <c:v>b) 5-9.99%</c:v>
                </c:pt>
                <c:pt idx="3">
                  <c:v>c) 10-19.99%</c:v>
                </c:pt>
                <c:pt idx="4">
                  <c:v>d) 20-29.99%</c:v>
                </c:pt>
                <c:pt idx="5">
                  <c:v>e) 30-39.99%</c:v>
                </c:pt>
                <c:pt idx="6">
                  <c:v>f) 40-49.99%</c:v>
                </c:pt>
                <c:pt idx="7">
                  <c:v>g) Above 50%</c:v>
                </c:pt>
              </c:strCache>
            </c:strRef>
          </c:cat>
          <c:val>
            <c:numRef>
              <c:f>'Pivot 24h'!$B$4:$B$11</c:f>
              <c:numCache>
                <c:formatCode>General</c:formatCode>
                <c:ptCount val="8"/>
                <c:pt idx="0">
                  <c:v>0</c:v>
                </c:pt>
                <c:pt idx="1">
                  <c:v>203</c:v>
                </c:pt>
                <c:pt idx="2">
                  <c:v>161</c:v>
                </c:pt>
                <c:pt idx="3">
                  <c:v>195</c:v>
                </c:pt>
                <c:pt idx="4">
                  <c:v>89</c:v>
                </c:pt>
                <c:pt idx="5">
                  <c:v>46</c:v>
                </c:pt>
                <c:pt idx="6">
                  <c:v>13</c:v>
                </c:pt>
                <c:pt idx="7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C4-4E55-847F-6A7F56B7F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504056"/>
        <c:axId val="6151158"/>
      </c:barChart>
      <c:lineChart>
        <c:grouping val="standard"/>
        <c:varyColors val="0"/>
        <c:ser>
          <c:idx val="1"/>
          <c:order val="1"/>
          <c:tx>
            <c:strRef>
              <c:f>'Pivot 24h'!$C$3</c:f>
              <c:strCache>
                <c:ptCount val="1"/>
              </c:strCache>
            </c:strRef>
          </c:tx>
          <c:spPr>
            <a:ln w="28440" cap="rnd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24h'!$A$4:$A$11</c:f>
              <c:strCache>
                <c:ptCount val="8"/>
                <c:pt idx="0">
                  <c:v>Frekuenca</c:v>
                </c:pt>
                <c:pt idx="1">
                  <c:v>a) 0-4.99%</c:v>
                </c:pt>
                <c:pt idx="2">
                  <c:v>b) 5-9.99%</c:v>
                </c:pt>
                <c:pt idx="3">
                  <c:v>c) 10-19.99%</c:v>
                </c:pt>
                <c:pt idx="4">
                  <c:v>d) 20-29.99%</c:v>
                </c:pt>
                <c:pt idx="5">
                  <c:v>e) 30-39.99%</c:v>
                </c:pt>
                <c:pt idx="6">
                  <c:v>f) 40-49.99%</c:v>
                </c:pt>
                <c:pt idx="7">
                  <c:v>g) Above 50%</c:v>
                </c:pt>
              </c:strCache>
            </c:strRef>
          </c:cat>
          <c:val>
            <c:numRef>
              <c:f>'Pivot 24h'!$C$4:$C$11</c:f>
              <c:numCache>
                <c:formatCode>General</c:formatCode>
                <c:ptCount val="8"/>
                <c:pt idx="0">
                  <c:v>0</c:v>
                </c:pt>
                <c:pt idx="1">
                  <c:v>203</c:v>
                </c:pt>
                <c:pt idx="2">
                  <c:v>161</c:v>
                </c:pt>
                <c:pt idx="3">
                  <c:v>195</c:v>
                </c:pt>
                <c:pt idx="4">
                  <c:v>89</c:v>
                </c:pt>
                <c:pt idx="5">
                  <c:v>46</c:v>
                </c:pt>
                <c:pt idx="6">
                  <c:v>13</c:v>
                </c:pt>
                <c:pt idx="7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C4-4E55-847F-6A7F56B7F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4353272"/>
        <c:axId val="86096523"/>
      </c:lineChart>
      <c:catAx>
        <c:axId val="275040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6151158"/>
        <c:crosses val="autoZero"/>
        <c:auto val="1"/>
        <c:lblAlgn val="ctr"/>
        <c:lblOffset val="100"/>
        <c:noMultiLvlLbl val="0"/>
      </c:catAx>
      <c:valAx>
        <c:axId val="615115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27504056"/>
        <c:crosses val="autoZero"/>
        <c:crossBetween val="between"/>
      </c:valAx>
      <c:catAx>
        <c:axId val="843532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6096523"/>
        <c:crosses val="autoZero"/>
        <c:auto val="1"/>
        <c:lblAlgn val="ctr"/>
        <c:lblOffset val="100"/>
        <c:noMultiLvlLbl val="0"/>
      </c:catAx>
      <c:valAx>
        <c:axId val="86096523"/>
        <c:scaling>
          <c:orientation val="minMax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84353272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(8-17)H'!$B$3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(8-17)H'!$A$4:$A$11</c:f>
              <c:strCache>
                <c:ptCount val="8"/>
                <c:pt idx="0">
                  <c:v>Frekuenca</c:v>
                </c:pt>
                <c:pt idx="1">
                  <c:v>a) 0-4.99%</c:v>
                </c:pt>
                <c:pt idx="2">
                  <c:v>b) 5-9.99%</c:v>
                </c:pt>
                <c:pt idx="3">
                  <c:v>c) 10-19.99%</c:v>
                </c:pt>
                <c:pt idx="4">
                  <c:v>d) 20-29.99%</c:v>
                </c:pt>
                <c:pt idx="5">
                  <c:v>e) 30-39.99%</c:v>
                </c:pt>
                <c:pt idx="6">
                  <c:v>f) 40-49.99%</c:v>
                </c:pt>
                <c:pt idx="7">
                  <c:v>g) Above 50%</c:v>
                </c:pt>
              </c:strCache>
            </c:strRef>
          </c:cat>
          <c:val>
            <c:numRef>
              <c:f>'Pivot (8-17)H'!$B$4:$B$11</c:f>
              <c:numCache>
                <c:formatCode>General</c:formatCode>
                <c:ptCount val="8"/>
                <c:pt idx="0">
                  <c:v>0</c:v>
                </c:pt>
                <c:pt idx="1">
                  <c:v>33</c:v>
                </c:pt>
                <c:pt idx="2">
                  <c:v>50</c:v>
                </c:pt>
                <c:pt idx="3">
                  <c:v>88</c:v>
                </c:pt>
                <c:pt idx="4">
                  <c:v>66</c:v>
                </c:pt>
                <c:pt idx="5">
                  <c:v>40</c:v>
                </c:pt>
                <c:pt idx="6">
                  <c:v>12</c:v>
                </c:pt>
                <c:pt idx="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EF-471F-9F22-4E6A6AC2D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126960"/>
        <c:axId val="77469987"/>
      </c:barChart>
      <c:lineChart>
        <c:grouping val="standard"/>
        <c:varyColors val="0"/>
        <c:ser>
          <c:idx val="1"/>
          <c:order val="1"/>
          <c:tx>
            <c:strRef>
              <c:f>'Pivot (8-17)H'!$C$3</c:f>
              <c:strCache>
                <c:ptCount val="1"/>
              </c:strCache>
            </c:strRef>
          </c:tx>
          <c:spPr>
            <a:ln w="28440" cap="rnd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(8-17)H'!$A$4:$A$11</c:f>
              <c:strCache>
                <c:ptCount val="8"/>
                <c:pt idx="0">
                  <c:v>Frekuenca</c:v>
                </c:pt>
                <c:pt idx="1">
                  <c:v>a) 0-4.99%</c:v>
                </c:pt>
                <c:pt idx="2">
                  <c:v>b) 5-9.99%</c:v>
                </c:pt>
                <c:pt idx="3">
                  <c:v>c) 10-19.99%</c:v>
                </c:pt>
                <c:pt idx="4">
                  <c:v>d) 20-29.99%</c:v>
                </c:pt>
                <c:pt idx="5">
                  <c:v>e) 30-39.99%</c:v>
                </c:pt>
                <c:pt idx="6">
                  <c:v>f) 40-49.99%</c:v>
                </c:pt>
                <c:pt idx="7">
                  <c:v>g) Above 50%</c:v>
                </c:pt>
              </c:strCache>
            </c:strRef>
          </c:cat>
          <c:val>
            <c:numRef>
              <c:f>'Pivot (8-17)H'!$C$4:$C$11</c:f>
              <c:numCache>
                <c:formatCode>General</c:formatCode>
                <c:ptCount val="8"/>
                <c:pt idx="0">
                  <c:v>0</c:v>
                </c:pt>
                <c:pt idx="1">
                  <c:v>33</c:v>
                </c:pt>
                <c:pt idx="2">
                  <c:v>50</c:v>
                </c:pt>
                <c:pt idx="3">
                  <c:v>88</c:v>
                </c:pt>
                <c:pt idx="4">
                  <c:v>66</c:v>
                </c:pt>
                <c:pt idx="5">
                  <c:v>40</c:v>
                </c:pt>
                <c:pt idx="6">
                  <c:v>12</c:v>
                </c:pt>
                <c:pt idx="7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EF-471F-9F22-4E6A6AC2D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9380605"/>
        <c:axId val="31866742"/>
      </c:lineChart>
      <c:catAx>
        <c:axId val="841269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77469987"/>
        <c:crosses val="autoZero"/>
        <c:auto val="1"/>
        <c:lblAlgn val="ctr"/>
        <c:lblOffset val="100"/>
        <c:noMultiLvlLbl val="0"/>
      </c:catAx>
      <c:valAx>
        <c:axId val="7746998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84126960"/>
        <c:crosses val="autoZero"/>
        <c:crossBetween val="between"/>
      </c:valAx>
      <c:catAx>
        <c:axId val="3938060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866742"/>
        <c:crosses val="autoZero"/>
        <c:auto val="1"/>
        <c:lblAlgn val="ctr"/>
        <c:lblOffset val="100"/>
        <c:noMultiLvlLbl val="0"/>
      </c:catAx>
      <c:valAx>
        <c:axId val="31866742"/>
        <c:scaling>
          <c:orientation val="minMax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9380605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609480</xdr:colOff>
      <xdr:row>0</xdr:row>
      <xdr:rowOff>123840</xdr:rowOff>
    </xdr:from>
    <xdr:to>
      <xdr:col>17</xdr:col>
      <xdr:colOff>294480</xdr:colOff>
      <xdr:row>21</xdr:row>
      <xdr:rowOff>41040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9360</xdr:colOff>
      <xdr:row>1</xdr:row>
      <xdr:rowOff>47520</xdr:rowOff>
    </xdr:from>
    <xdr:to>
      <xdr:col>18</xdr:col>
      <xdr:colOff>257040</xdr:colOff>
      <xdr:row>23</xdr:row>
      <xdr:rowOff>33480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720" xr:uid="{00000000-000A-0000-FFFF-FFFF01000000}">
  <cacheSource type="worksheet">
    <worksheetSource ref="A1:J721" sheet="24H June"/>
  </cacheSource>
  <cacheFields count="10">
    <cacheField name="Data2" numFmtId="0">
      <sharedItems containsSemiMixedTypes="0" containsNonDate="0" containsDate="1" containsString="0" minDate="2026-06-01T00:00:00" maxDate="2026-06-30T00:00:00" count="30"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</sharedItems>
    </cacheField>
    <cacheField name="Ora" numFmtId="0">
      <sharedItems containsSemiMixedTypes="0" containsString="0" containsNumber="1" containsInteger="1" minValue="1" maxValue="24" count="2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</sharedItems>
    </cacheField>
    <cacheField name="Furnizuesi X Furnizimi (EMIFurnizuesiX) [MWh]" numFmtId="0">
      <sharedItems containsSemiMixedTypes="0" containsString="0" containsNumber="1" minValue="-7.7917168150490799" maxValue="-2.0954641893155501" count="720">
        <n v="-7.7917168150490799"/>
        <n v="-7.2413740196111203"/>
        <n v="-7.1865813250790298"/>
        <n v="-6.98286069752419"/>
        <n v="-6.9467998064026402"/>
        <n v="-6.8153428434401899"/>
        <n v="-6.7349903958565696"/>
        <n v="-6.6662500680353398"/>
        <n v="-6.6658818566116"/>
        <n v="-6.6562676038978701"/>
        <n v="-6.6201219569527003"/>
        <n v="-6.5460171913755802"/>
        <n v="-6.5271303192840699"/>
        <n v="-6.5059199026823604"/>
        <n v="-6.4794853068515801"/>
        <n v="-6.4535801083615896"/>
        <n v="-6.4110250331035301"/>
        <n v="-6.3979629494208297"/>
        <n v="-6.38026498156868"/>
        <n v="-6.3760857712097501"/>
        <n v="-6.3320272234330996"/>
        <n v="-6.3207941269044401"/>
        <n v="-6.3109919508796901"/>
        <n v="-6.2802326909789503"/>
        <n v="-6.2767196063829296"/>
        <n v="-6.2618587255977598"/>
        <n v="-6.2411067850914401"/>
        <n v="-6.2296923297608204"/>
        <n v="-6.1625520367646001"/>
        <n v="-6.1402750423859498"/>
        <n v="-6.1265454371402797"/>
        <n v="-6.0946975383307196"/>
        <n v="-6.0876869615641303"/>
        <n v="-6.0624938172067804"/>
        <n v="-6.0622026415113002"/>
        <n v="-6.0500000868658397"/>
        <n v="-6.0401235265592197"/>
        <n v="-6.0400042067673603"/>
        <n v="-6.02730499324442"/>
        <n v="-5.9870447640174698"/>
        <n v="-5.9830032094291399"/>
        <n v="-5.9733731009916697"/>
        <n v="-5.9251093722535702"/>
        <n v="-5.9162764825563796"/>
        <n v="-5.9144102566293304"/>
        <n v="-5.9031288249321001"/>
        <n v="-5.8933687383148099"/>
        <n v="-5.8917621306596697"/>
        <n v="-5.8895310556472404"/>
        <n v="-5.8720606011108396"/>
        <n v="-5.8689530205916798"/>
        <n v="-5.8595551604770604"/>
        <n v="-5.8457825451010503"/>
        <n v="-5.8241818857172296"/>
        <n v="-5.8237886837867396"/>
        <n v="-5.8094382234439799"/>
        <n v="-5.80872211863106"/>
        <n v="-5.7849023149984697"/>
        <n v="-5.7774372808096297"/>
        <n v="-5.7697463635386699"/>
        <n v="-5.7600239372418898"/>
        <n v="-5.7599153149951396"/>
        <n v="-5.7527083907548899"/>
        <n v="-5.75062230892906"/>
        <n v="-5.7358357980210997"/>
        <n v="-5.7217204627925096"/>
        <n v="-5.71842863740408"/>
        <n v="-5.6911585012116097"/>
        <n v="-5.6826249038853698"/>
        <n v="-5.6816981403880797"/>
        <n v="-5.6664129034025796"/>
        <n v="-5.6412443892893096"/>
        <n v="-5.6319756059134001"/>
        <n v="-5.5930760024595401"/>
        <n v="-5.58878815050074"/>
        <n v="-5.5835314394328401"/>
        <n v="-5.5817702532712401"/>
        <n v="-5.5777350554504297"/>
        <n v="-5.5706227254750997"/>
        <n v="-5.5295756919649603"/>
        <n v="-5.5280107039044299"/>
        <n v="-5.5271413855842999"/>
        <n v="-5.5184387096789003"/>
        <n v="-5.5159281487931304"/>
        <n v="-5.4988036756404597"/>
        <n v="-5.4981040988291596"/>
        <n v="-5.4955724361291498"/>
        <n v="-5.4870218824688903"/>
        <n v="-5.4746899126283299"/>
        <n v="-5.4742508738017701"/>
        <n v="-5.4739905085261897"/>
        <n v="-5.4451798856413998"/>
        <n v="-5.4448190672708696"/>
        <n v="-5.4398886032648903"/>
        <n v="-5.4298564527978401"/>
        <n v="-5.3681697799656298"/>
        <n v="-5.3664382515812799"/>
        <n v="-5.3635866953461502"/>
        <n v="-5.3474351845163604"/>
        <n v="-5.3446806252017298"/>
        <n v="-5.3350021993401198"/>
        <n v="-5.3156068284432498"/>
        <n v="-5.3113401445021902"/>
        <n v="-5.29974445347528"/>
        <n v="-5.2899335585380296"/>
        <n v="-5.27892792333403"/>
        <n v="-5.27299809657345"/>
        <n v="-5.2619918392558596"/>
        <n v="-5.2619271992010503"/>
        <n v="-5.2579865751848702"/>
        <n v="-5.2479611964673598"/>
        <n v="-5.2458379839299099"/>
        <n v="-5.2450689529437096"/>
        <n v="-5.2410045195723702"/>
        <n v="-5.2307958174414502"/>
        <n v="-5.2269360145689596"/>
        <n v="-5.2224591962864704"/>
        <n v="-5.2180156315971002"/>
        <n v="-5.2016197871819996"/>
        <n v="-5.1986447803945701"/>
        <n v="-5.19369279930131"/>
        <n v="-5.1787949142855396"/>
        <n v="-5.1772871800807501"/>
        <n v="-5.1765600549789701"/>
        <n v="-5.1709729662176898"/>
        <n v="-5.1557050333849803"/>
        <n v="-5.1554331673910703"/>
        <n v="-5.1463878075234097"/>
        <n v="-5.13582063446764"/>
        <n v="-5.1355001831327902"/>
        <n v="-5.1294454138585204"/>
        <n v="-5.1287001134460803"/>
        <n v="-5.1282754222690698"/>
        <n v="-5.1088937990768502"/>
        <n v="-5.1065530128535404"/>
        <n v="-5.1054963569037"/>
        <n v="-5.1005819845217504"/>
        <n v="-5.0926242328910396"/>
        <n v="-5.0865069392756199"/>
        <n v="-5.08310838229621"/>
        <n v="-5.08167888033016"/>
        <n v="-5.0798313400681199"/>
        <n v="-5.0752419072916197"/>
        <n v="-5.0659493959627797"/>
        <n v="-5.0634605709267104"/>
        <n v="-5.0515935846985602"/>
        <n v="-5.0354037974286197"/>
        <n v="-5.0342773935313501"/>
        <n v="-5.0266290466943104"/>
        <n v="-5.0199690878379304"/>
        <n v="-5.0133318635548703"/>
        <n v="-5.0024353121701699"/>
        <n v="-4.9901498922001304"/>
        <n v="-4.98725027304463"/>
        <n v="-4.9855630225200098"/>
        <n v="-4.9852287513059403"/>
        <n v="-4.9812958407744397"/>
        <n v="-4.9560634190226098"/>
        <n v="-4.9509447151529598"/>
        <n v="-4.9290575669871597"/>
        <n v="-4.9244637025955598"/>
        <n v="-4.9150578089212997"/>
        <n v="-4.9135463574929199"/>
        <n v="-4.9079094260779002"/>
        <n v="-4.9037173748537501"/>
        <n v="-4.8975801521445197"/>
        <n v="-4.8908973235784403"/>
        <n v="-4.8864327295185399"/>
        <n v="-4.8850176168709396"/>
        <n v="-4.8810596534536002"/>
        <n v="-4.8639113745166602"/>
        <n v="-4.8637563889209803"/>
        <n v="-4.8589077693373701"/>
        <n v="-4.8512185717843197"/>
        <n v="-4.8440745422562399"/>
        <n v="-4.8357196601075501"/>
        <n v="-4.8323795559630502"/>
        <n v="-4.8321922193681397"/>
        <n v="-4.8218337651696404"/>
        <n v="-4.8175537538054902"/>
        <n v="-4.8045362929475104"/>
        <n v="-4.8016131714288299"/>
        <n v="-4.7993741737177702"/>
        <n v="-4.7844629958671003"/>
        <n v="-4.7824061163595601"/>
        <n v="-4.7816458308158101"/>
        <n v="-4.7752894213639401"/>
        <n v="-4.7716111198562103"/>
        <n v="-4.7676746741871696"/>
        <n v="-4.7649781613236399"/>
        <n v="-4.7598894728543497"/>
        <n v="-4.7581708842928601"/>
        <n v="-4.7504080832144204"/>
        <n v="-4.7488712046402703"/>
        <n v="-4.7488461893552101"/>
        <n v="-4.7385390952504096"/>
        <n v="-4.7266562540098498"/>
        <n v="-4.7239077699844403"/>
        <n v="-4.7176745712739203"/>
        <n v="-4.7152070137815096"/>
        <n v="-4.7142699305430904"/>
        <n v="-4.7087370575605103"/>
        <n v="-4.7050927685891999"/>
        <n v="-4.7013190053454696"/>
        <n v="-4.6994002480428501"/>
        <n v="-4.6936419995990697"/>
        <n v="-4.69318442716839"/>
        <n v="-4.6910824938709901"/>
        <n v="-4.69099752370097"/>
        <n v="-4.6884482429436796"/>
        <n v="-4.6878844575637899"/>
        <n v="-4.6802231702971504"/>
        <n v="-4.6764551911281096"/>
        <n v="-4.6707356513849598"/>
        <n v="-4.6664408088615303"/>
        <n v="-4.65689427392158"/>
        <n v="-4.6530691782498304"/>
        <n v="-4.6511654825948803"/>
        <n v="-4.6387478161783804"/>
        <n v="-4.6353547998142002"/>
        <n v="-4.6321991275456398"/>
        <n v="-4.6213837474431401"/>
        <n v="-4.6202056250904304"/>
        <n v="-4.6199997377436102"/>
        <n v="-4.6076109677816097"/>
        <n v="-4.6020564819435901"/>
        <n v="-4.5989527133150396"/>
        <n v="-4.5984783331472903"/>
        <n v="-4.5961366232301799"/>
        <n v="-4.5956787760799704"/>
        <n v="-4.59164612954467"/>
        <n v="-4.5848704439230596"/>
        <n v="-4.58419741448962"/>
        <n v="-4.5744112459340904"/>
        <n v="-4.5743738086486303"/>
        <n v="-4.5714111050786101"/>
        <n v="-4.5704428324455302"/>
        <n v="-4.5684104060112798"/>
        <n v="-4.5651702133851799"/>
        <n v="-4.5508133089724296"/>
        <n v="-4.5461814986074103"/>
        <n v="-4.5439560575299902"/>
        <n v="-4.5411092350336402"/>
        <n v="-4.5409591479011597"/>
        <n v="-4.5269311885931103"/>
        <n v="-4.5222735114311199"/>
        <n v="-4.5102367267232903"/>
        <n v="-4.5097799186806302"/>
        <n v="-4.50947858371606"/>
        <n v="-4.5086478405766099"/>
        <n v="-4.50862022177252"/>
        <n v="-4.5082986171610404"/>
        <n v="-4.5079064327360996"/>
        <n v="-4.5048544262859798"/>
        <n v="-4.5048235984138403"/>
        <n v="-4.4989187868970797"/>
        <n v="-4.4935208809597498"/>
        <n v="-4.4911776067225597"/>
        <n v="-4.4855809656836803"/>
        <n v="-4.4796085988077898"/>
        <n v="-4.4763806609098999"/>
        <n v="-4.4761845481588303"/>
        <n v="-4.4667608316293199"/>
        <n v="-4.4540698222017898"/>
        <n v="-4.4500809856435604"/>
        <n v="-4.4473037844058796"/>
        <n v="-4.4409935848886404"/>
        <n v="-4.4406962641540799"/>
        <n v="-4.4354859006901197"/>
        <n v="-4.4268539100371704"/>
        <n v="-4.4268079934381799"/>
        <n v="-4.4254563404751401"/>
        <n v="-4.4232097410553797"/>
        <n v="-4.4125261483982596"/>
        <n v="-4.4115248057521903"/>
        <n v="-4.4112587394765397"/>
        <n v="-4.4085074952771404"/>
        <n v="-4.4003574804362797"/>
        <n v="-4.3961898468524998"/>
        <n v="-4.3801646753146501"/>
        <n v="-4.3787610174520202"/>
        <n v="-4.3698553248565801"/>
        <n v="-4.3605542047946999"/>
        <n v="-4.3585581000647799"/>
        <n v="-4.3511269128501597"/>
        <n v="-4.3507516347259303"/>
        <n v="-4.3481185902512003"/>
        <n v="-4.3445038631503197"/>
        <n v="-4.3376671015998598"/>
        <n v="-4.3307549690784199"/>
        <n v="-4.3285798881022197"/>
        <n v="-4.3262939018061699"/>
        <n v="-4.3104155625786102"/>
        <n v="-4.3094643366695697"/>
        <n v="-4.3091335345560804"/>
        <n v="-4.3073261520138697"/>
        <n v="-4.3060506994972299"/>
        <n v="-4.3052492431759397"/>
        <n v="-4.3038614541161904"/>
        <n v="-4.2993929635992902"/>
        <n v="-4.2899196571662399"/>
        <n v="-4.2861671937515498"/>
        <n v="-4.2786151990516696"/>
        <n v="-4.2758545578812202"/>
        <n v="-4.2717947705831998"/>
        <n v="-4.2702101831156902"/>
        <n v="-4.2691853589403301"/>
        <n v="-4.2605110279070297"/>
        <n v="-4.2564841310496497"/>
        <n v="-4.2550301603245604"/>
        <n v="-4.2452020178293202"/>
        <n v="-4.2399262014461803"/>
        <n v="-4.23830419416658"/>
        <n v="-4.2339929910879102"/>
        <n v="-4.2306290721376296"/>
        <n v="-4.2286278143612002"/>
        <n v="-4.2264795395522698"/>
        <n v="-4.2249527551463997"/>
        <n v="-4.2236336456324697"/>
        <n v="-4.22196234997016"/>
        <n v="-4.2211532369262903"/>
        <n v="-4.2204841153790502"/>
        <n v="-4.2194904838454699"/>
        <n v="-4.2125681572560101"/>
        <n v="-4.2111256091432701"/>
        <n v="-4.2109249421141799"/>
        <n v="-4.2074134118323903"/>
        <n v="-4.2072913155476002"/>
        <n v="-4.2000586822466301"/>
        <n v="-4.1956327365407899"/>
        <n v="-4.1945184566243299"/>
        <n v="-4.1937454303574704"/>
        <n v="-4.1916524052936497"/>
        <n v="-4.1904172227223597"/>
        <n v="-4.1867031855066497"/>
        <n v="-4.1836881966799897"/>
        <n v="-4.1834005484723296"/>
        <n v="-4.1821587802553903"/>
        <n v="-4.1779580228837201"/>
        <n v="-4.1774858315155203"/>
        <n v="-4.1768063440427703"/>
        <n v="-4.1742564879848896"/>
        <n v="-4.1700373274489104"/>
        <n v="-4.1689445616990604"/>
        <n v="-4.1687604380989702"/>
        <n v="-4.16584800148493"/>
        <n v="-4.1651166545860399"/>
        <n v="-4.1579896634572799"/>
        <n v="-4.1538635296407396"/>
        <n v="-4.1502746678157099"/>
        <n v="-4.1488415320675198"/>
        <n v="-4.1471432893218498"/>
        <n v="-4.14639897004822"/>
        <n v="-4.1386257745768802"/>
        <n v="-4.1359616628742799"/>
        <n v="-4.1350126997562704"/>
        <n v="-4.1348843365588301"/>
        <n v="-4.1347996015623396"/>
        <n v="-4.1336166430039301"/>
        <n v="-4.1313680556644599"/>
        <n v="-4.1269026212498403"/>
        <n v="-4.1243265880400202"/>
        <n v="-4.1178192909673701"/>
        <n v="-4.1102061741656302"/>
        <n v="-4.1095053703343902"/>
        <n v="-4.1080290445653604"/>
        <n v="-4.1055921429486197"/>
        <n v="-4.10526949795661"/>
        <n v="-4.1016380614821299"/>
        <n v="-4.0979368107539296"/>
        <n v="-4.0958164603902096"/>
        <n v="-4.0819553876141503"/>
        <n v="-4.0796579487041003"/>
        <n v="-4.0774039830331796"/>
        <n v="-4.0716419203957201"/>
        <n v="-4.0592451813683796"/>
        <n v="-4.0584598328246999"/>
        <n v="-4.0540359193495696"/>
        <n v="-4.0538146995741897"/>
        <n v="-4.0535770269801201"/>
        <n v="-4.0521665551318904"/>
        <n v="-4.04652441485434"/>
        <n v="-4.04282971489822"/>
        <n v="-4.03028725074756"/>
        <n v="-4.0299553895095102"/>
        <n v="-4.0299425335130303"/>
        <n v="-4.0279758489715096"/>
        <n v="-4.0271056372907701"/>
        <n v="-4.0267018141406403"/>
        <n v="-4.0239769870165398"/>
        <n v="-4.02189228129724"/>
        <n v="-4.0186208899359901"/>
        <n v="-4.0098406911688897"/>
        <n v="-4.0074304837918602"/>
        <n v="-4.0073355066340604"/>
        <n v="-4.0047888275801196"/>
        <n v="-4.0029158258899598"/>
        <n v="-3.9990557377810698"/>
        <n v="-3.9952987564682299"/>
        <n v="-3.9873838701501598"/>
        <n v="-3.9858848213880602"/>
        <n v="-3.9851296233603599"/>
        <n v="-3.9841560527787898"/>
        <n v="-3.98339218520006"/>
        <n v="-3.9769593586896201"/>
        <n v="-3.9768653700159802"/>
        <n v="-3.9758360692562902"/>
        <n v="-3.9754314363752101"/>
        <n v="-3.97457135261469"/>
        <n v="-3.9733990402655399"/>
        <n v="-3.9680462462902599"/>
        <n v="-3.9662382270038301"/>
        <n v="-3.9654512289207702"/>
        <n v="-3.9635527096939702"/>
        <n v="-3.9615392115558699"/>
        <n v="-3.95676096468519"/>
        <n v="-3.9556336764278601"/>
        <n v="-3.9543892577022"/>
        <n v="-3.9506834680685698"/>
        <n v="-3.9461377529242498"/>
        <n v="-3.9301184037320098"/>
        <n v="-3.9297527680280102"/>
        <n v="-3.9255835227235099"/>
        <n v="-3.9217127624934101"/>
        <n v="-3.92013121395558"/>
        <n v="-3.9189815499387901"/>
        <n v="-3.9185196837382001"/>
        <n v="-3.9176462513702499"/>
        <n v="-3.9148492730494699"/>
        <n v="-3.91300750173209"/>
        <n v="-3.9106496413199801"/>
        <n v="-3.9054150941783199"/>
        <n v="-3.9052555039678598"/>
        <n v="-3.8995608345831201"/>
        <n v="-3.8944148524252902"/>
        <n v="-3.88558132944013"/>
        <n v="-3.8799738987806598"/>
        <n v="-3.8776796392415802"/>
        <n v="-3.8764010077428401"/>
        <n v="-3.86385018914405"/>
        <n v="-3.8572697879894"/>
        <n v="-3.8563248509422201"/>
        <n v="-3.84618162237614"/>
        <n v="-3.84490690268807"/>
        <n v="-3.84464430532595"/>
        <n v="-3.8444001864391999"/>
        <n v="-3.8417612215391301"/>
        <n v="-3.8412473915892602"/>
        <n v="-3.8344007602510999"/>
        <n v="-3.8281440373664899"/>
        <n v="-3.8258860877637302"/>
        <n v="-3.8236424383140801"/>
        <n v="-3.8215518074242198"/>
        <n v="-3.8129533733723702"/>
        <n v="-3.8102489404062099"/>
        <n v="-3.8099807457204999"/>
        <n v="-3.8080084420645299"/>
        <n v="-3.8057971356020399"/>
        <n v="-3.8038369677822499"/>
        <n v="-3.8032323748874299"/>
        <n v="-3.79985950782129"/>
        <n v="-3.7990511325509502"/>
        <n v="-3.7952426095609999"/>
        <n v="-3.7946539020713299"/>
        <n v="-3.7945189345651"/>
        <n v="-3.7928034963441899"/>
        <n v="-3.7918993301957999"/>
        <n v="-3.7888650451799899"/>
        <n v="-3.7867930315581901"/>
        <n v="-3.7861259018901299"/>
        <n v="-3.7719749794132502"/>
        <n v="-3.7688609641826698"/>
        <n v="-3.7674581408058998"/>
        <n v="-3.7659611295490101"/>
        <n v="-3.7640593371929998"/>
        <n v="-3.7448676976692199"/>
        <n v="-3.7437285992604998"/>
        <n v="-3.7411248724581601"/>
        <n v="-3.7408365213645198"/>
        <n v="-3.7406568283180599"/>
        <n v="-3.7381228950182499"/>
        <n v="-3.7319490591123801"/>
        <n v="-3.7295903303746401"/>
        <n v="-3.7244816381690402"/>
        <n v="-3.72422970766053"/>
        <n v="-3.7202094141125102"/>
        <n v="-3.7193113497510599"/>
        <n v="-3.7146418846387199"/>
        <n v="-3.7138510854139501"/>
        <n v="-3.7126417067989301"/>
        <n v="-3.7121762431920402"/>
        <n v="-3.7121335311151902"/>
        <n v="-3.71080036090004"/>
        <n v="-3.7077872122364299"/>
        <n v="-3.7073316642751899"/>
        <n v="-3.7071184461106199"/>
        <n v="-3.70222867724629"/>
        <n v="-3.6955773482821899"/>
        <n v="-3.6919346458102198"/>
        <n v="-3.6877926269302099"/>
        <n v="-3.6812644690437799"/>
        <n v="-3.6804238802959501"/>
        <n v="-3.6797285915616502"/>
        <n v="-3.6774395227365702"/>
        <n v="-3.6721399146018499"/>
        <n v="-3.66887488286973"/>
        <n v="-3.6591334910331499"/>
        <n v="-3.6555520458364601"/>
        <n v="-3.6541103354103099"/>
        <n v="-3.6529641586670198"/>
        <n v="-3.6519487957038699"/>
        <n v="-3.6453123831224001"/>
        <n v="-3.64250641077951"/>
        <n v="-3.64105858544854"/>
        <n v="-3.6399410635002099"/>
        <n v="-3.6396934129685801"/>
        <n v="-3.6394784910632598"/>
        <n v="-3.6385882846834701"/>
        <n v="-3.6383763128371398"/>
        <n v="-3.6360039283763901"/>
        <n v="-3.63500713859725"/>
        <n v="-3.6333495084288598"/>
        <n v="-3.63332679271906"/>
        <n v="-3.6321277206747"/>
        <n v="-3.6313398807602"/>
        <n v="-3.6248260252945999"/>
        <n v="-3.62044484694716"/>
        <n v="-3.6202013961991102"/>
        <n v="-3.61691791374921"/>
        <n v="-3.6128406817261198"/>
        <n v="-3.5976136129163399"/>
        <n v="-3.5935219053288199"/>
        <n v="-3.5892566014111602"/>
        <n v="-3.5809836184121302"/>
        <n v="-3.5799202614147898"/>
        <n v="-3.5788163329403302"/>
        <n v="-3.5770550485590502"/>
        <n v="-3.5742946438593299"/>
        <n v="-3.56115620169275"/>
        <n v="-3.5528295568533599"/>
        <n v="-3.5523918701647599"/>
        <n v="-3.5339679780235498"/>
        <n v="-3.5337783621033498"/>
        <n v="-3.52265114278446"/>
        <n v="-3.50866631632229"/>
        <n v="-3.5077020686990301"/>
        <n v="-3.5063965414883498"/>
        <n v="-3.49776323513156"/>
        <n v="-3.4963651095202701"/>
        <n v="-3.4962056280419298"/>
        <n v="-3.4953015929080098"/>
        <n v="-3.49069408284441"/>
        <n v="-3.4860852554845998"/>
        <n v="-3.4856661931898301"/>
        <n v="-3.4846198862216702"/>
        <n v="-3.4845082618614902"/>
        <n v="-3.4710262794374001"/>
        <n v="-3.4702500812077299"/>
        <n v="-3.4668366582419798"/>
        <n v="-3.4558221838862799"/>
        <n v="-3.4540868845380501"/>
        <n v="-3.4530985464315802"/>
        <n v="-3.4457489408575901"/>
        <n v="-3.4448905125159901"/>
        <n v="-3.44015065218233"/>
        <n v="-3.4395106193150902"/>
        <n v="-3.4381427756700802"/>
        <n v="-3.4373816999511599"/>
        <n v="-3.4363102623506698"/>
        <n v="-3.43208151760633"/>
        <n v="-3.4312261934509101"/>
        <n v="-3.4294009588263101"/>
        <n v="-3.4277955034343401"/>
        <n v="-3.4266437583092002"/>
        <n v="-3.42550298583649"/>
        <n v="-3.4240453891609901"/>
        <n v="-3.41974051415459"/>
        <n v="-3.41464665680836"/>
        <n v="-3.4060227339387401"/>
        <n v="-3.3981098459892198"/>
        <n v="-3.3954151004018098"/>
        <n v="-3.3910381317440499"/>
        <n v="-3.3882123025247801"/>
        <n v="-3.38722984057096"/>
        <n v="-3.3826633111727098"/>
        <n v="-3.3811528935677302"/>
        <n v="-3.3720026629740101"/>
        <n v="-3.37043378512019"/>
        <n v="-3.36943540369001"/>
        <n v="-3.3633158868306801"/>
        <n v="-3.3631682546388899"/>
        <n v="-3.36284520402255"/>
        <n v="-3.3609097510482102"/>
        <n v="-3.3542606177319798"/>
        <n v="-3.3492157979238302"/>
        <n v="-3.3277972575648298"/>
        <n v="-3.3233592639240199"/>
        <n v="-3.3204987300537399"/>
        <n v="-3.3140290135522301"/>
        <n v="-3.3104588482394299"/>
        <n v="-3.3043696190530198"/>
        <n v="-3.3025107222813399"/>
        <n v="-3.2994050169126798"/>
        <n v="-3.2908315353780702"/>
        <n v="-3.28842635780742"/>
        <n v="-3.28620774022263"/>
        <n v="-3.28601097182576"/>
        <n v="-3.2813762632105399"/>
        <n v="-3.2810050379200901"/>
        <n v="-3.2781058883409702"/>
        <n v="-3.2737821946515901"/>
        <n v="-3.27197959290829"/>
        <n v="-3.2712851619921199"/>
        <n v="-3.2631397763233498"/>
        <n v="-3.2626371046437201"/>
        <n v="-3.2550743238809701"/>
        <n v="-3.2514624477823402"/>
        <n v="-3.24809230689588"/>
        <n v="-3.2091472448744001"/>
        <n v="-3.2086776364674501"/>
        <n v="-3.2070170695535598"/>
        <n v="-3.2041484862448599"/>
        <n v="-3.2014649489976099"/>
        <n v="-3.2001500980861"/>
        <n v="-3.1999329954078899"/>
        <n v="-3.1957353081137501"/>
        <n v="-3.1819488636605202"/>
        <n v="-3.18036571985935"/>
        <n v="-3.1743882488130799"/>
        <n v="-3.1524366083112199"/>
        <n v="-3.1459247469336602"/>
        <n v="-3.1451311447192198"/>
        <n v="-3.1450407022420399"/>
        <n v="-3.1442364482757701"/>
        <n v="-3.1433777972797299"/>
        <n v="-3.1243946471793098"/>
        <n v="-3.12249896290658"/>
        <n v="-3.1177705770794599"/>
        <n v="-3.1082291976826699"/>
        <n v="-3.1029218251589499"/>
        <n v="-3.1017548433958901"/>
        <n v="-3.0994399841961302"/>
        <n v="-3.0991236891547702"/>
        <n v="-3.0982585553199802"/>
        <n v="-3.086265851247"/>
        <n v="-3.08438218180184"/>
        <n v="-3.0817414244405401"/>
        <n v="-3.06445142207789"/>
        <n v="-3.0640235911523699"/>
        <n v="-3.0578765589572501"/>
        <n v="-3.0572143898760999"/>
        <n v="-3.0550346598231402"/>
        <n v="-3.0495975856797299"/>
        <n v="-3.0407782271524399"/>
        <n v="-3.0401904698954199"/>
        <n v="-3.03844434054677"/>
        <n v="-3.0346482112143698"/>
        <n v="-3.02833738822439"/>
        <n v="-3.0273678485819202"/>
        <n v="-3.0006650220128699"/>
        <n v="-2.99910543209125"/>
        <n v="-2.9941735399336098"/>
        <n v="-2.9902046772281499"/>
        <n v="-2.9794385259539302"/>
        <n v="-2.97754442801567"/>
        <n v="-2.9772507446599601"/>
        <n v="-2.97008797415155"/>
        <n v="-2.9668779012418298"/>
        <n v="-2.9631125481420799"/>
        <n v="-2.95821054413907"/>
        <n v="-2.9459566674090798"/>
        <n v="-2.9327262755208401"/>
        <n v="-2.92610857891819"/>
        <n v="-2.9207310635955301"/>
        <n v="-2.9162387159988699"/>
        <n v="-2.9088560286273601"/>
        <n v="-2.9033863096402102"/>
        <n v="-2.9017659887434601"/>
        <n v="-2.8858348207594702"/>
        <n v="-2.8771361636388901"/>
        <n v="-2.8617237042012702"/>
        <n v="-2.8604493037471399"/>
        <n v="-2.84212547426859"/>
        <n v="-2.8168828720342001"/>
        <n v="-2.8014104393813302"/>
        <n v="-2.79672664298878"/>
        <n v="-2.7855038992268302"/>
        <n v="-2.7603000189501299"/>
        <n v="-2.7601325645231198"/>
        <n v="-2.76000375604215"/>
        <n v="-2.7575051813149498"/>
        <n v="-2.7404260300988001"/>
        <n v="-2.7392937834734199"/>
        <n v="-2.7241573722646502"/>
        <n v="-2.7196273900611998"/>
        <n v="-2.71144214895532"/>
        <n v="-2.6495659056392298"/>
        <n v="-2.6180355802078501"/>
        <n v="-2.6077198581607899"/>
        <n v="-2.5943474869464498"/>
        <n v="-2.5911756382748501"/>
        <n v="-2.5565587877218299"/>
        <n v="-2.5243521011349102"/>
        <n v="-2.5186794679044802"/>
        <n v="-2.49761942126255"/>
        <n v="-2.4931662345972501"/>
        <n v="-2.4301786622363699"/>
        <n v="-2.42042683508866"/>
        <n v="-2.4170768690595099"/>
        <n v="-2.4157013491194999"/>
        <n v="-2.4138495045789501"/>
        <n v="-2.4060517533618202"/>
        <n v="-2.3875332369577"/>
        <n v="-2.3753251896132199"/>
        <n v="-2.2917667274231102"/>
        <n v="-2.2497987317130499"/>
        <n v="-2.2437723531479499"/>
        <n v="-2.2118811775095102"/>
        <n v="-2.1920957095812601"/>
        <n v="-2.0954641893155501"/>
      </sharedItems>
    </cacheField>
    <cacheField name="Konsumi i Nominuar i  Furnizuesi X (EKNKFurnizuesiX) [MWh]" numFmtId="0">
      <sharedItems containsSemiMixedTypes="0" containsString="0" containsNumber="1" minValue="-6.6433960000000001" maxValue="-1.4337519999999999" count="647">
        <n v="-6.6433960000000001"/>
        <n v="-6.59293"/>
        <n v="-6.5508749999999996"/>
        <n v="-6.4965270000000004"/>
        <n v="-6.494586"/>
        <n v="-6.4460610000000003"/>
        <n v="-6.4408849999999997"/>
        <n v="-6.414358"/>
        <n v="-6.3949480000000003"/>
        <n v="-6.3748909999999999"/>
        <n v="-6.3697150000000002"/>
        <n v="-6.3580690000000004"/>
        <n v="-6.3541869999999996"/>
        <n v="-6.3470700000000004"/>
        <n v="-6.3321889999999996"/>
        <n v="-6.319896"/>
        <n v="-6.3192490000000001"/>
        <n v="-6.2894870000000003"/>
        <n v="-6.2668419999999996"/>
        <n v="-6.257784"/>
        <n v="-6.2293159999999999"/>
        <n v="-6.2002009999999999"/>
        <n v="-6.1904960000000004"/>
        <n v="-6.1833790000000004"/>
        <n v="-6.1697920000000002"/>
        <n v="-6.1549110000000002"/>
        <n v="-6.1464999999999996"/>
        <n v="-6.1316189999999997"/>
        <n v="-6.0889170000000004"/>
        <n v="-6.083094"/>
        <n v="-6.0805059999999997"/>
        <n v="-6.0766239999999998"/>
        <n v="-6.0708010000000003"/>
        <n v="-6.064978"/>
        <n v="-6.0300399999999996"/>
        <n v="-6.0209820000000001"/>
        <n v="-5.9828089999999996"/>
        <n v="-5.9815149999999999"/>
        <n v="-5.9685750000000004"/>
        <n v="-5.9439890000000002"/>
        <n v="-5.9323430000000004"/>
        <n v="-5.9135799999999996"/>
        <n v="-5.8657019999999997"/>
        <n v="-5.8081189999999996"/>
        <n v="-5.8068249999999999"/>
        <n v="-5.7427720000000004"/>
        <n v="-5.7071870000000002"/>
        <n v="-5.6819540000000002"/>
        <n v="-5.6728959999999997"/>
        <n v="-5.6690139999999998"/>
        <n v="-5.6606030000000001"/>
        <n v="-5.6554270000000004"/>
        <n v="-5.6547799999999997"/>
        <n v="-5.6502509999999999"/>
        <n v="-5.5829630000000003"/>
        <n v="-5.5706699999999998"/>
        <n v="-5.5538480000000003"/>
        <n v="-5.5532009999999996"/>
        <n v="-5.5434960000000002"/>
        <n v="-5.5415549999999998"/>
        <n v="-5.5357320000000003"/>
        <n v="-5.5176160000000003"/>
        <n v="-5.4904419999999998"/>
        <n v="-5.4872069999999997"/>
        <n v="-5.4665030000000003"/>
        <n v="-5.4632680000000002"/>
        <n v="-5.456798"/>
        <n v="-5.4399759999999997"/>
        <n v="-5.4393289999999999"/>
        <n v="-5.4348000000000001"/>
        <n v="-5.4341530000000002"/>
        <n v="-5.4328589999999997"/>
        <n v="-5.4069789999999998"/>
        <n v="-5.3882159999999999"/>
        <n v="-5.3649240000000002"/>
        <n v="-5.3532780000000004"/>
        <n v="-5.3474550000000001"/>
        <n v="-5.3468080000000002"/>
        <n v="-5.3377499999999998"/>
        <n v="-5.3364560000000001"/>
        <n v="-5.3209280000000003"/>
        <n v="-5.3170460000000004"/>
        <n v="-5.2685209999999998"/>
        <n v="-5.2199960000000001"/>
        <n v="-5.2154670000000003"/>
        <n v="-5.1869990000000001"/>
        <n v="-5.1805289999999999"/>
        <n v="-5.1675890000000004"/>
        <n v="-5.1300629999999998"/>
        <n v="-5.129416"/>
        <n v="-5.1274749999999996"/>
        <n v="-5.1203580000000004"/>
        <n v="-5.1138880000000002"/>
        <n v="-5.107418"/>
        <n v="-5.0918900000000002"/>
        <n v="-5.0905959999999997"/>
        <n v="-5.0763619999999996"/>
        <n v="-5.0685979999999997"/>
        <n v="-5.0323659999999997"/>
        <n v="-5.0136029999999998"/>
        <n v="-5.0058389999999999"/>
        <n v="-4.9954869999999998"/>
        <n v="-4.9864290000000002"/>
        <n v="-4.983841"/>
        <n v="-4.9780179999999996"/>
        <n v="-4.9741359999999997"/>
        <n v="-4.9721950000000001"/>
        <n v="-4.9605490000000003"/>
        <n v="-4.9566670000000004"/>
        <n v="-4.943727"/>
        <n v="-4.925611"/>
        <n v="-4.914612"/>
        <n v="-4.8990840000000002"/>
        <n v="-4.8984370000000004"/>
        <n v="-4.8906729999999996"/>
        <n v="-4.8867909999999997"/>
        <n v="-4.8809680000000002"/>
        <n v="-4.856382"/>
        <n v="-4.8557350000000001"/>
        <n v="-4.8440890000000003"/>
        <n v="-4.8427949999999997"/>
        <n v="-4.8337370000000002"/>
        <n v="-4.8285609999999997"/>
        <n v="-4.8136799999999997"/>
        <n v="-4.8104449999999996"/>
        <n v="-4.7722720000000001"/>
        <n v="-4.7664489999999997"/>
        <n v="-4.7573910000000001"/>
        <n v="-4.7476859999999999"/>
        <n v="-4.739922"/>
        <n v="-4.7386280000000003"/>
        <n v="-4.7229999999999999"/>
        <n v="-4.7004549999999998"/>
        <n v="-4.699808"/>
        <n v="-4.6965729999999999"/>
        <n v="-4.6939849999999996"/>
        <n v="-4.6926909999999999"/>
        <n v="-4.6901029999999997"/>
        <n v="-4.688809"/>
        <n v="-4.6823389999999998"/>
        <n v="-4.67781"/>
        <n v="-4.6758689999999996"/>
        <n v="-4.6739280000000001"/>
        <n v="-4.6622820000000003"/>
        <n v="-4.6396369999999996"/>
        <n v="-4.6241089999999998"/>
        <n v="-4.6163449999999999"/>
        <n v="-4.6150510000000002"/>
        <n v="-4.6131099999999998"/>
        <n v="-4.6066399999999996"/>
        <n v="-4.6046990000000001"/>
        <n v="-4.6008170000000002"/>
        <n v="-4.5917589999999997"/>
        <n v="-4.5755840000000001"/>
        <n v="-4.5691139999999999"/>
        <n v="-4.5535860000000001"/>
        <n v="-4.5522919999999996"/>
        <n v="-4.543234"/>
        <n v="-4.5419400000000003"/>
        <n v="-4.5374109999999996"/>
        <n v="-4.514119"/>
        <n v="-4.5115309999999997"/>
        <n v="-4.5037669999999999"/>
        <n v="-4.5018260000000003"/>
        <n v="-4.4908270000000003"/>
        <n v="-4.4869450000000004"/>
        <n v="-4.481122"/>
        <n v="-4.4772400000000001"/>
        <n v="-4.4636529999999999"/>
        <n v="-4.4507130000000004"/>
        <n v="-4.4429489999999996"/>
        <n v="-4.4390669999999997"/>
        <n v="-4.4306559999999999"/>
        <n v="-4.415775"/>
        <n v="-4.4125399999999999"/>
        <n v="-4.404776"/>
        <n v="-4.4028349999999996"/>
        <n v="-4.3873069999999998"/>
        <n v="-4.3840719999999997"/>
        <n v="-4.3666029999999996"/>
        <n v="-4.3640150000000002"/>
        <n v="-4.346546"/>
        <n v="-4.3310180000000003"/>
        <n v="-4.3154899999999996"/>
        <n v="-4.3096670000000001"/>
        <n v="-4.3051380000000004"/>
        <n v="-4.3012560000000004"/>
        <n v="-4.2967269999999997"/>
        <n v="-4.288316"/>
        <n v="-4.2876690000000002"/>
        <n v="-4.2863749999999996"/>
        <n v="-4.2779639999999999"/>
        <n v="-4.2598479999999999"/>
        <n v="-4.2546720000000002"/>
        <n v="-4.2540250000000004"/>
        <n v="-4.2494959999999997"/>
        <n v="-4.2462609999999996"/>
        <n v="-4.2456139999999998"/>
        <n v="-4.2359090000000004"/>
        <n v="-4.230086"/>
        <n v="-4.2281449999999996"/>
        <n v="-4.2255570000000002"/>
        <n v="-4.2210279999999996"/>
        <n v="-4.2184400000000002"/>
        <n v="-4.2164989999999998"/>
        <n v="-4.2042060000000001"/>
        <n v="-4.1957950000000004"/>
        <n v="-4.1945009999999998"/>
        <n v="-4.1906189999999999"/>
        <n v="-4.189972"/>
        <n v="-4.1893250000000002"/>
        <n v="-4.1886780000000003"/>
        <n v="-4.1847960000000004"/>
        <n v="-4.171856"/>
        <n v="-4.1705620000000003"/>
        <n v="-4.1679740000000001"/>
        <n v="-4.1640920000000001"/>
        <n v="-4.1634450000000003"/>
        <n v="-4.1388590000000001"/>
        <n v="-4.1369179999999997"/>
        <n v="-4.1285069999999999"/>
        <n v="-4.1226839999999996"/>
        <n v="-4.1123320000000003"/>
        <n v="-4.1103909999999999"/>
        <n v="-4.1071559999999998"/>
        <n v="-4.1045680000000004"/>
        <n v="-4.1039209999999997"/>
        <n v="-4.1000389999999998"/>
        <n v="-4.0993919999999999"/>
        <n v="-4.0987450000000001"/>
        <n v="-4.0980980000000002"/>
        <n v="-4.0948630000000001"/>
        <n v="-4.0896869999999996"/>
        <n v="-4.0812759999999999"/>
        <n v="-4.0793350000000004"/>
        <n v="-4.0767470000000001"/>
        <n v="-4.0754530000000004"/>
        <n v="-4.0741589999999999"/>
        <n v="-4.073512"/>
        <n v="-4.066395"/>
        <n v="-4.0631599999999999"/>
        <n v="-4.062513"/>
        <n v="-4.0618660000000002"/>
        <n v="-4.0476320000000001"/>
        <n v="-4.0463380000000004"/>
        <n v="-4.0424559999999996"/>
        <n v="-4.0314569999999996"/>
        <n v="-4.0301629999999999"/>
        <n v="-4.0275749999999997"/>
        <n v="-4.026281"/>
        <n v="-4.0249870000000003"/>
        <n v="-4.0236929999999997"/>
        <n v="-4.0204579999999996"/>
        <n v="-4.0165759999999997"/>
        <n v="-4.0094589999999997"/>
        <n v="-4.008165"/>
        <n v="-4.0062239999999996"/>
        <n v="-3.9939309999999999"/>
        <n v="-3.9894020000000001"/>
        <n v="-3.988108"/>
        <n v="-3.97905"/>
        <n v="-3.975168"/>
        <n v="-3.9745210000000002"/>
        <n v="-3.9732270000000001"/>
        <n v="-3.9725799999999998"/>
        <n v="-3.9693450000000001"/>
        <n v="-3.968051"/>
        <n v="-3.9674040000000002"/>
        <n v="-3.9648159999999999"/>
        <n v="-3.9602870000000001"/>
        <n v="-3.9583460000000001"/>
        <n v="-3.9544640000000002"/>
        <n v="-3.9505819999999998"/>
        <n v="-3.9441120000000001"/>
        <n v="-3.9382890000000002"/>
        <n v="-3.9376419999999999"/>
        <n v="-3.9337599999999999"/>
        <n v="-3.9324659999999998"/>
        <n v="-3.9305249999999998"/>
        <n v="-3.929878"/>
        <n v="-3.9253490000000002"/>
        <n v="-3.92082"/>
        <n v="-3.90788"/>
        <n v="-3.9072330000000002"/>
        <n v="-3.9046449999999999"/>
        <n v="-3.9014099999999998"/>
        <n v="-3.898822"/>
        <n v="-3.8962340000000002"/>
        <n v="-3.8949400000000001"/>
        <n v="-3.8858820000000001"/>
        <n v="-3.882647"/>
        <n v="-3.880706"/>
        <n v="-3.8735889999999999"/>
        <n v="-3.871648"/>
        <n v="-3.869707"/>
        <n v="-3.8651779999999998"/>
        <n v="-3.8567670000000001"/>
        <n v="-3.8561200000000002"/>
        <n v="-3.8554729999999999"/>
        <n v="-3.8522379999999998"/>
        <n v="-3.8490030000000002"/>
        <n v="-3.847709"/>
        <n v="-3.8431799999999998"/>
        <n v="-3.8412389999999998"/>
        <n v="-3.8380040000000002"/>
        <n v="-3.8308870000000002"/>
        <n v="-3.829593"/>
        <n v="-3.8263579999999999"/>
        <n v="-3.8257110000000001"/>
        <n v="-3.820535"/>
        <n v="-3.8179470000000002"/>
        <n v="-3.8160059999999998"/>
        <n v="-3.8147120000000001"/>
        <n v="-3.8140649999999998"/>
        <n v="-3.813418"/>
        <n v="-3.8121239999999998"/>
        <n v="-3.811477"/>
        <n v="-3.8082419999999999"/>
        <n v="-3.8075950000000001"/>
        <n v="-3.8069480000000002"/>
        <n v="-3.8030659999999998"/>
        <n v="-3.802419"/>
        <n v="-3.8017720000000002"/>
        <n v="-3.7991839999999999"/>
        <n v="-3.795302"/>
        <n v="-3.793361"/>
        <n v="-3.79142"/>
        <n v="-3.7881849999999999"/>
        <n v="-3.7791269999999999"/>
        <n v="-3.7778330000000002"/>
        <n v="-3.7758919999999998"/>
        <n v="-3.7745980000000001"/>
        <n v="-3.7739509999999998"/>
        <n v="-3.773304"/>
        <n v="-3.771363"/>
        <n v="-3.7681279999999999"/>
        <n v="-3.7674810000000001"/>
        <n v="-3.7629519999999999"/>
        <n v="-3.7597170000000002"/>
        <n v="-3.7590699999999999"/>
        <n v="-3.7577759999999998"/>
        <n v="-3.7571289999999999"/>
        <n v="-3.7538939999999998"/>
        <n v="-3.753247"/>
        <n v="-3.7506590000000002"/>
        <n v="-3.7474240000000001"/>
        <n v="-3.7467769999999998"/>
        <n v="-3.74613"/>
        <n v="-3.7448359999999998"/>
        <n v="-3.7416010000000002"/>
        <n v="-3.7377189999999998"/>
        <n v="-3.7364250000000001"/>
        <n v="-3.7344840000000001"/>
        <n v="-3.7254260000000001"/>
        <n v="-3.717015"/>
        <n v="-3.7157209999999998"/>
        <n v="-3.7144270000000001"/>
        <n v="-3.7124860000000002"/>
        <n v="-3.7073100000000001"/>
        <n v="-3.7066629999999998"/>
        <n v="-3.7047219999999998"/>
        <n v="-3.7027809999999999"/>
        <n v="-3.7014870000000002"/>
        <n v="-3.7008399999999999"/>
        <n v="-3.6988989999999999"/>
        <n v="-3.6982520000000001"/>
        <n v="-3.696958"/>
        <n v="-3.6943700000000002"/>
        <n v="-3.6924290000000002"/>
        <n v="-3.6911350000000001"/>
        <n v="-3.6879"/>
        <n v="-3.6853120000000001"/>
        <n v="-3.6827239999999999"/>
        <n v="-3.6775479999999998"/>
        <n v="-3.676901"/>
        <n v="-3.6762540000000001"/>
        <n v="-3.6756069999999998"/>
        <n v="-3.6743130000000002"/>
        <n v="-3.673019"/>
        <n v="-3.6723720000000002"/>
        <n v="-3.6717249999999999"/>
        <n v="-3.6710780000000001"/>
        <n v="-3.6691370000000001"/>
        <n v="-3.667843"/>
        <n v="-3.6652550000000002"/>
        <n v="-3.6633140000000002"/>
        <n v="-3.6626669999999999"/>
        <n v="-3.6613730000000002"/>
        <n v="-3.6607259999999999"/>
        <n v="-3.6594319999999998"/>
        <n v="-3.6574909999999998"/>
        <n v="-3.6555499999999999"/>
        <n v="-3.6542560000000002"/>
        <n v="-3.6536089999999999"/>
        <n v="-3.652962"/>
        <n v="-3.6484329999999998"/>
        <n v="-3.645845"/>
        <n v="-3.6451980000000002"/>
        <n v="-3.643904"/>
        <n v="-3.6419630000000001"/>
        <n v="-3.6413160000000002"/>
        <n v="-3.6406689999999999"/>
        <n v="-3.6393749999999998"/>
        <n v="-3.636787"/>
        <n v="-3.6316109999999999"/>
        <n v="-3.6309640000000001"/>
        <n v="-3.6264349999999999"/>
        <n v="-3.625788"/>
        <n v="-3.6251410000000002"/>
        <n v="-3.6244939999999999"/>
        <n v="-3.6212589999999998"/>
        <n v="-3.6199650000000001"/>
        <n v="-3.6193179999999998"/>
        <n v="-3.618671"/>
        <n v="-3.61673"/>
        <n v="-3.6160830000000002"/>
        <n v="-3.6154359999999999"/>
        <n v="-3.6115539999999999"/>
        <n v="-3.6109070000000001"/>
        <n v="-3.609613"/>
        <n v="-3.6083189999999998"/>
        <n v="-3.6050840000000002"/>
        <n v="-3.6044369999999999"/>
        <n v="-3.6024959999999999"/>
        <n v="-3.6018490000000001"/>
        <n v="-3.6012019999999998"/>
        <n v="-3.6005549999999999"/>
        <n v="-3.5999080000000001"/>
        <n v="-3.5973199999999999"/>
        <n v="-3.596673"/>
        <n v="-3.5960260000000002"/>
        <n v="-3.594732"/>
        <n v="-3.5940850000000002"/>
        <n v="-3.5921439999999998"/>
        <n v="-3.5908500000000001"/>
        <n v="-3.5902029999999998"/>
        <n v="-3.5882619999999998"/>
        <n v="-3.5863209999999999"/>
        <n v="-3.5850270000000002"/>
        <n v="-3.5843799999999999"/>
        <n v="-3.5837330000000001"/>
        <n v="-3.5817920000000001"/>
        <n v="-3.5811449999999998"/>
        <n v="-3.5798510000000001"/>
        <n v="-3.5792039999999998"/>
        <n v="-3.576616"/>
        <n v="-3.5759690000000002"/>
        <n v="-3.5753219999999999"/>
        <n v="-3.574675"/>
        <n v="-3.5740280000000002"/>
        <n v="-3.5733809999999999"/>
        <n v="-3.5714399999999999"/>
        <n v="-3.5707930000000001"/>
        <n v="-3.5701459999999998"/>
        <n v="-3.569499"/>
        <n v="-3.5688520000000001"/>
        <n v="-3.5649700000000002"/>
        <n v="-3.5636760000000001"/>
        <n v="-3.5617350000000001"/>
        <n v="-3.560441"/>
        <n v="-3.5591469999999998"/>
        <n v="-3.5585"/>
        <n v="-3.556559"/>
        <n v="-3.5559120000000002"/>
        <n v="-3.5552649999999999"/>
        <n v="-3.5539710000000002"/>
        <n v="-3.5533239999999999"/>
        <n v="-3.5526770000000001"/>
        <n v="-3.5507360000000001"/>
        <n v="-3.5487950000000001"/>
        <n v="-3.5462069999999999"/>
        <n v="-3.5449130000000002"/>
        <n v="-3.5436190000000001"/>
        <n v="-3.5423249999999999"/>
        <n v="-3.540384"/>
        <n v="-3.5397370000000001"/>
        <n v="-3.5390899999999998"/>
        <n v="-3.538443"/>
        <n v="-3.5377960000000002"/>
        <n v="-3.5332669999999999"/>
        <n v="-3.5319729999999998"/>
        <n v="-3.531326"/>
        <n v="-3.5306790000000001"/>
        <n v="-3.5300319999999998"/>
        <n v="-3.529385"/>
        <n v="-3.5287380000000002"/>
        <n v="-3.527444"/>
        <n v="-3.5267970000000002"/>
        <n v="-3.5261499999999999"/>
        <n v="-3.5242089999999999"/>
        <n v="-3.5229149999999998"/>
        <n v="-3.522268"/>
        <n v="-3.5190329999999999"/>
        <n v="-3.5157980000000002"/>
        <n v="-3.5132099999999999"/>
        <n v="-3.5119159999999998"/>
        <n v="-3.511269"/>
        <n v="-3.5080339999999999"/>
        <n v="-3.5067400000000002"/>
        <n v="-3.5041519999999999"/>
        <n v="-3.5028579999999998"/>
        <n v="-3.4989759999999999"/>
        <n v="-3.498329"/>
        <n v="-3.4976820000000002"/>
        <n v="-3.4925060000000001"/>
        <n v="-3.489271"/>
        <n v="-3.4886240000000002"/>
        <n v="-3.4853890000000001"/>
        <n v="-3.480213"/>
        <n v="-3.4769779999999999"/>
        <n v="-3.473096"/>
        <n v="-3.471155"/>
        <n v="-3.4705080000000001"/>
        <n v="-3.469214"/>
        <n v="-3.4685670000000002"/>
        <n v="-3.4614500000000001"/>
        <n v="-3.440099"/>
        <n v="-3.4336289999999998"/>
        <n v="-3.431041"/>
        <n v="-3.4181010000000001"/>
        <n v="-3.4096899999999999"/>
        <n v="-3.4058079999999999"/>
        <n v="-3.4045139999999998"/>
        <n v="-3.3967499999999999"/>
        <n v="-3.3941620000000001"/>
        <n v="-3.392868"/>
        <n v="-3.3896329999999999"/>
        <n v="-3.3786339999999999"/>
        <n v="-3.3715169999999999"/>
        <n v="-3.37087"/>
        <n v="-3.365694"/>
        <n v="-3.3605179999999999"/>
        <n v="-3.3579300000000001"/>
        <n v="-3.356636"/>
        <n v="-3.3559890000000001"/>
        <n v="-3.3488720000000001"/>
        <n v="-3.3462839999999998"/>
        <n v="-3.334638"/>
        <n v="-3.3314029999999999"/>
        <n v="-3.3281679999999998"/>
        <n v="-3.3268740000000001"/>
        <n v="-3.3229920000000002"/>
        <n v="-3.3223449999999999"/>
        <n v="-3.3100520000000002"/>
        <n v="-3.3094049999999999"/>
        <n v="-3.3048760000000001"/>
        <n v="-3.2984059999999999"/>
        <n v="-3.294524"/>
        <n v="-3.285466"/>
        <n v="-3.2789959999999998"/>
        <n v="-3.276408"/>
        <n v="-3.2718790000000002"/>
        <n v="-3.2699379999999998"/>
        <n v="-3.265409"/>
        <n v="-3.2628210000000002"/>
        <n v="-3.2576450000000001"/>
        <n v="-3.2511749999999999"/>
        <n v="-3.2505280000000001"/>
        <n v="-3.2498809999999998"/>
        <n v="-3.2479399999999998"/>
        <n v="-3.2459989999999999"/>
        <n v="-3.2421169999999999"/>
        <n v="-3.2395290000000001"/>
        <n v="-3.2278829999999998"/>
        <n v="-3.227236"/>
        <n v="-3.2265890000000002"/>
        <n v="-3.2097669999999998"/>
        <n v="-3.2026500000000002"/>
        <n v="-3.1968269999999999"/>
        <n v="-3.19618"/>
        <n v="-3.189063"/>
        <n v="-3.1832400000000001"/>
        <n v="-3.1825929999999998"/>
        <n v="-3.180005"/>
        <n v="-3.167065"/>
        <n v="-3.1657709999999999"/>
        <n v="-3.1638299999999999"/>
        <n v="-3.1612420000000001"/>
        <n v="-3.158007"/>
        <n v="-3.1547719999999999"/>
        <n v="-3.1476549999999999"/>
        <n v="-3.1411850000000001"/>
        <n v="-3.1204809999999998"/>
        <n v="-3.1159520000000001"/>
        <n v="-3.1120700000000001"/>
        <n v="-3.110776"/>
        <n v="-3.1094819999999999"/>
        <n v="-3.108835"/>
        <n v="-3.0946009999999999"/>
        <n v="-3.09266"/>
        <n v="-3.090719"/>
        <n v="-3.0868370000000001"/>
        <n v="-3.0829550000000001"/>
        <n v="-3.0661330000000002"/>
        <n v="-3.0557810000000001"/>
        <n v="-3.0551339999999998"/>
        <n v="-3.0467230000000001"/>
        <n v="-3.0370180000000002"/>
        <n v="-3.0266660000000001"/>
        <n v="-3.0208430000000002"/>
        <n v="-3.0046680000000001"/>
        <n v="-2.9871989999999999"/>
        <n v="-2.9800819999999999"/>
        <n v="-2.9774940000000001"/>
        <n v="-2.974259"/>
        <n v="-2.9645540000000001"/>
        <n v="-2.9535550000000002"/>
        <n v="-2.9386739999999998"/>
        <n v="-2.9296160000000002"/>
        <n v="-2.9237929999999999"/>
        <n v="-2.9147349999999999"/>
        <n v="-2.9134410000000002"/>
        <n v="-2.8746209999999999"/>
        <n v="-2.8707389999999999"/>
        <n v="-2.8603869999999998"/>
        <n v="-2.8526229999999999"/>
        <n v="-2.826743"/>
        <n v="-2.8209200000000001"/>
        <n v="-2.8028040000000001"/>
        <n v="-2.8008630000000001"/>
        <n v="-2.8002159999999998"/>
        <n v="-2.799569"/>
        <n v="-2.777571"/>
        <n v="-2.7711009999999998"/>
        <n v="-2.7639840000000002"/>
        <n v="-2.7510439999999998"/>
        <n v="-2.7478090000000002"/>
        <n v="-2.7258110000000002"/>
        <n v="-2.7076950000000002"/>
        <n v="-2.7025190000000001"/>
        <n v="-2.6947549999999998"/>
        <n v="-2.681168"/>
        <n v="-2.6636989999999998"/>
        <n v="-2.661111"/>
        <n v="-2.6546409999999998"/>
        <n v="-2.6436419999999998"/>
        <n v="-2.6015869999999999"/>
        <n v="-2.54271"/>
        <n v="-2.5304169999999999"/>
        <n v="-2.4941849999999999"/>
        <n v="-2.3046139999999999"/>
        <n v="-2.2683819999999999"/>
        <n v="-2.249619"/>
        <n v="-2.1758609999999998"/>
        <n v="-1.595502"/>
        <n v="-1.4557500000000001"/>
        <n v="-1.4337519999999999"/>
      </sharedItems>
    </cacheField>
    <cacheField name="Energjia e Jobalancit (EJBFFurnizuesiXj) [MWh]" numFmtId="0">
      <sharedItems containsSemiMixedTypes="0" containsString="0" containsNumber="1" minValue="-3.0683308410490802" maxValue="2.25121509281874" count="720">
        <n v="-3.0683308410490802"/>
        <n v="-2.9592746658978699"/>
        <n v="-2.42336126844019"/>
        <n v="-2.1758950010790299"/>
        <n v="-2.1171393670353398"/>
        <n v="-1.8076398039044399"/>
        <n v="-1.76757721845954"/>
        <n v="-1.5987675025380299"/>
        <n v="-1.4701550175007401"/>
        <n v="-1.44185100094033"/>
        <n v="-1.4410129845234101"/>
        <n v="-1.4398510436283301"/>
        <n v="-1.31331017536394"/>
        <n v="-1.30358050212915"/>
        <n v="-1.2536335250174699"/>
        <n v="-1.2394112427360999"/>
        <n v="-1.11728402955638"/>
        <n v="-1.1008095296404601"/>
        <n v="-1.0568543358615301"/>
        <n v="-1.04228939599186"/>
        <n v="-1.03111036485354"/>
        <n v="-1.0240474271683899"/>
        <n v="-0.99407986190369402"/>
        <n v="-0.99091539996304701"/>
        <n v="-0.97767192333402597"/>
        <n v="-0.97268604238595002"/>
        <n v="-0.961972015922399"/>
        <n v="-0.94258208686584"/>
        <n v="-0.92931967342082999"/>
        <n v="-0.92004948455486601"/>
        <n v="-0.91978531675489095"/>
        <n v="-0.90558740369275204"/>
        <n v="-0.90351624553134602"/>
        <n v="-0.89582576759776"/>
        <n v="-0.89200478435520802"/>
        <n v="-0.88091629299312502"/>
        <n v="-0.86338369670096804"/>
        <n v="-0.86245486589620601"/>
        <n v="-0.858898315076848"/>
        <n v="-0.848792560103525"/>
        <n v="-0.84034212520974605"/>
        <n v="-0.837666773995142"/>
        <n v="-0.83308586793409201"/>
        <n v="-0.81918924961419604"/>
        <n v="-0.81167182452418496"/>
        <n v="-0.80613667531464706"/>
        <n v="-0.80050166349821505"/>
        <n v="-0.79837937192999098"/>
        <n v="-0.79297710836159396"/>
        <n v="-0.78951260638292997"/>
        <n v="-0.78264434404276695"/>
        <n v="-0.76811305511568895"/>
        <n v="-0.76505477058319704"/>
        <n v="-0.75419031889104404"/>
        <n v="-0.745003272199113"/>
        <n v="-0.728476646305939"/>
        <n v="-0.72603525327124097"/>
        <n v="-0.72189285661159797"/>
        <n v="-0.72050781042260503"/>
        <n v="-0.71575739869905897"/>
        <n v="-0.71534844206453096"/>
        <n v="-0.71496799890442397"/>
        <n v="-0.70656969344325105"/>
        <n v="-0.70469326878431904"/>
        <n v="-0.69910195844608103"/>
        <n v="-0.69501844780177302"/>
        <n v="-0.69080768949292204"/>
        <n v="-0.69049901961112004"/>
        <n v="-0.68728187008074904"/>
        <n v="-0.68433930584027003"/>
        <n v="-0.66774566010754799"/>
        <n v="-0.66516175628597696"/>
        <n v="-0.65902392242255403"/>
        <n v="-0.65587162520173403"/>
        <n v="-0.65520827701325102"/>
        <n v="-0.650258903885372"/>
        <n v="-0.64842250392670897"/>
        <n v="-0.64722837158925794"/>
        <n v="-0.642484858120979"/>
        <n v="-0.638943308978972"/>
        <n v="-0.63793120885374799"/>
        <n v="-0.62864089501824505"/>
        <n v="-0.62690380640263599"/>
        <n v="-0.62317538040180798"/>
        <n v="-0.61737828129724304"/>
        <n v="-0.61688128319906799"/>
        <n v="-0.61547779802109603"/>
        <n v="-0.61538118258919505"/>
        <n v="-0.61205724629026104"/>
        <n v="-0.61019963924145304"/>
        <n v="-0.60092801613762903"/>
        <n v="-0.59818495857844101"/>
        <n v="-0.58940875380548796"/>
        <n v="-0.58400359841383598"/>
        <n v="-0.58387022301654201"/>
        <n v="-0.57436867327713503"/>
        <n v="-0.57394128818199996"/>
        <n v="-0.57259316383646297"/>
        <n v="-0.57214598156867702"/>
        <n v="-0.56269124357660405"/>
        <n v="-0.56219032896785803"/>
        <n v="-0.56113225662933297"/>
        <n v="-0.559776498244418"/>
        <n v="-0.55919791868062496"/>
        <n v="-0.55425959880779296"/>
        <n v="-0.55051129294751"/>
        <n v="-0.54976468443283699"/>
        <n v="-0.54514380742421698"/>
        <n v="-0.544968198597096"/>
        <n v="-0.54067103927392102"/>
        <n v="-0.53872964355226904"/>
        <n v="-0.53516971515295597"/>
        <n v="-0.51849594211418304"/>
        <n v="-0.51743130051854402"/>
        <n v="-0.51563762509042999"/>
        <n v="-0.50673441556100096"/>
        <n v="-0.50089090193878705"/>
        <n v="-0.49897454510105299"/>
        <n v="-0.49850129096736701"/>
        <n v="-0.498432637404084"/>
        <n v="-0.49667630685157699"/>
        <n v="-0.49492741183238897"/>
        <n v="-0.48971983925585799"/>
        <n v="-0.48913415866701598"/>
        <n v="-0.47981188286972998"/>
        <n v="-0.479798172178375"/>
        <n v="-0.47931843035747201"/>
        <n v="-0.47790276281580601"/>
        <n v="-0.47648267222167401"/>
        <n v="-0.47459150854308602"/>
        <n v="-0.47221022971605597"/>
        <n v="-0.47083202952618802"/>
        <n v="-0.46889000148492699"/>
        <n v="-0.46822558044853901"/>
        <n v="-0.46375358121768501"/>
        <n v="-0.46132865285249902"/>
        <n v="-0.45890313065966498"/>
        <n v="-0.45877595748962002"/>
        <n v="-0.45783797128646803"/>
        <n v="-0.45295305911238098"/>
        <n v="-0.45148523286710301"/>
        <n v="-0.44669666532184799"/>
        <n v="-0.44626155788122102"/>
        <n v="-0.44207670967889501"/>
        <n v="-0.43907500449077203"/>
        <n v="-0.43581496907841499"/>
        <n v="-0.43541985178106501"/>
        <n v="-0.43449516032456298"/>
        <n v="-0.43428119646735702"/>
        <n v="-0.43296696778224802"/>
        <n v="-0.43274154847232699"/>
        <n v="-0.43232914685335699"/>
        <n v="-0.431016128187174"/>
        <n v="-0.43046144695032401"/>
        <n v="-0.42915242056413"/>
        <n v="-0.41927211087098798"/>
        <n v="-0.41498492925624197"/>
        <n v="-0.41126841747514198"/>
        <n v="-0.40879260111083798"/>
        <n v="-0.40826255513188903"/>
        <n v="-0.40621409882915599"/>
        <n v="-0.40315771331504302"/>
        <n v="-0.40268033694358701"/>
        <n v="-0.39863711085621001"/>
        <n v="-0.39669490532881702"/>
        <n v="-0.39596661716103798"/>
        <n v="-0.39391884915458902"/>
        <n v="-0.392759861158826"/>
        <n v="-0.38964742226906701"/>
        <n v="-0.38725660672255702"/>
        <n v="-0.384360651384964"/>
        <n v="-0.37988335896495501"/>
        <n v="-0.37209735844553199"/>
        <n v="-0.370898616870942"/>
        <n v="-0.366878470971505"/>
        <n v="-0.36621945411618501"/>
        <n v="-0.36399032976081602"/>
        <n v="-0.36317678036120299"/>
        <n v="-0.362240195201046"/>
        <n v="-0.36171716434451601"/>
        <n v="-0.36169032485657698"/>
        <n v="-0.35910998968235602"/>
        <n v="-0.35530611537904899"/>
        <n v="-0.35497266781571302"/>
        <n v="-0.35454506564140198"/>
        <n v="-0.35046604855904601"/>
        <n v="-0.34459860730131497"/>
        <n v="-0.34432632744890801"/>
        <n v="-0.33663431928406801"/>
        <n v="-0.33405959290800502"/>
        <n v="-0.33289873560741101"/>
        <n v="-0.33285996571722898"/>
        <n v="-0.32819008159212099"/>
        <n v="-0.327778903568955"/>
        <n v="-0.32577727474360602"/>
        <n v="-0.31674337701386901"/>
        <n v="-0.315741362201785"/>
        <n v="-0.31268113494368399"/>
        <n v="-0.30778717416563001"/>
        <n v="-0.30702761837463699"/>
        <n v="-0.305127491972429"/>
        <n v="-0.30273572706478202"/>
        <n v="-0.30249384692424502"/>
        <n v="-0.28039850952001399"/>
        <n v="-0.278048712689621"/>
        <n v="-0.27751109657345102"/>
        <n v="-0.27510322700383"/>
        <n v="-0.27355637051635601"/>
        <n v="-0.26895919416658298"/>
        <n v="-0.268055344128108"/>
        <n v="-0.26654931632229301"/>
        <n v="-0.26593495695269798"/>
        <n v="-0.264737844385183"/>
        <n v="-0.26424318443310402"/>
        <n v="-0.25954649509144301"/>
        <n v="-0.257464213955577"/>
        <n v="-0.25580540373201099"/>
        <n v="-0.25538553294222099"/>
        <n v="-0.254277897965625"/>
        <n v="-0.25398680992157502"/>
        <n v="-0.25357672547510202"/>
        <n v="-0.25090047943818"/>
        <n v="-0.250295059920767"/>
        <n v="-0.25011914294861798"/>
        <n v="-0.2477262577022"/>
        <n v="-0.24728099179784199"/>
        <n v="-0.24428382138805499"/>
        <n v="-0.24076701756164501"/>
        <n v="-0.23978216263871499"/>
        <n v="-0.237658899169643"/>
        <n v="-0.235117696087426"/>
        <n v="-0.23093099628553501"/>
        <n v="-0.230601100991674"/>
        <n v="-0.230040349751057"/>
        <n v="-0.22888145755921699"/>
        <n v="-0.22586254643157999"/>
        <n v="-0.223354993107033"/>
        <n v="-0.22170641124629401"/>
        <n v="-0.218004191384984"/>
        <n v="-0.215449902071326"/>
        <n v="-0.213271370334391"/>
        <n v="-0.210931888151553"/>
        <n v="-0.207091389289315"/>
        <n v="-0.205861277135992"/>
        <n v="-0.203098905497231"/>
        <n v="-0.20153731792306301"/>
        <n v="-0.20089169777443699"/>
        <n v="-0.197738370015975"/>
        <n v="-0.196149521762777"/>
        <n v="-0.189757196679993"/>
        <n v="-0.189157684984889"/>
        <n v="-0.188982619315089"/>
        <n v="-0.18794172137557999"/>
        <n v="-0.18738181859469599"/>
        <n v="-0.18423361841212499"/>
        <n v="-0.182994481594876"/>
        <n v="-0.17952802389707501"/>
        <n v="-0.17678287450664501"/>
        <n v="-0.17671696418266999"/>
        <n v="-0.17582917824983399"/>
        <n v="-0.17168952272350499"/>
        <n v="-0.16814618643920201"/>
        <n v="-0.167455104042846"/>
        <n v="-0.163740255484599"/>
        <n v="-0.16244192383713599"/>
        <n v="-0.16219666004463201"/>
        <n v="-0.16132818493020701"/>
        <n v="-0.15959897429286199"/>
        <n v="-0.15845276933737201"/>
        <n v="-0.15773913104965201"/>
        <n v="-0.15645130551665601"/>
        <n v="-0.15494977199724899"/>
        <n v="-0.15353811033015799"/>
        <n v="-0.14909589644984"/>
        <n v="-0.145766404182329"/>
        <n v="-0.14544213255094501"/>
        <n v="-0.14206039585656599"/>
        <n v="-0.13482868254677299"/>
        <n v="-0.133088966547598"/>
        <n v="-0.13261510351303199"/>
        <n v="-0.13233763816903599"/>
        <n v="-0.132119758309205"/>
        <n v="-0.13119575484441401"/>
        <n v="-0.13072646452477599"/>
        <n v="-0.129404883544672"/>
        <n v="-0.12776444805537901"/>
        <n v="-0.12651132944012899"/>
        <n v="-0.126411322972518"/>
        <n v="-0.117571628041928"/>
        <n v="-0.11660168378673499"/>
        <n v="-0.115638853676099"/>
        <n v="-0.113000511563789"/>
        <n v="-0.111993254638887"/>
        <n v="-0.111761915572374"/>
        <n v="-0.108363067270865"/>
        <n v="-0.108234193450911"/>
        <n v="-0.108142262350668"/>
        <n v="-0.10698418411518699"/>
        <n v="-0.105602676578608"/>
        <n v="-0.105058026375213"/>
        <n v="-0.10120349584546399"/>
        <n v="-9.9872714581920499E-2"/>
        <n v="-9.9339588040018606E-2"/>
        <n v="-9.7853332033144794E-2"/>
        <n v="-9.6862658627862294E-2"/>
        <n v="-9.19658345831188E-2"/>
        <n v="-9.1024336669573394E-2"/>
        <n v="-8.8580101446183404E-2"/>
        <n v="-8.6916605372365299E-2"/>
        <n v="-8.3449903402581696E-2"/>
        <n v="-8.0433094694304305E-2"/>
        <n v="-7.9398584698556304E-2"/>
        <n v="-7.7273795703869899E-2"/>
        <n v="-7.5491389509506998E-2"/>
        <n v="-6.9795063500209503E-2"/>
        <n v="-6.7933709391073696E-2"/>
        <n v="-6.5557785120194195E-2"/>
        <n v="-6.4148013552225006E-2"/>
        <n v="-6.1435921683470902E-2"/>
        <n v="-6.1356522736573799E-2"/>
        <n v="-5.7005261414793999E-2"/>
        <n v="-5.6777155366487697E-2"/>
        <n v="-5.61141702971477E-2"/>
        <n v="-5.4916614792513099E-2"/>
        <n v="-5.4527707683680399E-2"/>
        <n v="-5.356536210335E-2"/>
        <n v="-5.2399681726121999E-2"/>
        <n v="-5.2369815576875797E-2"/>
        <n v="-5.2002757428620802E-2"/>
        <n v="-5.1372332940328301E-2"/>
        <n v="-4.9878550732094698E-2"/>
        <n v="-4.9774899374004998E-2"/>
        <n v="-4.9707309923827298E-2"/>
        <n v="-4.6274662874274397E-2"/>
        <n v="-4.0977853851587899E-2"/>
        <n v="-4.0646199926284897E-2"/>
        <n v="-4.0607168281336301E-2"/>
        <n v="-3.9279490679967499E-2"/>
        <n v="-3.2868013781514202E-2"/>
        <n v="-3.2115335275769999E-2"/>
        <n v="-3.02678275801192E-2"/>
        <n v="-2.7536244468891798E-2"/>
        <n v="-2.2448690978948901E-2"/>
        <n v="-1.80074221540747E-2"/>
        <n v="-1.3632112846628601E-2"/>
        <n v="-7.1599130553924801E-3"/>
        <n v="-6.8031532648872798E-3"/>
        <n v="-5.2453881547701803E-3"/>
        <n v="-2.72208321442294E-3"/>
        <n v="-2.95102456005939E-4"/>
        <n v="9.3081277638114402E-5"/>
        <n v="2.06972056259597E-3"/>
        <n v="2.7637236545314499E-3"/>
        <n v="3.67134175801687E-3"/>
        <n v="4.2908663858505901E-3"/>
        <n v="5.6823809469805104E-3"/>
        <n v="6.0254915711444503E-3"/>
        <n v="6.5368202183868499E-3"/>
        <n v="1.00853561406714E-2"/>
        <n v="1.02707648684366E-2"/>
        <n v="1.34651475747137E-2"/>
        <n v="1.3558492178708E-2"/>
        <n v="1.49572300155587E-2"/>
        <n v="1.6103101029844399E-2"/>
        <n v="1.6800949922103601E-2"/>
        <n v="1.7396155748799901E-2"/>
        <n v="1.91195941731723E-2"/>
        <n v="1.9441091621935001E-2"/>
        <n v="2.11970491203099E-2"/>
        <n v="2.2406240340037499E-2"/>
        <n v="2.46197335896867E-2"/>
        <n v="2.7705307437662498E-2"/>
        <n v="2.86694010678979E-2"/>
        <n v="3.2607918792269999E-2"/>
        <n v="3.3037585887488098E-2"/>
        <n v="3.64699699318837E-2"/>
        <n v="3.7751207280943597E-2"/>
        <n v="3.9002493365941603E-2"/>
        <n v="4.2701834116277301E-2"/>
        <n v="4.49527568079644E-2"/>
        <n v="4.6786254279502101E-2"/>
        <n v="4.6996641674051501E-2"/>
        <n v="5.3679487852839103E-2"/>
        <n v="5.6220537248454397E-2"/>
        <n v="5.6508343191638701E-2"/>
        <n v="5.7054098109867703E-2"/>
        <n v="5.8695358680022403E-2"/>
        <n v="5.8775531931428697E-2"/>
        <n v="5.99894488337573E-2"/>
        <n v="6.0551331735354097E-2"/>
        <n v="6.0758033827289802E-2"/>
        <n v="6.0764021976446203E-2"/>
        <n v="6.08334092155354E-2"/>
        <n v="6.39819145860476E-2"/>
        <n v="7.0150930653847393E-2"/>
        <n v="7.2637416300968802E-2"/>
        <n v="7.3093354367529395E-2"/>
        <n v="7.5157658309986705E-2"/>
        <n v="7.8860754290490803E-2"/>
        <n v="8.02432864346386E-2"/>
        <n v="8.0916788444135801E-2"/>
        <n v="8.1337159429036798E-2"/>
        <n v="8.1836974705403395E-2"/>
        <n v="8.2224050856725503E-2"/>
        <n v="8.2905527145652302E-2"/>
        <n v="8.3655650640439103E-2"/>
        <n v="8.4943662806996098E-2"/>
        <n v="8.8128065434899303E-2"/>
        <n v="8.9762127541837697E-2"/>
        <n v="9.0424293201066902E-2"/>
        <n v="9.3937436642300406E-2"/>
        <n v="9.5612864397963196E-2"/>
        <n v="9.7119947221211006E-2"/>
        <n v="9.7501816113722106E-2"/>
        <n v="9.8238119040248595E-2"/>
        <n v="9.9949294386777604E-2"/>
        <n v="0.102329589220486"/>
        <n v="0.10301721201059701"/>
        <n v="0.10330145483516701"/>
        <n v="0.10603405547825399"/>
        <n v="0.108867678390918"/>
        <n v="0.10963492009010101"/>
        <n v="0.112772787824059"/>
        <n v="0.113179987410783"/>
        <n v="0.115376182460868"/>
        <n v="0.115685804686951"/>
        <n v="0.118633938532362"/>
        <n v="0.120801266173689"/>
        <n v="0.122369651717807"/>
        <n v="0.12319934541396201"/>
        <n v="0.124683574867216"/>
        <n v="0.126428973798727"/>
        <n v="0.12738453068002201"/>
        <n v="0.12876349656566199"/>
        <n v="0.13048951375513701"/>
        <n v="0.13125290191389599"/>
        <n v="0.13362809930987701"/>
        <n v="0.133756959734461"/>
        <n v="0.13459041511136199"/>
        <n v="0.13474153095622499"/>
        <n v="0.13583929030603301"/>
        <n v="0.13798989540070999"/>
        <n v="0.13882623974889599"/>
        <n v="0.139095016966817"/>
        <n v="0.14022509270838299"/>
        <n v="0.14323284324052901"/>
        <n v="0.14332024298432799"/>
        <n v="0.143695323393675"/>
        <n v="0.14504547863547701"/>
        <n v="0.145152409048839"/>
        <n v="0.15073367611902999"/>
        <n v="0.15248575118692301"/>
        <n v="0.160529174110037"/>
        <n v="0.160779365274066"/>
        <n v="0.16168874862975399"/>
        <n v="0.16283936353254699"/>
        <n v="0.16391718585935999"/>
        <n v="0.16643949483110901"/>
        <n v="0.16682218279321601"/>
        <n v="0.16769542292054301"/>
        <n v="0.16908698928223301"/>
        <n v="0.16909908539815099"/>
        <n v="0.170168867478703"/>
        <n v="0.178571542439487"/>
        <n v="0.18107234752293799"/>
        <n v="0.18189210121933999"/>
        <n v="0.18393773874643099"/>
        <n v="0.18487805029884399"/>
        <n v="0.18730079440014499"/>
        <n v="0.19487615966928101"/>
        <n v="0.19645427617068001"/>
        <n v="0.197110992257157"/>
        <n v="0.199164868255956"/>
        <n v="0.199736585145662"/>
        <n v="0.20070378627973101"/>
        <n v="0.20463935848869699"/>
        <n v="0.20577413832559999"/>
        <n v="0.208878659243731"/>
        <n v="0.20938157924606701"/>
        <n v="0.20948022892139301"/>
        <n v="0.209641743563723"/>
        <n v="0.21717573958884401"/>
        <n v="0.21925650404339"/>
        <n v="0.22368713275053301"/>
        <n v="0.22398956168591799"/>
        <n v="0.22424020040688999"/>
        <n v="0.224343584050434"/>
        <n v="0.22561063375979001"/>
        <n v="0.227878982547979"/>
        <n v="0.23370307162360901"/>
        <n v="0.234182302330779"/>
        <n v="0.234487850484007"/>
        <n v="0.23693551407598101"/>
        <n v="0.24208794435275999"/>
        <n v="0.24317726994625899"/>
        <n v="0.247617487639644"/>
        <n v="0.25722521896635903"/>
        <n v="0.25814887985271201"/>
        <n v="0.25887712984983802"/>
        <n v="0.26136492874272099"/>
        <n v="0.26175000519036801"/>
        <n v="0.27092554652471901"/>
        <n v="0.27735311316932498"/>
        <n v="0.27844607684781297"/>
        <n v="0.28269817931193397"/>
        <n v="0.28540788455602201"/>
        <n v="0.28550942481512598"/>
        <n v="0.28589868500152599"/>
        <n v="0.28690273961192098"/>
        <n v="0.28691598308731803"/>
        <n v="0.28984101435644299"/>
        <n v="0.29194274140443699"/>
        <n v="0.29659812373950101"/>
        <n v="0.30034357937068301"/>
        <n v="0.30309427937566802"/>
        <n v="0.30707873323263801"/>
        <n v="0.30914485437199402"/>
        <n v="0.31246771848448102"/>
        <n v="0.31407907929551598"/>
        <n v="0.31433956285971598"/>
        <n v="0.32281895860427801"/>
        <n v="0.32748591216207001"/>
        <n v="0.32987427642580702"/>
        <n v="0.33060800945098601"/>
        <n v="0.33310440709171002"/>
        <n v="0.33397496323539999"/>
        <n v="0.33427695113177402"/>
        <n v="0.33468373832992299"/>
        <n v="0.33671464219258301"/>
        <n v="0.33893802949781598"/>
        <n v="0.34023163760979203"/>
        <n v="0.34023819135136901"/>
        <n v="0.34067011693247601"/>
        <n v="0.341936872454356"/>
        <n v="0.342910219605431"/>
        <n v="0.34731417635925799"/>
        <n v="0.34841046090102701"/>
        <n v="0.34868108714983798"/>
        <n v="0.35853440501284001"/>
        <n v="0.35876198544606902"/>
        <n v="0.35955579763142298"/>
        <n v="0.36506358446634501"/>
        <n v="0.37881683227671198"/>
        <n v="0.37926253084762901"/>
        <n v="0.38188137676981598"/>
        <n v="0.38420028919412003"/>
        <n v="0.38492586294833198"/>
        <n v="0.38671243272026701"/>
        <n v="0.395930954820016"/>
        <n v="0.3962005141753"/>
        <n v="0.39623006435628499"/>
        <n v="0.39723635014148601"/>
        <n v="0.39729275821766502"/>
        <n v="0.40682312440173801"/>
        <n v="0.41539498257116902"/>
        <n v="0.41569913107635997"/>
        <n v="0.41571462814064603"/>
        <n v="0.42317601607009098"/>
        <n v="0.425880261685189"/>
        <n v="0.42756058244391998"/>
        <n v="0.43434327831481201"/>
        <n v="0.43639387284755699"/>
        <n v="0.43755891885791898"/>
        <n v="0.443984042176859"/>
        <n v="0.44848787810458401"/>
        <n v="0.456690346546405"/>
        <n v="0.45851726704117401"/>
        <n v="0.45941728052658298"/>
        <n v="0.460772411076878"/>
        <n v="0.46156748856887703"/>
        <n v="0.46375249878839397"/>
        <n v="0.4664337898866"/>
        <n v="0.46652766529589701"/>
        <n v="0.46669406072438202"/>
        <n v="0.46795197595177701"/>
        <n v="0.47429715699994102"/>
        <n v="0.48174207938531199"/>
        <n v="0.482973720459207"/>
        <n v="0.49913381606180501"/>
        <n v="0.50721969231165098"/>
        <n v="0.50769230982983504"/>
        <n v="0.51158279057086298"/>
        <n v="0.51779509819383096"/>
        <n v="0.51952162560410897"/>
        <n v="0.52608010643226999"/>
        <n v="0.53170893962386101"/>
        <n v="0.53187056295179003"/>
        <n v="0.54368989944180601"/>
        <n v="0.56382836031733596"/>
        <n v="0.56590474841871796"/>
        <n v="0.57052974925243904"/>
        <n v="0.57710797940832104"/>
        <n v="0.57776205676057402"/>
        <n v="0.58434315576283602"/>
        <n v="0.58874756919410198"/>
        <n v="0.59129751572480704"/>
        <n v="0.59267829775796499"/>
        <n v="0.59376014682167699"/>
        <n v="0.59612818471209095"/>
        <n v="0.59864589655686096"/>
        <n v="0.60260778063186604"/>
        <n v="0.60563588136893998"/>
        <n v="0.61314736075842102"/>
        <n v="0.61879259470634695"/>
        <n v="0.619092691070942"/>
        <n v="0.62022723750659203"/>
        <n v="0.62189767233554405"/>
        <n v="0.62255636935785297"/>
        <n v="0.62263571734957002"/>
        <n v="0.62660335970405101"/>
        <n v="0.63493907315811304"/>
        <n v="0.63706206646802399"/>
        <n v="0.64344172374049402"/>
        <n v="0.64365345288366305"/>
        <n v="0.65118826105354799"/>
        <n v="0.65623761441570405"/>
        <n v="0.66657193044644103"/>
        <n v="0.66973643109995895"/>
        <n v="0.68204083740275201"/>
        <n v="0.68409094523901104"/>
        <n v="0.68542824051786999"/>
        <n v="0.69180410779986901"/>
        <n v="0.69201820685360305"/>
        <n v="0.70375965074370594"/>
        <n v="0.70497147376356895"/>
        <n v="0.70800587923627001"/>
        <n v="0.70928449600238697"/>
        <n v="0.71368775085595404"/>
        <n v="0.71978004614240998"/>
        <n v="0.72870198473947401"/>
        <n v="0.72962930203979903"/>
        <n v="0.73668033539379496"/>
        <n v="0.75438153767916205"/>
        <n v="0.75466689804468301"/>
        <n v="0.75812514299014799"/>
        <n v="0.75910788646194705"/>
        <n v="0.75940615401988298"/>
        <n v="0.76728614765580705"/>
        <n v="0.77373504232026802"/>
        <n v="0.78100344688937895"/>
        <n v="0.78778657792211104"/>
        <n v="0.78960961177561495"/>
        <n v="0.79501322840447097"/>
        <n v="0.80901409875817398"/>
        <n v="0.81694704168193999"/>
        <n v="0.81956782161017105"/>
        <n v="0.83398776705629096"/>
        <n v="0.83864731980420204"/>
        <n v="0.87284383106126395"/>
        <n v="0.87364963646133398"/>
        <n v="0.87515764889777803"/>
        <n v="0.88259590433850799"/>
        <n v="0.91998130772530395"/>
        <n v="0.94342740063162001"/>
        <n v="0.95274846152345705"/>
        <n v="0.96616644018872"/>
        <n v="0.97186220074959395"/>
        <n v="0.99342404803523698"/>
        <n v="1.0379736640507999"/>
        <n v="1.0474379966598799"/>
        <n v="1.05402846706639"/>
        <n v="1.05413642493675"/>
        <n v="1.07118686104275"/>
        <n v="1.0744687339960699"/>
        <n v="1.0752715008862499"/>
        <n v="1.0844029070887899"/>
        <n v="1.0848414303251499"/>
        <n v="1.1120932099658001"/>
        <n v="1.13052280288181"/>
        <n v="1.13248728865903"/>
        <n v="1.1405566565635199"/>
        <n v="1.1568682047611101"/>
        <n v="1.18005299778946"/>
        <n v="1.1970848317041201"/>
        <n v="1.2126663771981601"/>
        <n v="1.25647792818978"/>
        <n v="1.2702995353636299"/>
        <n v="1.2823943612781701"/>
        <n v="1.3143556383394801"/>
        <n v="1.3190548089921099"/>
        <n v="1.3220354716206899"/>
        <n v="1.3337942356410499"/>
        <n v="1.33725654427665"/>
        <n v="1.34456671460113"/>
        <n v="1.36043632471134"/>
        <n v="1.3836836090805"/>
        <n v="1.3838317098934301"/>
        <n v="1.45733559917424"/>
        <n v="1.45767724078563"/>
        <n v="1.4721520477314101"/>
        <n v="1.47328945595946"/>
        <n v="1.4872019904799101"/>
        <n v="1.49936218017737"/>
        <n v="1.517758974753"/>
        <n v="1.5470968133871299"/>
        <n v="1.5690279747087501"/>
        <n v="1.61186479708078"/>
        <n v="1.6412139022038701"/>
        <n v="1.6454403324565401"/>
        <n v="1.7053020667718499"/>
        <n v="1.71718659205286"/>
        <n v="1.72194185466093"/>
        <n v="1.75209108097264"/>
        <n v="1.7692640292112201"/>
        <n v="1.80095496137689"/>
        <n v="1.8457354806850499"/>
        <n v="1.86202236359215"/>
        <n v="1.9019834135388101"/>
        <n v="1.9220897068210501"/>
        <n v="1.9419955262186701"/>
        <n v="1.9422288784520501"/>
        <n v="2.0127084882392099"/>
        <n v="2.0305099544498799"/>
        <n v="2.0403635928650901"/>
        <n v="2.0485112665012002"/>
        <n v="2.0537291233374502"/>
        <n v="2.0747417845607701"/>
        <n v="2.11046179363818"/>
        <n v="2.1112978488844498"/>
        <n v="2.25121509281874"/>
      </sharedItems>
    </cacheField>
    <cacheField name="NEW_x000a_Actual (abs)" numFmtId="0">
      <sharedItems containsSemiMixedTypes="0" containsString="0" containsNumber="1" minValue="2.0954641893155501" maxValue="7.7917168150490799" count="720">
        <n v="2.0954641893155501"/>
        <n v="2.1920957095812601"/>
        <n v="2.2118811775095102"/>
        <n v="2.2437723531479499"/>
        <n v="2.2497987317130499"/>
        <n v="2.2917667274231102"/>
        <n v="2.3753251896132199"/>
        <n v="2.3875332369577"/>
        <n v="2.4060517533618202"/>
        <n v="2.4138495045789501"/>
        <n v="2.4157013491194999"/>
        <n v="2.4170768690595099"/>
        <n v="2.42042683508866"/>
        <n v="2.4301786622363699"/>
        <n v="2.4931662345972501"/>
        <n v="2.49761942126255"/>
        <n v="2.5186794679044802"/>
        <n v="2.5243521011349102"/>
        <n v="2.5565587877218299"/>
        <n v="2.5911756382748501"/>
        <n v="2.5943474869464498"/>
        <n v="2.6077198581607899"/>
        <n v="2.6180355802078501"/>
        <n v="2.6495659056392298"/>
        <n v="2.71144214895532"/>
        <n v="2.7196273900611998"/>
        <n v="2.7241573722646502"/>
        <n v="2.7392937834734199"/>
        <n v="2.7404260300988001"/>
        <n v="2.7575051813149498"/>
        <n v="2.76000375604215"/>
        <n v="2.7601325645231198"/>
        <n v="2.7603000189501299"/>
        <n v="2.7855038992268302"/>
        <n v="2.79672664298878"/>
        <n v="2.8014104393813302"/>
        <n v="2.8168828720342001"/>
        <n v="2.84212547426859"/>
        <n v="2.8604493037471399"/>
        <n v="2.8617237042012702"/>
        <n v="2.8771361636388901"/>
        <n v="2.8858348207594702"/>
        <n v="2.9017659887434601"/>
        <n v="2.9033863096402102"/>
        <n v="2.9088560286273601"/>
        <n v="2.9162387159988699"/>
        <n v="2.9207310635955301"/>
        <n v="2.92610857891819"/>
        <n v="2.9327262755208401"/>
        <n v="2.9459566674090798"/>
        <n v="2.95821054413907"/>
        <n v="2.9631125481420799"/>
        <n v="2.9668779012418298"/>
        <n v="2.97008797415155"/>
        <n v="2.9772507446599601"/>
        <n v="2.97754442801567"/>
        <n v="2.9794385259539302"/>
        <n v="2.9902046772281499"/>
        <n v="2.9941735399336098"/>
        <n v="2.99910543209125"/>
        <n v="3.0006650220128699"/>
        <n v="3.0273678485819202"/>
        <n v="3.02833738822439"/>
        <n v="3.0346482112143698"/>
        <n v="3.03844434054677"/>
        <n v="3.0401904698954199"/>
        <n v="3.0407782271524399"/>
        <n v="3.0495975856797299"/>
        <n v="3.0550346598231402"/>
        <n v="3.0572143898760999"/>
        <n v="3.0578765589572501"/>
        <n v="3.0640235911523699"/>
        <n v="3.06445142207789"/>
        <n v="3.0817414244405401"/>
        <n v="3.08438218180184"/>
        <n v="3.086265851247"/>
        <n v="3.0982585553199802"/>
        <n v="3.0991236891547702"/>
        <n v="3.0994399841961302"/>
        <n v="3.1017548433958901"/>
        <n v="3.1029218251589499"/>
        <n v="3.1082291976826699"/>
        <n v="3.1177705770794599"/>
        <n v="3.12249896290658"/>
        <n v="3.1243946471793098"/>
        <n v="3.1433777972797299"/>
        <n v="3.1442364482757701"/>
        <n v="3.1450407022420399"/>
        <n v="3.1451311447192198"/>
        <n v="3.1459247469336602"/>
        <n v="3.1524366083112199"/>
        <n v="3.1743882488130799"/>
        <n v="3.18036571985935"/>
        <n v="3.1819488636605202"/>
        <n v="3.1957353081137501"/>
        <n v="3.1999329954078899"/>
        <n v="3.2001500980861"/>
        <n v="3.2014649489976099"/>
        <n v="3.2041484862448599"/>
        <n v="3.2070170695535598"/>
        <n v="3.2086776364674501"/>
        <n v="3.2091472448744001"/>
        <n v="3.24809230689588"/>
        <n v="3.2514624477823402"/>
        <n v="3.2550743238809701"/>
        <n v="3.2626371046437201"/>
        <n v="3.2631397763233498"/>
        <n v="3.2712851619921199"/>
        <n v="3.27197959290829"/>
        <n v="3.2737821946515901"/>
        <n v="3.2781058883409702"/>
        <n v="3.2810050379200901"/>
        <n v="3.2813762632105399"/>
        <n v="3.28601097182576"/>
        <n v="3.28620774022263"/>
        <n v="3.28842635780742"/>
        <n v="3.2908315353780702"/>
        <n v="3.2994050169126798"/>
        <n v="3.3025107222813399"/>
        <n v="3.3043696190530198"/>
        <n v="3.3104588482394299"/>
        <n v="3.3140290135522301"/>
        <n v="3.3204987300537399"/>
        <n v="3.3233592639240199"/>
        <n v="3.3277972575648298"/>
        <n v="3.3492157979238302"/>
        <n v="3.3542606177319798"/>
        <n v="3.3609097510482102"/>
        <n v="3.36284520402255"/>
        <n v="3.3631682546388899"/>
        <n v="3.3633158868306801"/>
        <n v="3.36943540369001"/>
        <n v="3.37043378512019"/>
        <n v="3.3720026629740101"/>
        <n v="3.3811528935677302"/>
        <n v="3.3826633111727098"/>
        <n v="3.38722984057096"/>
        <n v="3.3882123025247801"/>
        <n v="3.3910381317440499"/>
        <n v="3.3954151004018098"/>
        <n v="3.3981098459892198"/>
        <n v="3.4060227339387401"/>
        <n v="3.41464665680836"/>
        <n v="3.41974051415459"/>
        <n v="3.4240453891609901"/>
        <n v="3.42550298583649"/>
        <n v="3.4266437583092002"/>
        <n v="3.4277955034343401"/>
        <n v="3.4294009588263101"/>
        <n v="3.4312261934509101"/>
        <n v="3.43208151760633"/>
        <n v="3.4363102623506698"/>
        <n v="3.4373816999511599"/>
        <n v="3.4381427756700802"/>
        <n v="3.4395106193150902"/>
        <n v="3.44015065218233"/>
        <n v="3.4448905125159901"/>
        <n v="3.4457489408575901"/>
        <n v="3.4530985464315802"/>
        <n v="3.4540868845380501"/>
        <n v="3.4558221838862799"/>
        <n v="3.4668366582419798"/>
        <n v="3.4702500812077299"/>
        <n v="3.4710262794374001"/>
        <n v="3.4845082618614902"/>
        <n v="3.4846198862216702"/>
        <n v="3.4856661931898301"/>
        <n v="3.4860852554845998"/>
        <n v="3.49069408284441"/>
        <n v="3.4953015929080098"/>
        <n v="3.4962056280419298"/>
        <n v="3.4963651095202701"/>
        <n v="3.49776323513156"/>
        <n v="3.5063965414883498"/>
        <n v="3.5077020686990301"/>
        <n v="3.50866631632229"/>
        <n v="3.52265114278446"/>
        <n v="3.5337783621033498"/>
        <n v="3.5339679780235498"/>
        <n v="3.5523918701647599"/>
        <n v="3.5528295568533599"/>
        <n v="3.56115620169275"/>
        <n v="3.5742946438593299"/>
        <n v="3.5770550485590502"/>
        <n v="3.5788163329403302"/>
        <n v="3.5799202614147898"/>
        <n v="3.5809836184121302"/>
        <n v="3.5892566014111602"/>
        <n v="3.5935219053288199"/>
        <n v="3.5976136129163399"/>
        <n v="3.6128406817261198"/>
        <n v="3.61691791374921"/>
        <n v="3.6202013961991102"/>
        <n v="3.62044484694716"/>
        <n v="3.6248260252945999"/>
        <n v="3.6313398807602"/>
        <n v="3.6321277206747"/>
        <n v="3.63332679271906"/>
        <n v="3.6333495084288598"/>
        <n v="3.63500713859725"/>
        <n v="3.6360039283763901"/>
        <n v="3.6383763128371398"/>
        <n v="3.6385882846834701"/>
        <n v="3.6394784910632598"/>
        <n v="3.6396934129685801"/>
        <n v="3.6399410635002099"/>
        <n v="3.64105858544854"/>
        <n v="3.64250641077951"/>
        <n v="3.6453123831224001"/>
        <n v="3.6519487957038699"/>
        <n v="3.6529641586670198"/>
        <n v="3.6541103354103099"/>
        <n v="3.6555520458364601"/>
        <n v="3.6591334910331499"/>
        <n v="3.66887488286973"/>
        <n v="3.6721399146018499"/>
        <n v="3.6774395227365702"/>
        <n v="3.6797285915616502"/>
        <n v="3.6804238802959501"/>
        <n v="3.6812644690437799"/>
        <n v="3.6877926269302099"/>
        <n v="3.6919346458102198"/>
        <n v="3.6955773482821899"/>
        <n v="3.70222867724629"/>
        <n v="3.7071184461106199"/>
        <n v="3.7073316642751899"/>
        <n v="3.7077872122364299"/>
        <n v="3.71080036090004"/>
        <n v="3.7121335311151902"/>
        <n v="3.7121762431920402"/>
        <n v="3.7126417067989301"/>
        <n v="3.7138510854139501"/>
        <n v="3.7146418846387199"/>
        <n v="3.7193113497510599"/>
        <n v="3.7202094141125102"/>
        <n v="3.72422970766053"/>
        <n v="3.7244816381690402"/>
        <n v="3.7295903303746401"/>
        <n v="3.7319490591123801"/>
        <n v="3.7381228950182499"/>
        <n v="3.7406568283180599"/>
        <n v="3.7408365213645198"/>
        <n v="3.7411248724581601"/>
        <n v="3.7437285992604998"/>
        <n v="3.7448676976692199"/>
        <n v="3.7640593371929998"/>
        <n v="3.7659611295490101"/>
        <n v="3.7674581408058998"/>
        <n v="3.7688609641826698"/>
        <n v="3.7719749794132502"/>
        <n v="3.7861259018901299"/>
        <n v="3.7867930315581901"/>
        <n v="3.7888650451799899"/>
        <n v="3.7918993301957999"/>
        <n v="3.7928034963441899"/>
        <n v="3.7945189345651"/>
        <n v="3.7946539020713299"/>
        <n v="3.7952426095609999"/>
        <n v="3.7990511325509502"/>
        <n v="3.79985950782129"/>
        <n v="3.8032323748874299"/>
        <n v="3.8038369677822499"/>
        <n v="3.8057971356020399"/>
        <n v="3.8080084420645299"/>
        <n v="3.8099807457204999"/>
        <n v="3.8102489404062099"/>
        <n v="3.8129533733723702"/>
        <n v="3.8215518074242198"/>
        <n v="3.8236424383140801"/>
        <n v="3.8258860877637302"/>
        <n v="3.8281440373664899"/>
        <n v="3.8344007602510999"/>
        <n v="3.8412473915892602"/>
        <n v="3.8417612215391301"/>
        <n v="3.8444001864391999"/>
        <n v="3.84464430532595"/>
        <n v="3.84490690268807"/>
        <n v="3.84618162237614"/>
        <n v="3.8563248509422201"/>
        <n v="3.8572697879894"/>
        <n v="3.86385018914405"/>
        <n v="3.8764010077428401"/>
        <n v="3.8776796392415802"/>
        <n v="3.8799738987806598"/>
        <n v="3.88558132944013"/>
        <n v="3.8944148524252902"/>
        <n v="3.8995608345831201"/>
        <n v="3.9052555039678598"/>
        <n v="3.9054150941783199"/>
        <n v="3.9106496413199801"/>
        <n v="3.91300750173209"/>
        <n v="3.9148492730494699"/>
        <n v="3.9176462513702499"/>
        <n v="3.9185196837382001"/>
        <n v="3.9189815499387901"/>
        <n v="3.92013121395558"/>
        <n v="3.9217127624934101"/>
        <n v="3.9255835227235099"/>
        <n v="3.9297527680280102"/>
        <n v="3.9301184037320098"/>
        <n v="3.9461377529242498"/>
        <n v="3.9506834680685698"/>
        <n v="3.9543892577022"/>
        <n v="3.9556336764278601"/>
        <n v="3.95676096468519"/>
        <n v="3.9615392115558699"/>
        <n v="3.9635527096939702"/>
        <n v="3.9654512289207702"/>
        <n v="3.9662382270038301"/>
        <n v="3.9680462462902599"/>
        <n v="3.9733990402655399"/>
        <n v="3.97457135261469"/>
        <n v="3.9754314363752101"/>
        <n v="3.9758360692562902"/>
        <n v="3.9768653700159802"/>
        <n v="3.9769593586896201"/>
        <n v="3.98339218520006"/>
        <n v="3.9841560527787898"/>
        <n v="3.9851296233603599"/>
        <n v="3.9858848213880602"/>
        <n v="3.9873838701501598"/>
        <n v="3.9952987564682299"/>
        <n v="3.9990557377810698"/>
        <n v="4.0029158258899598"/>
        <n v="4.0047888275801196"/>
        <n v="4.0073355066340604"/>
        <n v="4.0074304837918602"/>
        <n v="4.0098406911688897"/>
        <n v="4.0186208899359901"/>
        <n v="4.02189228129724"/>
        <n v="4.0239769870165398"/>
        <n v="4.0267018141406403"/>
        <n v="4.0271056372907701"/>
        <n v="4.0279758489715096"/>
        <n v="4.0299425335130303"/>
        <n v="4.0299553895095102"/>
        <n v="4.03028725074756"/>
        <n v="4.04282971489822"/>
        <n v="4.04652441485434"/>
        <n v="4.0521665551318904"/>
        <n v="4.0535770269801201"/>
        <n v="4.0538146995741897"/>
        <n v="4.0540359193495696"/>
        <n v="4.0584598328246999"/>
        <n v="4.0592451813683796"/>
        <n v="4.0716419203957201"/>
        <n v="4.0774039830331796"/>
        <n v="4.0796579487041003"/>
        <n v="4.0819553876141503"/>
        <n v="4.0958164603902096"/>
        <n v="4.0979368107539296"/>
        <n v="4.1016380614821299"/>
        <n v="4.10526949795661"/>
        <n v="4.1055921429486197"/>
        <n v="4.1080290445653604"/>
        <n v="4.1095053703343902"/>
        <n v="4.1102061741656302"/>
        <n v="4.1178192909673701"/>
        <n v="4.1243265880400202"/>
        <n v="4.1269026212498403"/>
        <n v="4.1313680556644599"/>
        <n v="4.1336166430039301"/>
        <n v="4.1347996015623396"/>
        <n v="4.1348843365588301"/>
        <n v="4.1350126997562704"/>
        <n v="4.1359616628742799"/>
        <n v="4.1386257745768802"/>
        <n v="4.14639897004822"/>
        <n v="4.1471432893218498"/>
        <n v="4.1488415320675198"/>
        <n v="4.1502746678157099"/>
        <n v="4.1538635296407396"/>
        <n v="4.1579896634572799"/>
        <n v="4.1651166545860399"/>
        <n v="4.16584800148493"/>
        <n v="4.1687604380989702"/>
        <n v="4.1689445616990604"/>
        <n v="4.1700373274489104"/>
        <n v="4.1742564879848896"/>
        <n v="4.1768063440427703"/>
        <n v="4.1774858315155203"/>
        <n v="4.1779580228837201"/>
        <n v="4.1821587802553903"/>
        <n v="4.1834005484723296"/>
        <n v="4.1836881966799897"/>
        <n v="4.1867031855066497"/>
        <n v="4.1904172227223597"/>
        <n v="4.1916524052936497"/>
        <n v="4.1937454303574704"/>
        <n v="4.1945184566243299"/>
        <n v="4.1956327365407899"/>
        <n v="4.2000586822466301"/>
        <n v="4.2072913155476002"/>
        <n v="4.2074134118323903"/>
        <n v="4.2109249421141799"/>
        <n v="4.2111256091432701"/>
        <n v="4.2125681572560101"/>
        <n v="4.2194904838454699"/>
        <n v="4.2204841153790502"/>
        <n v="4.2211532369262903"/>
        <n v="4.22196234997016"/>
        <n v="4.2236336456324697"/>
        <n v="4.2249527551463997"/>
        <n v="4.2264795395522698"/>
        <n v="4.2286278143612002"/>
        <n v="4.2306290721376296"/>
        <n v="4.2339929910879102"/>
        <n v="4.23830419416658"/>
        <n v="4.2399262014461803"/>
        <n v="4.2452020178293202"/>
        <n v="4.2550301603245604"/>
        <n v="4.2564841310496497"/>
        <n v="4.2605110279070297"/>
        <n v="4.2691853589403301"/>
        <n v="4.2702101831156902"/>
        <n v="4.2717947705831998"/>
        <n v="4.2758545578812202"/>
        <n v="4.2786151990516696"/>
        <n v="4.2861671937515498"/>
        <n v="4.2899196571662399"/>
        <n v="4.2993929635992902"/>
        <n v="4.3038614541161904"/>
        <n v="4.3052492431759397"/>
        <n v="4.3060506994972299"/>
        <n v="4.3073261520138697"/>
        <n v="4.3091335345560804"/>
        <n v="4.3094643366695697"/>
        <n v="4.3104155625786102"/>
        <n v="4.3262939018061699"/>
        <n v="4.3285798881022197"/>
        <n v="4.3307549690784199"/>
        <n v="4.3376671015998598"/>
        <n v="4.3445038631503197"/>
        <n v="4.3481185902512003"/>
        <n v="4.3507516347259303"/>
        <n v="4.3511269128501597"/>
        <n v="4.3585581000647799"/>
        <n v="4.3605542047946999"/>
        <n v="4.3698553248565801"/>
        <n v="4.3787610174520202"/>
        <n v="4.3801646753146501"/>
        <n v="4.3961898468524998"/>
        <n v="4.4003574804362797"/>
        <n v="4.4085074952771404"/>
        <n v="4.4112587394765397"/>
        <n v="4.4115248057521903"/>
        <n v="4.4125261483982596"/>
        <n v="4.4232097410553797"/>
        <n v="4.4254563404751401"/>
        <n v="4.4268079934381799"/>
        <n v="4.4268539100371704"/>
        <n v="4.4354859006901197"/>
        <n v="4.4406962641540799"/>
        <n v="4.4409935848886404"/>
        <n v="4.4473037844058796"/>
        <n v="4.4500809856435604"/>
        <n v="4.4540698222017898"/>
        <n v="4.4667608316293199"/>
        <n v="4.4761845481588303"/>
        <n v="4.4763806609098999"/>
        <n v="4.4796085988077898"/>
        <n v="4.4855809656836803"/>
        <n v="4.4911776067225597"/>
        <n v="4.4935208809597498"/>
        <n v="4.4989187868970797"/>
        <n v="4.5048235984138403"/>
        <n v="4.5048544262859798"/>
        <n v="4.5079064327360996"/>
        <n v="4.5082986171610404"/>
        <n v="4.50862022177252"/>
        <n v="4.5086478405766099"/>
        <n v="4.50947858371606"/>
        <n v="4.5097799186806302"/>
        <n v="4.5102367267232903"/>
        <n v="4.5222735114311199"/>
        <n v="4.5269311885931103"/>
        <n v="4.5409591479011597"/>
        <n v="4.5411092350336402"/>
        <n v="4.5439560575299902"/>
        <n v="4.5461814986074103"/>
        <n v="4.5508133089724296"/>
        <n v="4.5651702133851799"/>
        <n v="4.5684104060112798"/>
        <n v="4.5704428324455302"/>
        <n v="4.5714111050786101"/>
        <n v="4.5743738086486303"/>
        <n v="4.5744112459340904"/>
        <n v="4.58419741448962"/>
        <n v="4.5848704439230596"/>
        <n v="4.59164612954467"/>
        <n v="4.5956787760799704"/>
        <n v="4.5961366232301799"/>
        <n v="4.5984783331472903"/>
        <n v="4.5989527133150396"/>
        <n v="4.6020564819435901"/>
        <n v="4.6076109677816097"/>
        <n v="4.6199997377436102"/>
        <n v="4.6202056250904304"/>
        <n v="4.6213837474431401"/>
        <n v="4.6321991275456398"/>
        <n v="4.6353547998142002"/>
        <n v="4.6387478161783804"/>
        <n v="4.6511654825948803"/>
        <n v="4.6530691782498304"/>
        <n v="4.65689427392158"/>
        <n v="4.6664408088615303"/>
        <n v="4.6707356513849598"/>
        <n v="4.6764551911281096"/>
        <n v="4.6802231702971504"/>
        <n v="4.6878844575637899"/>
        <n v="4.6884482429436796"/>
        <n v="4.69099752370097"/>
        <n v="4.6910824938709901"/>
        <n v="4.69318442716839"/>
        <n v="4.6936419995990697"/>
        <n v="4.6994002480428501"/>
        <n v="4.7013190053454696"/>
        <n v="4.7050927685891999"/>
        <n v="4.7087370575605103"/>
        <n v="4.7142699305430904"/>
        <n v="4.7152070137815096"/>
        <n v="4.7176745712739203"/>
        <n v="4.7239077699844403"/>
        <n v="4.7266562540098498"/>
        <n v="4.7385390952504096"/>
        <n v="4.7488461893552101"/>
        <n v="4.7488712046402703"/>
        <n v="4.7504080832144204"/>
        <n v="4.7581708842928601"/>
        <n v="4.7598894728543497"/>
        <n v="4.7649781613236399"/>
        <n v="4.7676746741871696"/>
        <n v="4.7716111198562103"/>
        <n v="4.7752894213639401"/>
        <n v="4.7816458308158101"/>
        <n v="4.7824061163595601"/>
        <n v="4.7844629958671003"/>
        <n v="4.7993741737177702"/>
        <n v="4.8016131714288299"/>
        <n v="4.8045362929475104"/>
        <n v="4.8175537538054902"/>
        <n v="4.8218337651696404"/>
        <n v="4.8321922193681397"/>
        <n v="4.8323795559630502"/>
        <n v="4.8357196601075501"/>
        <n v="4.8440745422562399"/>
        <n v="4.8512185717843197"/>
        <n v="4.8589077693373701"/>
        <n v="4.8637563889209803"/>
        <n v="4.8639113745166602"/>
        <n v="4.8810596534536002"/>
        <n v="4.8850176168709396"/>
        <n v="4.8864327295185399"/>
        <n v="4.8908973235784403"/>
        <n v="4.8975801521445197"/>
        <n v="4.9037173748537501"/>
        <n v="4.9079094260779002"/>
        <n v="4.9135463574929199"/>
        <n v="4.9150578089212997"/>
        <n v="4.9244637025955598"/>
        <n v="4.9290575669871597"/>
        <n v="4.9509447151529598"/>
        <n v="4.9560634190226098"/>
        <n v="4.9812958407744397"/>
        <n v="4.9852287513059403"/>
        <n v="4.9855630225200098"/>
        <n v="4.98725027304463"/>
        <n v="4.9901498922001304"/>
        <n v="5.0024353121701699"/>
        <n v="5.0133318635548703"/>
        <n v="5.0199690878379304"/>
        <n v="5.0266290466943104"/>
        <n v="5.0342773935313501"/>
        <n v="5.0354037974286197"/>
        <n v="5.0515935846985602"/>
        <n v="5.0634605709267104"/>
        <n v="5.0659493959627797"/>
        <n v="5.0752419072916197"/>
        <n v="5.0798313400681199"/>
        <n v="5.08167888033016"/>
        <n v="5.08310838229621"/>
        <n v="5.0865069392756199"/>
        <n v="5.0926242328910396"/>
        <n v="5.1005819845217504"/>
        <n v="5.1054963569037"/>
        <n v="5.1065530128535404"/>
        <n v="5.1088937990768502"/>
        <n v="5.1282754222690698"/>
        <n v="5.1287001134460803"/>
        <n v="5.1294454138585204"/>
        <n v="5.1355001831327902"/>
        <n v="5.13582063446764"/>
        <n v="5.1463878075234097"/>
        <n v="5.1554331673910703"/>
        <n v="5.1557050333849803"/>
        <n v="5.1709729662176898"/>
        <n v="5.1765600549789701"/>
        <n v="5.1772871800807501"/>
        <n v="5.1787949142855396"/>
        <n v="5.19369279930131"/>
        <n v="5.1986447803945701"/>
        <n v="5.2016197871819996"/>
        <n v="5.2180156315971002"/>
        <n v="5.2224591962864704"/>
        <n v="5.2269360145689596"/>
        <n v="5.2307958174414502"/>
        <n v="5.2410045195723702"/>
        <n v="5.2450689529437096"/>
        <n v="5.2458379839299099"/>
        <n v="5.2479611964673598"/>
        <n v="5.2579865751848702"/>
        <n v="5.2619271992010503"/>
        <n v="5.2619918392558596"/>
        <n v="5.27299809657345"/>
        <n v="5.27892792333403"/>
        <n v="5.2899335585380296"/>
        <n v="5.29974445347528"/>
        <n v="5.3113401445021902"/>
        <n v="5.3156068284432498"/>
        <n v="5.3350021993401198"/>
        <n v="5.3446806252017298"/>
        <n v="5.3474351845163604"/>
        <n v="5.3635866953461502"/>
        <n v="5.3664382515812799"/>
        <n v="5.3681697799656298"/>
        <n v="5.4298564527978401"/>
        <n v="5.4398886032648903"/>
        <n v="5.4448190672708696"/>
        <n v="5.4451798856413998"/>
        <n v="5.4739905085261897"/>
        <n v="5.4742508738017701"/>
        <n v="5.4746899126283299"/>
        <n v="5.4870218824688903"/>
        <n v="5.4955724361291498"/>
        <n v="5.4981040988291596"/>
        <n v="5.4988036756404597"/>
        <n v="5.5159281487931304"/>
        <n v="5.5184387096789003"/>
        <n v="5.5271413855842999"/>
        <n v="5.5280107039044299"/>
        <n v="5.5295756919649603"/>
        <n v="5.5706227254750997"/>
        <n v="5.5777350554504297"/>
        <n v="5.5817702532712401"/>
        <n v="5.5835314394328401"/>
        <n v="5.58878815050074"/>
        <n v="5.5930760024595401"/>
        <n v="5.6319756059134001"/>
        <n v="5.6412443892893096"/>
        <n v="5.6664129034025796"/>
        <n v="5.6816981403880797"/>
        <n v="5.6826249038853698"/>
        <n v="5.6911585012116097"/>
        <n v="5.71842863740408"/>
        <n v="5.7217204627925096"/>
        <n v="5.7358357980210997"/>
        <n v="5.75062230892906"/>
        <n v="5.7527083907548899"/>
        <n v="5.7599153149951396"/>
        <n v="5.7600239372418898"/>
        <n v="5.7697463635386699"/>
        <n v="5.7774372808096297"/>
        <n v="5.7849023149984697"/>
        <n v="5.80872211863106"/>
        <n v="5.8094382234439799"/>
        <n v="5.8237886837867396"/>
        <n v="5.8241818857172296"/>
        <n v="5.8457825451010503"/>
        <n v="5.8595551604770604"/>
        <n v="5.8689530205916798"/>
        <n v="5.8720606011108396"/>
        <n v="5.8895310556472404"/>
        <n v="5.8917621306596697"/>
        <n v="5.8933687383148099"/>
        <n v="5.9031288249321001"/>
        <n v="5.9144102566293304"/>
        <n v="5.9162764825563796"/>
        <n v="5.9251093722535702"/>
        <n v="5.9733731009916697"/>
        <n v="5.9830032094291399"/>
        <n v="5.9870447640174698"/>
        <n v="6.02730499324442"/>
        <n v="6.0400042067673603"/>
        <n v="6.0401235265592197"/>
        <n v="6.0500000868658397"/>
        <n v="6.0622026415113002"/>
        <n v="6.0624938172067804"/>
        <n v="6.0876869615641303"/>
        <n v="6.0946975383307196"/>
        <n v="6.1265454371402797"/>
        <n v="6.1402750423859498"/>
        <n v="6.1625520367646001"/>
        <n v="6.2296923297608204"/>
        <n v="6.2411067850914401"/>
        <n v="6.2618587255977598"/>
        <n v="6.2767196063829296"/>
        <n v="6.2802326909789503"/>
        <n v="6.3109919508796901"/>
        <n v="6.3207941269044401"/>
        <n v="6.3320272234330996"/>
        <n v="6.3760857712097501"/>
        <n v="6.38026498156868"/>
        <n v="6.3979629494208297"/>
        <n v="6.4110250331035301"/>
        <n v="6.4535801083615896"/>
        <n v="6.4794853068515801"/>
        <n v="6.5059199026823604"/>
        <n v="6.5271303192840699"/>
        <n v="6.5460171913755802"/>
        <n v="6.6201219569527003"/>
        <n v="6.6562676038978701"/>
        <n v="6.6658818566116"/>
        <n v="6.6662500680353398"/>
        <n v="6.7349903958565696"/>
        <n v="6.8153428434401899"/>
        <n v="6.9467998064026402"/>
        <n v="6.98286069752419"/>
        <n v="7.1865813250790298"/>
        <n v="7.2413740196111203"/>
        <n v="7.7917168150490799"/>
      </sharedItems>
    </cacheField>
    <cacheField name="_x000a_OLD_x000a_Predicted (abs)" numFmtId="0">
      <sharedItems containsSemiMixedTypes="0" containsString="0" containsNumber="1" minValue="1.4337519999999999" maxValue="6.6433960000000001" count="647">
        <n v="1.4337519999999999"/>
        <n v="1.4557500000000001"/>
        <n v="1.595502"/>
        <n v="2.1758609999999998"/>
        <n v="2.249619"/>
        <n v="2.2683819999999999"/>
        <n v="2.3046139999999999"/>
        <n v="2.4941849999999999"/>
        <n v="2.5304169999999999"/>
        <n v="2.54271"/>
        <n v="2.6015869999999999"/>
        <n v="2.6436419999999998"/>
        <n v="2.6546409999999998"/>
        <n v="2.661111"/>
        <n v="2.6636989999999998"/>
        <n v="2.681168"/>
        <n v="2.6947549999999998"/>
        <n v="2.7025190000000001"/>
        <n v="2.7076950000000002"/>
        <n v="2.7258110000000002"/>
        <n v="2.7478090000000002"/>
        <n v="2.7510439999999998"/>
        <n v="2.7639840000000002"/>
        <n v="2.7711009999999998"/>
        <n v="2.777571"/>
        <n v="2.799569"/>
        <n v="2.8002159999999998"/>
        <n v="2.8008630000000001"/>
        <n v="2.8028040000000001"/>
        <n v="2.8209200000000001"/>
        <n v="2.826743"/>
        <n v="2.8526229999999999"/>
        <n v="2.8603869999999998"/>
        <n v="2.8707389999999999"/>
        <n v="2.8746209999999999"/>
        <n v="2.9134410000000002"/>
        <n v="2.9147349999999999"/>
        <n v="2.9237929999999999"/>
        <n v="2.9296160000000002"/>
        <n v="2.9386739999999998"/>
        <n v="2.9535550000000002"/>
        <n v="2.9645540000000001"/>
        <n v="2.974259"/>
        <n v="2.9774940000000001"/>
        <n v="2.9800819999999999"/>
        <n v="2.9871989999999999"/>
        <n v="3.0046680000000001"/>
        <n v="3.0208430000000002"/>
        <n v="3.0266660000000001"/>
        <n v="3.0370180000000002"/>
        <n v="3.0467230000000001"/>
        <n v="3.0551339999999998"/>
        <n v="3.0557810000000001"/>
        <n v="3.0661330000000002"/>
        <n v="3.0829550000000001"/>
        <n v="3.0868370000000001"/>
        <n v="3.090719"/>
        <n v="3.09266"/>
        <n v="3.0946009999999999"/>
        <n v="3.108835"/>
        <n v="3.1094819999999999"/>
        <n v="3.110776"/>
        <n v="3.1120700000000001"/>
        <n v="3.1159520000000001"/>
        <n v="3.1204809999999998"/>
        <n v="3.1411850000000001"/>
        <n v="3.1476549999999999"/>
        <n v="3.1547719999999999"/>
        <n v="3.158007"/>
        <n v="3.1612420000000001"/>
        <n v="3.1638299999999999"/>
        <n v="3.1657709999999999"/>
        <n v="3.167065"/>
        <n v="3.180005"/>
        <n v="3.1825929999999998"/>
        <n v="3.1832400000000001"/>
        <n v="3.189063"/>
        <n v="3.19618"/>
        <n v="3.1968269999999999"/>
        <n v="3.2026500000000002"/>
        <n v="3.2097669999999998"/>
        <n v="3.2265890000000002"/>
        <n v="3.227236"/>
        <n v="3.2278829999999998"/>
        <n v="3.2395290000000001"/>
        <n v="3.2421169999999999"/>
        <n v="3.2459989999999999"/>
        <n v="3.2479399999999998"/>
        <n v="3.2498809999999998"/>
        <n v="3.2505280000000001"/>
        <n v="3.2511749999999999"/>
        <n v="3.2576450000000001"/>
        <n v="3.2628210000000002"/>
        <n v="3.265409"/>
        <n v="3.2699379999999998"/>
        <n v="3.2718790000000002"/>
        <n v="3.276408"/>
        <n v="3.2789959999999998"/>
        <n v="3.285466"/>
        <n v="3.294524"/>
        <n v="3.2984059999999999"/>
        <n v="3.3048760000000001"/>
        <n v="3.3094049999999999"/>
        <n v="3.3100520000000002"/>
        <n v="3.3223449999999999"/>
        <n v="3.3229920000000002"/>
        <n v="3.3268740000000001"/>
        <n v="3.3281679999999998"/>
        <n v="3.3314029999999999"/>
        <n v="3.334638"/>
        <n v="3.3462839999999998"/>
        <n v="3.3488720000000001"/>
        <n v="3.3559890000000001"/>
        <n v="3.356636"/>
        <n v="3.3579300000000001"/>
        <n v="3.3605179999999999"/>
        <n v="3.365694"/>
        <n v="3.37087"/>
        <n v="3.3715169999999999"/>
        <n v="3.3786339999999999"/>
        <n v="3.3896329999999999"/>
        <n v="3.392868"/>
        <n v="3.3941620000000001"/>
        <n v="3.3967499999999999"/>
        <n v="3.4045139999999998"/>
        <n v="3.4058079999999999"/>
        <n v="3.4096899999999999"/>
        <n v="3.4181010000000001"/>
        <n v="3.431041"/>
        <n v="3.4336289999999998"/>
        <n v="3.440099"/>
        <n v="3.4614500000000001"/>
        <n v="3.4685670000000002"/>
        <n v="3.469214"/>
        <n v="3.4705080000000001"/>
        <n v="3.471155"/>
        <n v="3.473096"/>
        <n v="3.4769779999999999"/>
        <n v="3.480213"/>
        <n v="3.4853890000000001"/>
        <n v="3.4886240000000002"/>
        <n v="3.489271"/>
        <n v="3.4925060000000001"/>
        <n v="3.4976820000000002"/>
        <n v="3.498329"/>
        <n v="3.4989759999999999"/>
        <n v="3.5028579999999998"/>
        <n v="3.5041519999999999"/>
        <n v="3.5067400000000002"/>
        <n v="3.5080339999999999"/>
        <n v="3.511269"/>
        <n v="3.5119159999999998"/>
        <n v="3.5132099999999999"/>
        <n v="3.5157980000000002"/>
        <n v="3.5190329999999999"/>
        <n v="3.522268"/>
        <n v="3.5229149999999998"/>
        <n v="3.5242089999999999"/>
        <n v="3.5261499999999999"/>
        <n v="3.5267970000000002"/>
        <n v="3.527444"/>
        <n v="3.5287380000000002"/>
        <n v="3.529385"/>
        <n v="3.5300319999999998"/>
        <n v="3.5306790000000001"/>
        <n v="3.531326"/>
        <n v="3.5319729999999998"/>
        <n v="3.5332669999999999"/>
        <n v="3.5377960000000002"/>
        <n v="3.538443"/>
        <n v="3.5390899999999998"/>
        <n v="3.5397370000000001"/>
        <n v="3.540384"/>
        <n v="3.5423249999999999"/>
        <n v="3.5436190000000001"/>
        <n v="3.5449130000000002"/>
        <n v="3.5462069999999999"/>
        <n v="3.5487950000000001"/>
        <n v="3.5507360000000001"/>
        <n v="3.5526770000000001"/>
        <n v="3.5533239999999999"/>
        <n v="3.5539710000000002"/>
        <n v="3.5552649999999999"/>
        <n v="3.5559120000000002"/>
        <n v="3.556559"/>
        <n v="3.5585"/>
        <n v="3.5591469999999998"/>
        <n v="3.560441"/>
        <n v="3.5617350000000001"/>
        <n v="3.5636760000000001"/>
        <n v="3.5649700000000002"/>
        <n v="3.5688520000000001"/>
        <n v="3.569499"/>
        <n v="3.5701459999999998"/>
        <n v="3.5707930000000001"/>
        <n v="3.5714399999999999"/>
        <n v="3.5733809999999999"/>
        <n v="3.5740280000000002"/>
        <n v="3.574675"/>
        <n v="3.5753219999999999"/>
        <n v="3.5759690000000002"/>
        <n v="3.576616"/>
        <n v="3.5792039999999998"/>
        <n v="3.5798510000000001"/>
        <n v="3.5811449999999998"/>
        <n v="3.5817920000000001"/>
        <n v="3.5837330000000001"/>
        <n v="3.5843799999999999"/>
        <n v="3.5850270000000002"/>
        <n v="3.5863209999999999"/>
        <n v="3.5882619999999998"/>
        <n v="3.5902029999999998"/>
        <n v="3.5908500000000001"/>
        <n v="3.5921439999999998"/>
        <n v="3.5940850000000002"/>
        <n v="3.594732"/>
        <n v="3.5960260000000002"/>
        <n v="3.596673"/>
        <n v="3.5973199999999999"/>
        <n v="3.5999080000000001"/>
        <n v="3.6005549999999999"/>
        <n v="3.6012019999999998"/>
        <n v="3.6018490000000001"/>
        <n v="3.6024959999999999"/>
        <n v="3.6044369999999999"/>
        <n v="3.6050840000000002"/>
        <n v="3.6083189999999998"/>
        <n v="3.609613"/>
        <n v="3.6109070000000001"/>
        <n v="3.6115539999999999"/>
        <n v="3.6154359999999999"/>
        <n v="3.6160830000000002"/>
        <n v="3.61673"/>
        <n v="3.618671"/>
        <n v="3.6193179999999998"/>
        <n v="3.6199650000000001"/>
        <n v="3.6212589999999998"/>
        <n v="3.6244939999999999"/>
        <n v="3.6251410000000002"/>
        <n v="3.625788"/>
        <n v="3.6264349999999999"/>
        <n v="3.6309640000000001"/>
        <n v="3.6316109999999999"/>
        <n v="3.636787"/>
        <n v="3.6393749999999998"/>
        <n v="3.6406689999999999"/>
        <n v="3.6413160000000002"/>
        <n v="3.6419630000000001"/>
        <n v="3.643904"/>
        <n v="3.6451980000000002"/>
        <n v="3.645845"/>
        <n v="3.6484329999999998"/>
        <n v="3.652962"/>
        <n v="3.6536089999999999"/>
        <n v="3.6542560000000002"/>
        <n v="3.6555499999999999"/>
        <n v="3.6574909999999998"/>
        <n v="3.6594319999999998"/>
        <n v="3.6607259999999999"/>
        <n v="3.6613730000000002"/>
        <n v="3.6626669999999999"/>
        <n v="3.6633140000000002"/>
        <n v="3.6652550000000002"/>
        <n v="3.667843"/>
        <n v="3.6691370000000001"/>
        <n v="3.6710780000000001"/>
        <n v="3.6717249999999999"/>
        <n v="3.6723720000000002"/>
        <n v="3.673019"/>
        <n v="3.6743130000000002"/>
        <n v="3.6756069999999998"/>
        <n v="3.6762540000000001"/>
        <n v="3.676901"/>
        <n v="3.6775479999999998"/>
        <n v="3.6827239999999999"/>
        <n v="3.6853120000000001"/>
        <n v="3.6879"/>
        <n v="3.6911350000000001"/>
        <n v="3.6924290000000002"/>
        <n v="3.6943700000000002"/>
        <n v="3.696958"/>
        <n v="3.6982520000000001"/>
        <n v="3.6988989999999999"/>
        <n v="3.7008399999999999"/>
        <n v="3.7014870000000002"/>
        <n v="3.7027809999999999"/>
        <n v="3.7047219999999998"/>
        <n v="3.7066629999999998"/>
        <n v="3.7073100000000001"/>
        <n v="3.7124860000000002"/>
        <n v="3.7144270000000001"/>
        <n v="3.7157209999999998"/>
        <n v="3.717015"/>
        <n v="3.7254260000000001"/>
        <n v="3.7344840000000001"/>
        <n v="3.7364250000000001"/>
        <n v="3.7377189999999998"/>
        <n v="3.7416010000000002"/>
        <n v="3.7448359999999998"/>
        <n v="3.74613"/>
        <n v="3.7467769999999998"/>
        <n v="3.7474240000000001"/>
        <n v="3.7506590000000002"/>
        <n v="3.753247"/>
        <n v="3.7538939999999998"/>
        <n v="3.7571289999999999"/>
        <n v="3.7577759999999998"/>
        <n v="3.7590699999999999"/>
        <n v="3.7597170000000002"/>
        <n v="3.7629519999999999"/>
        <n v="3.7674810000000001"/>
        <n v="3.7681279999999999"/>
        <n v="3.771363"/>
        <n v="3.773304"/>
        <n v="3.7739509999999998"/>
        <n v="3.7745980000000001"/>
        <n v="3.7758919999999998"/>
        <n v="3.7778330000000002"/>
        <n v="3.7791269999999999"/>
        <n v="3.7881849999999999"/>
        <n v="3.79142"/>
        <n v="3.793361"/>
        <n v="3.795302"/>
        <n v="3.7991839999999999"/>
        <n v="3.8017720000000002"/>
        <n v="3.802419"/>
        <n v="3.8030659999999998"/>
        <n v="3.8069480000000002"/>
        <n v="3.8075950000000001"/>
        <n v="3.8082419999999999"/>
        <n v="3.811477"/>
        <n v="3.8121239999999998"/>
        <n v="3.813418"/>
        <n v="3.8140649999999998"/>
        <n v="3.8147120000000001"/>
        <n v="3.8160059999999998"/>
        <n v="3.8179470000000002"/>
        <n v="3.820535"/>
        <n v="3.8257110000000001"/>
        <n v="3.8263579999999999"/>
        <n v="3.829593"/>
        <n v="3.8308870000000002"/>
        <n v="3.8380040000000002"/>
        <n v="3.8412389999999998"/>
        <n v="3.8431799999999998"/>
        <n v="3.847709"/>
        <n v="3.8490030000000002"/>
        <n v="3.8522379999999998"/>
        <n v="3.8554729999999999"/>
        <n v="3.8561200000000002"/>
        <n v="3.8567670000000001"/>
        <n v="3.8651779999999998"/>
        <n v="3.869707"/>
        <n v="3.871648"/>
        <n v="3.8735889999999999"/>
        <n v="3.880706"/>
        <n v="3.882647"/>
        <n v="3.8858820000000001"/>
        <n v="3.8949400000000001"/>
        <n v="3.8962340000000002"/>
        <n v="3.898822"/>
        <n v="3.9014099999999998"/>
        <n v="3.9046449999999999"/>
        <n v="3.9072330000000002"/>
        <n v="3.90788"/>
        <n v="3.92082"/>
        <n v="3.9253490000000002"/>
        <n v="3.929878"/>
        <n v="3.9305249999999998"/>
        <n v="3.9324659999999998"/>
        <n v="3.9337599999999999"/>
        <n v="3.9376419999999999"/>
        <n v="3.9382890000000002"/>
        <n v="3.9441120000000001"/>
        <n v="3.9505819999999998"/>
        <n v="3.9544640000000002"/>
        <n v="3.9583460000000001"/>
        <n v="3.9602870000000001"/>
        <n v="3.9648159999999999"/>
        <n v="3.9674040000000002"/>
        <n v="3.968051"/>
        <n v="3.9693450000000001"/>
        <n v="3.9725799999999998"/>
        <n v="3.9732270000000001"/>
        <n v="3.9745210000000002"/>
        <n v="3.975168"/>
        <n v="3.97905"/>
        <n v="3.988108"/>
        <n v="3.9894020000000001"/>
        <n v="3.9939309999999999"/>
        <n v="4.0062239999999996"/>
        <n v="4.008165"/>
        <n v="4.0094589999999997"/>
        <n v="4.0165759999999997"/>
        <n v="4.0204579999999996"/>
        <n v="4.0236929999999997"/>
        <n v="4.0249870000000003"/>
        <n v="4.026281"/>
        <n v="4.0275749999999997"/>
        <n v="4.0301629999999999"/>
        <n v="4.0314569999999996"/>
        <n v="4.0424559999999996"/>
        <n v="4.0463380000000004"/>
        <n v="4.0476320000000001"/>
        <n v="4.0618660000000002"/>
        <n v="4.062513"/>
        <n v="4.0631599999999999"/>
        <n v="4.066395"/>
        <n v="4.073512"/>
        <n v="4.0741589999999999"/>
        <n v="4.0754530000000004"/>
        <n v="4.0767470000000001"/>
        <n v="4.0793350000000004"/>
        <n v="4.0812759999999999"/>
        <n v="4.0896869999999996"/>
        <n v="4.0948630000000001"/>
        <n v="4.0980980000000002"/>
        <n v="4.0987450000000001"/>
        <n v="4.0993919999999999"/>
        <n v="4.1000389999999998"/>
        <n v="4.1039209999999997"/>
        <n v="4.1045680000000004"/>
        <n v="4.1071559999999998"/>
        <n v="4.1103909999999999"/>
        <n v="4.1123320000000003"/>
        <n v="4.1226839999999996"/>
        <n v="4.1285069999999999"/>
        <n v="4.1369179999999997"/>
        <n v="4.1388590000000001"/>
        <n v="4.1634450000000003"/>
        <n v="4.1640920000000001"/>
        <n v="4.1679740000000001"/>
        <n v="4.1705620000000003"/>
        <n v="4.171856"/>
        <n v="4.1847960000000004"/>
        <n v="4.1886780000000003"/>
        <n v="4.1893250000000002"/>
        <n v="4.189972"/>
        <n v="4.1906189999999999"/>
        <n v="4.1945009999999998"/>
        <n v="4.1957950000000004"/>
        <n v="4.2042060000000001"/>
        <n v="4.2164989999999998"/>
        <n v="4.2184400000000002"/>
        <n v="4.2210279999999996"/>
        <n v="4.2255570000000002"/>
        <n v="4.2281449999999996"/>
        <n v="4.230086"/>
        <n v="4.2359090000000004"/>
        <n v="4.2456139999999998"/>
        <n v="4.2462609999999996"/>
        <n v="4.2494959999999997"/>
        <n v="4.2540250000000004"/>
        <n v="4.2546720000000002"/>
        <n v="4.2598479999999999"/>
        <n v="4.2779639999999999"/>
        <n v="4.2863749999999996"/>
        <n v="4.2876690000000002"/>
        <n v="4.288316"/>
        <n v="4.2967269999999997"/>
        <n v="4.3012560000000004"/>
        <n v="4.3051380000000004"/>
        <n v="4.3096670000000001"/>
        <n v="4.3154899999999996"/>
        <n v="4.3310180000000003"/>
        <n v="4.346546"/>
        <n v="4.3640150000000002"/>
        <n v="4.3666029999999996"/>
        <n v="4.3840719999999997"/>
        <n v="4.3873069999999998"/>
        <n v="4.4028349999999996"/>
        <n v="4.404776"/>
        <n v="4.4125399999999999"/>
        <n v="4.415775"/>
        <n v="4.4306559999999999"/>
        <n v="4.4390669999999997"/>
        <n v="4.4429489999999996"/>
        <n v="4.4507130000000004"/>
        <n v="4.4636529999999999"/>
        <n v="4.4772400000000001"/>
        <n v="4.481122"/>
        <n v="4.4869450000000004"/>
        <n v="4.4908270000000003"/>
        <n v="4.5018260000000003"/>
        <n v="4.5037669999999999"/>
        <n v="4.5115309999999997"/>
        <n v="4.514119"/>
        <n v="4.5374109999999996"/>
        <n v="4.5419400000000003"/>
        <n v="4.543234"/>
        <n v="4.5522919999999996"/>
        <n v="4.5535860000000001"/>
        <n v="4.5691139999999999"/>
        <n v="4.5755840000000001"/>
        <n v="4.5917589999999997"/>
        <n v="4.6008170000000002"/>
        <n v="4.6046990000000001"/>
        <n v="4.6066399999999996"/>
        <n v="4.6131099999999998"/>
        <n v="4.6150510000000002"/>
        <n v="4.6163449999999999"/>
        <n v="4.6241089999999998"/>
        <n v="4.6396369999999996"/>
        <n v="4.6622820000000003"/>
        <n v="4.6739280000000001"/>
        <n v="4.6758689999999996"/>
        <n v="4.67781"/>
        <n v="4.6823389999999998"/>
        <n v="4.688809"/>
        <n v="4.6901029999999997"/>
        <n v="4.6926909999999999"/>
        <n v="4.6939849999999996"/>
        <n v="4.6965729999999999"/>
        <n v="4.699808"/>
        <n v="4.7004549999999998"/>
        <n v="4.7229999999999999"/>
        <n v="4.7386280000000003"/>
        <n v="4.739922"/>
        <n v="4.7476859999999999"/>
        <n v="4.7573910000000001"/>
        <n v="4.7664489999999997"/>
        <n v="4.7722720000000001"/>
        <n v="4.8104449999999996"/>
        <n v="4.8136799999999997"/>
        <n v="4.8285609999999997"/>
        <n v="4.8337370000000002"/>
        <n v="4.8427949999999997"/>
        <n v="4.8440890000000003"/>
        <n v="4.8557350000000001"/>
        <n v="4.856382"/>
        <n v="4.8809680000000002"/>
        <n v="4.8867909999999997"/>
        <n v="4.8906729999999996"/>
        <n v="4.8984370000000004"/>
        <n v="4.8990840000000002"/>
        <n v="4.914612"/>
        <n v="4.925611"/>
        <n v="4.943727"/>
        <n v="4.9566670000000004"/>
        <n v="4.9605490000000003"/>
        <n v="4.9721950000000001"/>
        <n v="4.9741359999999997"/>
        <n v="4.9780179999999996"/>
        <n v="4.983841"/>
        <n v="4.9864290000000002"/>
        <n v="4.9954869999999998"/>
        <n v="5.0058389999999999"/>
        <n v="5.0136029999999998"/>
        <n v="5.0323659999999997"/>
        <n v="5.0685979999999997"/>
        <n v="5.0763619999999996"/>
        <n v="5.0905959999999997"/>
        <n v="5.0918900000000002"/>
        <n v="5.107418"/>
        <n v="5.1138880000000002"/>
        <n v="5.1203580000000004"/>
        <n v="5.1274749999999996"/>
        <n v="5.129416"/>
        <n v="5.1300629999999998"/>
        <n v="5.1675890000000004"/>
        <n v="5.1805289999999999"/>
        <n v="5.1869990000000001"/>
        <n v="5.2154670000000003"/>
        <n v="5.2199960000000001"/>
        <n v="5.2685209999999998"/>
        <n v="5.3170460000000004"/>
        <n v="5.3209280000000003"/>
        <n v="5.3364560000000001"/>
        <n v="5.3377499999999998"/>
        <n v="5.3468080000000002"/>
        <n v="5.3474550000000001"/>
        <n v="5.3532780000000004"/>
        <n v="5.3649240000000002"/>
        <n v="5.3882159999999999"/>
        <n v="5.4069789999999998"/>
        <n v="5.4328589999999997"/>
        <n v="5.4341530000000002"/>
        <n v="5.4348000000000001"/>
        <n v="5.4393289999999999"/>
        <n v="5.4399759999999997"/>
        <n v="5.456798"/>
        <n v="5.4632680000000002"/>
        <n v="5.4665030000000003"/>
        <n v="5.4872069999999997"/>
        <n v="5.4904419999999998"/>
        <n v="5.5176160000000003"/>
        <n v="5.5357320000000003"/>
        <n v="5.5415549999999998"/>
        <n v="5.5434960000000002"/>
        <n v="5.5532009999999996"/>
        <n v="5.5538480000000003"/>
        <n v="5.5706699999999998"/>
        <n v="5.5829630000000003"/>
        <n v="5.6502509999999999"/>
        <n v="5.6547799999999997"/>
        <n v="5.6554270000000004"/>
        <n v="5.6606030000000001"/>
        <n v="5.6690139999999998"/>
        <n v="5.6728959999999997"/>
        <n v="5.6819540000000002"/>
        <n v="5.7071870000000002"/>
        <n v="5.7427720000000004"/>
        <n v="5.8068249999999999"/>
        <n v="5.8081189999999996"/>
        <n v="5.8657019999999997"/>
        <n v="5.9135799999999996"/>
        <n v="5.9323430000000004"/>
        <n v="5.9439890000000002"/>
        <n v="5.9685750000000004"/>
        <n v="5.9815149999999999"/>
        <n v="5.9828089999999996"/>
        <n v="6.0209820000000001"/>
        <n v="6.0300399999999996"/>
        <n v="6.064978"/>
        <n v="6.0708010000000003"/>
        <n v="6.0766239999999998"/>
        <n v="6.0805059999999997"/>
        <n v="6.083094"/>
        <n v="6.0889170000000004"/>
        <n v="6.1316189999999997"/>
        <n v="6.1464999999999996"/>
        <n v="6.1549110000000002"/>
        <n v="6.1697920000000002"/>
        <n v="6.1833790000000004"/>
        <n v="6.1904960000000004"/>
        <n v="6.2002009999999999"/>
        <n v="6.2293159999999999"/>
        <n v="6.257784"/>
        <n v="6.2668419999999996"/>
        <n v="6.2894870000000003"/>
        <n v="6.3192490000000001"/>
        <n v="6.319896"/>
        <n v="6.3321889999999996"/>
        <n v="6.3470700000000004"/>
        <n v="6.3541869999999996"/>
        <n v="6.3580690000000004"/>
        <n v="6.3697150000000002"/>
        <n v="6.3748909999999999"/>
        <n v="6.3949480000000003"/>
        <n v="6.414358"/>
        <n v="6.4408849999999997"/>
        <n v="6.4460610000000003"/>
        <n v="6.494586"/>
        <n v="6.4965270000000004"/>
        <n v="6.5508749999999996"/>
        <n v="6.59293"/>
        <n v="6.6433960000000001"/>
      </sharedItems>
    </cacheField>
    <cacheField name="DELTA (ABS)" numFmtId="0">
      <sharedItems containsSemiMixedTypes="0" containsString="0" containsNumber="1" minValue="9.0776998444130896E-4" maxValue="3.0990258150490799" count="720">
        <n v="9.0776998444130896E-4"/>
        <n v="2.06972056259991E-3"/>
        <n v="2.72208321442058E-3"/>
        <n v="2.8312553400398101E-3"/>
        <n v="3.67134175802031E-3"/>
        <n v="5.4371831327904002E-3"/>
        <n v="5.6823809469803699E-3"/>
        <n v="6.02549157113996E-3"/>
        <n v="6.4697267232904903E-3"/>
        <n v="6.7671716819401899E-3"/>
        <n v="1.008535614067E-2"/>
        <n v="1.02707648684399E-2"/>
        <n v="1.04511750678995E-2"/>
        <n v="1.211791223627E-2"/>
        <n v="1.3465147574709801E-2"/>
        <n v="1.355849217871E-2"/>
        <n v="1.3811444680019901E-2"/>
        <n v="1.6006312170169699E-2"/>
        <n v="1.8475552217659601E-2"/>
        <n v="2.1197049120309501E-2"/>
        <n v="2.24486909789503E-2"/>
        <n v="2.4629304653849701E-2"/>
        <n v="2.86691910787003E-2"/>
        <n v="2.87531298352399E-2"/>
        <n v="3.0223882468890299E-2"/>
        <n v="3.0267827580119401E-2"/>
        <n v="3.2607918792269902E-2"/>
        <n v="3.2868013781509803E-2"/>
        <n v="3.2909603264890598E-2"/>
        <n v="3.3037585887489798E-2"/>
        <n v="3.42693357248103E-2"/>
        <n v="3.4482553889380298E-2"/>
        <n v="3.65532540098501E-2"/>
        <n v="3.7751207280940099E-2"/>
        <n v="3.8478061482130101E-2"/>
        <n v="3.9002493365940097E-2"/>
        <n v="4.0803704201270101E-2"/>
        <n v="4.4062080650430602E-2"/>
        <n v="4.4952756807959703E-2"/>
        <n v="4.5958069256290202E-2"/>
        <n v="4.6274662874280302E-2"/>
        <n v="4.6786254279500103E-2"/>
        <n v="4.7398153052840002E-2"/>
        <n v="5.0982720674700201E-2"/>
        <n v="5.1178365532360097E-2"/>
        <n v="5.1372332940330202E-2"/>
        <n v="5.2399681726119897E-2"/>
        <n v="5.2839179240529603E-2"/>
        <n v="5.3565362103349799E-2"/>
        <n v="5.4570722281340099E-2"/>
        <n v="5.5318967781610197E-2"/>
        <n v="5.6114170297150601E-2"/>
        <n v="5.6508343191639998E-2"/>
        <n v="5.67810373664899E-2"/>
        <n v="5.7005261414790002E-2"/>
        <n v="5.7054098109869902E-2"/>
        <n v="5.7209055664460003E-2"/>
        <n v="5.83194963441898E-2"/>
        <n v="5.8695358680020099E-2"/>
        <n v="5.87755319314298E-2"/>
        <n v="6.0764021976450297E-2"/>
        <n v="6.1149931300969997E-2"/>
        <n v="6.1356522736570003E-2"/>
        <n v="6.2597662974010204E-2"/>
        <n v="6.3471940406210098E-2"/>
        <n v="6.3981914586050098E-2"/>
        <n v="6.4148013552230307E-2"/>
        <n v="6.5557785120189796E-2"/>
        <n v="6.6293462792509097E-2"/>
        <n v="6.9795063500210003E-2"/>
        <n v="7.0711189613219996E-2"/>
        <n v="7.3040965683680403E-2"/>
        <n v="7.3093354367530103E-2"/>
        <n v="7.5491389509509996E-2"/>
        <n v="7.7273795703869802E-2"/>
        <n v="7.7602194651590101E-2"/>
        <n v="7.9398584698560107E-2"/>
        <n v="7.9692243175939495E-2"/>
        <n v="8.0916788444129806E-2"/>
        <n v="8.1337159429040198E-2"/>
        <n v="8.1836974705399995E-2"/>
        <n v="8.2905527145649999E-2"/>
        <n v="8.3449903402579295E-2"/>
        <n v="8.49436628070004E-2"/>
        <n v="8.5675119239799993E-2"/>
        <n v="8.8128065434899899E-2"/>
        <n v="8.8806669804200003E-2"/>
        <n v="8.9472599260499705E-2"/>
        <n v="8.9762127541840098E-2"/>
        <n v="9.0424293201069705E-2"/>
        <n v="9.0748899226830396E-2"/>
        <n v="9.0949806810169995E-2"/>
        <n v="9.1024336669569605E-2"/>
        <n v="9.1061332590920405E-2"/>
        <n v="9.1965834583120007E-2"/>
        <n v="9.5612864397959907E-2"/>
        <n v="9.7119947221210104E-2"/>
        <n v="9.7501816113719997E-2"/>
        <n v="9.8238119040249899E-2"/>
        <n v="9.9339588040019897E-2"/>
        <n v="0.10060341296858"/>
        <n v="0.10232958922049"/>
        <n v="0.1030172120106"/>
        <n v="0.10324374243517"/>
        <n v="0.10604215401078"/>
        <n v="0.10607418914404999"/>
        <n v="0.10814226235067"/>
        <n v="0.10823419345091"/>
        <n v="0.10836306727087"/>
        <n v="0.10839504117369"/>
        <n v="0.10979279742862"/>
        <n v="0.11024536090004"/>
        <n v="0.11082653537807"/>
        <n v="0.11199325463889"/>
        <n v="0.11334013094049"/>
        <n v="0.11352951957237099"/>
        <n v="0.116601683786739"/>
        <n v="0.11757162804193"/>
        <n v="0.11758421223642999"/>
        <n v="0.1191512369577"/>
        <n v="0.12236965171781"/>
        <n v="0.12257037226464999"/>
        <n v="0.12319934541396001"/>
        <n v="0.12339344827577001"/>
        <n v="0.12651132944012999"/>
        <n v="0.12876349656566"/>
        <n v="0.13048951375514001"/>
        <n v="0.13125290191389999"/>
        <n v="0.1321197583092"/>
        <n v="0.13233763816904001"/>
        <n v="0.13276430004883999"/>
        <n v="0.1334213898761"/>
        <n v="0.13362809930988001"/>
        <n v="0.13375695973446"/>
        <n v="0.13459041511136"/>
        <n v="0.13474153095621999"/>
        <n v="0.13583929030603001"/>
        <n v="0.13596770766053001"/>
        <n v="0.13633323503364"/>
        <n v="0.13882623974889999"/>
        <n v="0.13909501696682"/>
        <n v="0.14018490268806999"/>
        <n v="0.14022509270838099"/>
        <n v="0.14206039585656999"/>
        <n v="0.14441008284441001"/>
        <n v="0.14460522177252"/>
        <n v="0.14464301416351"/>
        <n v="0.14504547863548001"/>
        <n v="0.14544213255095001"/>
        <n v="0.15073367611902999"/>
        <n v="0.15248575118692001"/>
        <n v="0.15539662774643001"/>
        <n v="0.15654675512560001"/>
        <n v="0.15699697004822"/>
        <n v="0.15773913104965001"/>
        <n v="0.15845276933736999"/>
        <n v="0.160529174110041"/>
        <n v="0.160779365274069"/>
        <n v="0.16168874862975"/>
        <n v="0.16248853209552"/>
        <n v="0.16283936353254999"/>
        <n v="0.1637402554846"/>
        <n v="0.16391718585935999"/>
        <n v="0.16546973654079"/>
        <n v="0.166822182793219"/>
        <n v="0.16769542292053999"/>
        <n v="0.16814618643920001"/>
        <n v="0.16909908539815"/>
        <n v="0.16916231283714001"/>
        <n v="0.16929611635955999"/>
        <n v="0.17003383162932001"/>
        <n v="0.170484839522939"/>
        <n v="0.17168952272351001"/>
        <n v="0.17194086140275"/>
        <n v="0.17458262693021001"/>
        <n v="0.17582917824982999"/>
        <n v="0.17671696418266999"/>
        <n v="0.17785407960428001"/>
        <n v="0.18189210121933999"/>
        <n v="0.18206951251598999"/>
        <n v="0.18423361841213001"/>
        <n v="0.18529724895179001"/>
        <n v="0.18794819137558"/>
        <n v="0.18894689047973001"/>
        <n v="0.18898261931509"/>
        <n v="0.18952064738530999"/>
        <n v="0.18975719667999"/>
        <n v="0.19203697301987999"/>
        <n v="0.19478946166928099"/>
        <n v="0.19503488029595001"/>
        <n v="0.19643539168877999"/>
        <n v="0.19658378347342001"/>
        <n v="0.19659533655882999"/>
        <n v="0.19711099225716"/>
        <n v="0.19768838708365999"/>
        <n v="0.19773837001597999"/>
        <n v="0.19916486825595001"/>
        <n v="0.19973658514566001"/>
        <n v="0.20186819905167"/>
        <n v="0.20410439858884"/>
        <n v="0.20463935848869899"/>
        <n v="0.20507400891208999"/>
        <n v="0.20709138928930901"/>
        <n v="0.20909453455608101"/>
        <n v="0.20956739596278001"/>
        <n v="0.21116811546195"/>
        <n v="0.21256569035979"/>
        <n v="0.21327137033439"/>
        <n v="0.21544990207133"/>
        <n v="0.21700162336036"/>
        <n v="0.21871881863161999"/>
        <n v="0.22025973607598001"/>
        <n v="0.22179205756050999"/>
        <n v="0.22398956168591999"/>
        <n v="0.22586254643157999"/>
        <n v="0.22632522153913001"/>
        <n v="0.22650042801567"/>
        <n v="0.227878982547979"/>
        <n v="0.22811219424780901"/>
        <n v="0.22927137762385999"/>
        <n v="0.23004034975106"/>
        <n v="0.23036769975627"/>
        <n v="0.230601100991669"/>
        <n v="0.23274883282469999"/>
        <n v="0.23329852655922001"/>
        <n v="0.23362149795661"/>
        <n v="0.23370307162361001"/>
        <n v="0.23398142607790001"/>
        <n v="0.23418230233078"/>
        <n v="0.24208794435275899"/>
        <n v="0.24317726994625999"/>
        <n v="0.24354471919036999"/>
        <n v="0.24428382138806001"/>
        <n v="0.2477262577022"/>
        <n v="0.24794188033016001"/>
        <n v="0.24832661083901"/>
        <n v="0.24844447404607001"/>
        <n v="0.25011914294861998"/>
        <n v="0.25357672547509902"/>
        <n v="0.25404512954900998"/>
        <n v="0.25424814080590002"/>
        <n v="0.25428177996563001"/>
        <n v="0.25479367642785999"/>
        <n v="0.25580540373200999"/>
        <n v="0.25729126606126002"/>
        <n v="0.25746421395558"/>
        <n v="0.25887712984984002"/>
        <n v="0.25921237451666002"/>
        <n v="0.25934903155819"/>
        <n v="0.25959178509143999"/>
        <n v="0.26121959115236998"/>
        <n v="0.26338384858191999"/>
        <n v="0.26562969957419003"/>
        <n v="0.26593495695270097"/>
        <n v="0.26627310507861002"/>
        <n v="0.26654931632229001"/>
        <n v="0.2670492234331"/>
        <n v="0.26895919416657998"/>
        <n v="0.27092554652472001"/>
        <n v="0.27217625306634002"/>
        <n v="0.27365577655602003"/>
        <n v="0.27510322700383"/>
        <n v="0.27735311316931999"/>
        <n v="0.27751109657345002"/>
        <n v="0.27806035868961998"/>
        <n v="0.27883718451636103"/>
        <n v="0.28288645185792"/>
        <n v="0.28550942481512998"/>
        <n v="0.28589868500153098"/>
        <n v="0.286876859611921"/>
        <n v="0.28691598308732003"/>
        <n v="0.28812761773197998"/>
        <n v="0.28969481075393"/>
        <n v="0.28984101435644"/>
        <n v="0.29063534054676998"/>
        <n v="0.29067605914241001"/>
        <n v="0.29091677457687998"/>
        <n v="0.29102218859311002"/>
        <n v="0.29326527304463001"/>
        <n v="0.29859522367664998"/>
        <n v="0.30044045279783999"/>
        <n v="0.30182494870409998"/>
        <n v="0.30542684077443999"/>
        <n v="0.30706579323263999"/>
        <n v="0.30775302252001002"/>
        <n v="0.30778717416563001"/>
        <n v="0.30811870259556001"/>
        <n v="0.31209324804284999"/>
        <n v="0.31433956285971998"/>
        <n v="0.31475165716623998"/>
        <n v="0.31861168373819998"/>
        <n v="0.32748591216207001"/>
        <n v="0.32785201456895902"/>
        <n v="0.32982227304946998"/>
        <n v="0.33030526415408001"/>
        <n v="0.33065384339588999"/>
        <n v="0.33310440709171002"/>
        <n v="0.33373988571723001"/>
        <n v="0.33397496323539999"/>
        <n v="0.33405959290801002"/>
        <n v="0.33663431928407"/>
        <n v="0.33671464219258002"/>
        <n v="0.33796017142883"/>
        <n v="0.33863033314729002"/>
        <n v="0.33891085549781003"/>
        <n v="0.33946343301283999"/>
        <n v="0.34023819135137001"/>
        <n v="0.34071176516964002"/>
        <n v="0.34166916199212"/>
        <n v="0.34193687245436"/>
        <n v="0.34239200459211"/>
        <n v="0.34291021960543"/>
        <n v="0.34432632744891001"/>
        <n v="0.34868108714983997"/>
        <n v="0.35046604855905"/>
        <n v="0.35163414790115999"/>
        <n v="0.35426496468518998"/>
        <n v="0.35458388564139998"/>
        <n v="0.35469543809896997"/>
        <n v="0.35497266781571002"/>
        <n v="0.35530611537904999"/>
        <n v="0.35558614278445999"/>
        <n v="0.35564219375154998"/>
        <n v="0.35575525977736999"/>
        <n v="0.35599731117271"/>
        <n v="0.35941990268236101"/>
        <n v="0.36169032485657998"/>
        <n v="0.36399032976082102"/>
        <n v="0.36434704669431001"/>
        <n v="0.36583402288372002"/>
        <n v="0.366219454116191"/>
        <n v="0.36795618520006002"/>
        <n v="0.36871817371776999"/>
        <n v="0.37089861687094"/>
        <n v="0.37119008625078997"/>
        <n v="0.37934973678945999"/>
        <n v="0.37954284897151003"/>
        <n v="0.38077262124984002"/>
        <n v="0.38120609417832002"/>
        <n v="0.38188137676981998"/>
        <n v="0.38223640369001"/>
        <n v="0.38326711165902999"/>
        <n v="0.38403141432026999"/>
        <n v="0.38436065138496001"/>
        <n v="0.38665420272027001"/>
        <n v="0.38725660672256002"/>
        <n v="0.38817058614147998"/>
        <n v="0.38964742226907001"/>
        <n v="0.39036944392306"/>
        <n v="0.39575415214451898"/>
        <n v="0.39589596207991001"/>
        <n v="0.39593095482001101"/>
        <n v="0.39595014839825998"/>
        <n v="0.39596661716103998"/>
        <n v="0.39669490532882001"/>
        <n v="0.39685115176057001"/>
        <n v="0.40295576802800998"/>
        <n v="0.40315771331503902"/>
        <n v="0.40621409882915899"/>
        <n v="0.40688603709342003"/>
        <n v="0.40826255513189003"/>
        <n v="0.40879260111083898"/>
        <n v="0.41482902817424"/>
        <n v="0.41555083867636"/>
        <n v="0.41566028014064998"/>
        <n v="0.42102278440587998"/>
        <n v="0.42317601607008998"/>
        <n v="0.42363269310412"/>
        <n v="0.42588026168519"/>
        <n v="0.43234855685335999"/>
        <n v="0.43274154847232899"/>
        <n v="0.432906961564131"/>
        <n v="0.43296696778225002"/>
        <n v="0.43398731554760001"/>
        <n v="0.43428119646736002"/>
        <n v="0.43449516032455998"/>
        <n v="0.43451869116889003"/>
        <n v="0.43581496907841999"/>
        <n v="0.43619977284756001"/>
        <n v="0.43669443547688003"/>
        <n v="0.43682888993599001"/>
        <n v="0.44078463729077"/>
        <n v="0.442076709678901"/>
        <n v="0.44394134017685999"/>
        <n v="0.44448268915477002"/>
        <n v="0.44626155788122002"/>
        <n v="0.44656485104468002"/>
        <n v="0.44843353010457998"/>
        <n v="0.45295305911237999"/>
        <n v="0.45616738761414999"/>
        <n v="0.45669034654640001"/>
        <n v="0.45694139408660001"/>
        <n v="0.45890313065966998"/>
        <n v="0.45930585528078"/>
        <n v="0.45979653351303101"/>
        <n v="0.46156748856888002"/>
        <n v="0.46369669188625001"/>
        <n v="0.46375249878839098"/>
        <n v="0.463819089962829"/>
        <n v="0.46420546039020999"/>
        <n v="0.46589165218232997"/>
        <n v="0.46659748043628002"/>
        <n v="0.46669406072438002"/>
        <n v="0.46889000148492999"/>
        <n v="0.47123300534547002"/>
        <n v="0.47238375646823"/>
        <n v="0.47458801580387"/>
        <n v="0.47846078689707999"/>
        <n v="0.47847679792383002"/>
        <n v="0.47931843035747002"/>
        <n v="0.47981188286972998"/>
        <n v="0.47995188622167001"/>
        <n v="0.48553098452174998"/>
        <n v="0.48687649387099002"/>
        <n v="0.48913415866701998"/>
        <n v="0.48940953206752003"/>
        <n v="0.48971983925585999"/>
        <n v="0.49492741183238997"/>
        <n v="0.49637151305354998"/>
        <n v="0.49667630685158098"/>
        <n v="0.49678705100239001"/>
        <n v="0.49743950893673999"/>
        <n v="0.49843263740408"/>
        <n v="0.49850129096737"/>
        <n v="0.49897454510104999"/>
        <n v="0.49982745851165"/>
        <n v="0.50077513633948001"/>
        <n v="0.50081577607996997"/>
        <n v="0.50267780231732995"/>
        <n v="0.51158279057085998"/>
        <n v="0.51344150852618897"/>
        <n v="0.51563762509042999"/>
        <n v="0.51667366345728005"/>
        <n v="0.51779509819382996"/>
        <n v="0.51803466090990002"/>
        <n v="0.51803527392158"/>
        <n v="0.51849594211418004"/>
        <n v="0.52316256790875004"/>
        <n v="0.52608010643226999"/>
        <n v="0.52648060156234"/>
        <n v="0.53516971515295997"/>
        <n v="0.53616983151552"/>
        <n v="0.54292317484105002"/>
        <n v="0.54514380742421997"/>
        <n v="0.54635033037463998"/>
        <n v="0.55051129294751"/>
        <n v="0.55238811189778103"/>
        <n v="0.55425959880778997"/>
        <n v="0.55494210464371996"/>
        <n v="0.55541472951853998"/>
        <n v="0.55919791868062996"/>
        <n v="0.56113225662932997"/>
        <n v="0.56345657555946005"/>
        <n v="0.56355445662433001"/>
        <n v="0.56520045756379"/>
        <n v="0.56590474841872096"/>
        <n v="0.56708974105538001"/>
        <n v="0.56992843943283999"/>
        <n v="0.57052974925244004"/>
        <n v="0.57214598156868102"/>
        <n v="0.57259704583645998"/>
        <n v="0.57623481617838002"/>
        <n v="0.57710797940832104"/>
        <n v="0.57923530532595002"/>
        <n v="0.57929104456535996"/>
        <n v="0.57929432277185"/>
        <n v="0.58387798701654003"/>
        <n v="0.58400359841383997"/>
        <n v="0.58592458544853998"/>
        <n v="0.58631488429286005"/>
        <n v="0.58732899324442001"/>
        <n v="0.58940875380549096"/>
        <n v="0.59267829775795999"/>
        <n v="0.59711267418716896"/>
        <n v="0.59861225255686001"/>
        <n v="0.60051424395785002"/>
        <n v="0.60241297137264005"/>
        <n v="0.60260778063186005"/>
        <n v="0.60295515725601001"/>
        <n v="0.60322832357844003"/>
        <n v="0.60563588136893998"/>
        <n v="0.60580688463872001"/>
        <n v="0.60810414875300001"/>
        <n v="0.60862522272235997"/>
        <n v="0.61205724629026004"/>
        <n v="0.61314736075842002"/>
        <n v="0.61347952964074004"/>
        <n v="0.61380560914326998"/>
        <n v="0.61547779802109903"/>
        <n v="0.61637917750950999"/>
        <n v="0.61737828129724004"/>
        <n v="0.61879259470634995"/>
        <n v="0.61887751415459002"/>
        <n v="0.61909269107094"/>
        <n v="0.62022723750659003"/>
        <n v="0.62246594454957005"/>
        <n v="0.62576997798712997"/>
        <n v="0.62690380640263998"/>
        <n v="0.62864089501825005"/>
        <n v="0.62914743637520998"/>
        <n v="0.63255628400112995"/>
        <n v="0.632732185506649"/>
        <n v="0.63492406275811097"/>
        <n v="0.63727977567007998"/>
        <n v="0.64487148798489002"/>
        <n v="0.65025890388537"/>
        <n v="0.65102446006639003"/>
        <n v="0.65116934997015996"/>
        <n v="0.65471478025538998"/>
        <n v="0.65587162520173004"/>
        <n v="0.65623761441570105"/>
        <n v="0.66109428468346998"/>
        <n v="0.66119897941325001"/>
        <n v="0.66183824485359999"/>
        <n v="0.66657193044644003"/>
        <n v="0.66774566010754999"/>
        <n v="0.66808568224663001"/>
        <n v="0.66960410040180995"/>
        <n v="0.67266178878562999"/>
        <n v="0.67753423692629"/>
        <n v="0.68670201782932005"/>
        <n v="0.68816448384547002"/>
        <n v="0.69049901961112103"/>
        <n v="0.69180410779987001"/>
        <n v="0.69359239158926"/>
        <n v="0.69914620402255001"/>
        <n v="0.70184044104275001"/>
        <n v="0.70481673813850998"/>
        <n v="0.70484869949722995"/>
        <n v="0.70499203338497995"/>
        <n v="0.70521554225623995"/>
        <n v="0.70863137488743"/>
        <n v="0.70905119112810899"/>
        <n v="0.70918996359928999"/>
        <n v="0.71306683636111001"/>
        <n v="0.71322834006811997"/>
        <n v="0.71360935282069005"/>
        <n v="0.71496401125653997"/>
        <n v="0.71534844206452997"/>
        <n v="0.71685987380176996"/>
        <n v="0.71701120144618102"/>
        <n v="0.71869319920105001"/>
        <n v="0.72046897415154998"/>
        <n v="0.72189285661159996"/>
        <n v="0.72267534047514004"/>
        <n v="0.72603525327123997"/>
        <n v="0.73041450173208999"/>
        <n v="0.73838212796580005"/>
        <n v="0.74066933541030999"/>
        <n v="0.7430345902512"/>
        <n v="0.74393712954466995"/>
        <n v="0.74398769625285999"/>
        <n v="0.74482172447915995"/>
        <n v="0.74558039619910998"/>
        <n v="0.75018883081581"/>
        <n v="0.75259816739107099"/>
        <n v="0.75568422892077003"/>
        <n v="0.76076999586710103"/>
        <n v="0.76241315201387005"/>
        <n v="0.76312669196496097"/>
        <n v="0.76499359156165003"/>
        <n v="0.76505477058320004"/>
        <n v="0.76622710159985996"/>
        <n v="0.77097051760632995"/>
        <n v="0.77252818311569005"/>
        <n v="0.7787016099388"/>
        <n v="0.78036675292424995"/>
        <n v="0.78103056257861003"/>
        <n v="0.78264434404276995"/>
        <n v="0.78778657792211004"/>
        <n v="0.78921328932184998"/>
        <n v="0.78951260638292997"/>
        <n v="0.78960961177560995"/>
        <n v="0.79297710836158997"/>
        <n v="0.79412335701122005"/>
        <n v="0.79498993640447002"/>
        <n v="0.79874649103314999"/>
        <n v="0.79941110006478"/>
        <n v="0.80330071489821997"/>
        <n v="0.80528773774360995"/>
        <n v="0.80613667531465005"/>
        <n v="0.80813699343818002"/>
        <n v="0.80901409875816999"/>
        <n v="0.80960185094222004"/>
        <n v="0.80962079930131003"/>
        <n v="0.81306869752418998"/>
        <n v="0.81321011344608096"/>
        <n v="0.81604673171304998"/>
        <n v="0.81716981868505001"/>
        <n v="0.81774621338518005"/>
        <n v="0.82093907213762995"/>
        <n v="0.82305035699606999"/>
        <n v="0.82431283244553"/>
        <n v="0.83155504705629002"/>
        <n v="0.84035377120974997"/>
        <n v="0.84152120479470005"/>
        <n v="0.84356145586093001"/>
        <n v="0.84547635418977996"/>
        <n v="0.84839937337237004"/>
        <n v="0.85195382844324996"/>
        <n v="0.85717703310353"/>
        <n v="0.85787073778107004"/>
        <n v="0.86147831499513905"/>
        <n v="0.86291330897243002"/>
        <n v="0.86551084685250002"/>
        <n v="0.86764302790702996"/>
        <n v="0.87091859398871996"/>
        <n v="0.87110054815882998"/>
        <n v="0.87364963646132998"/>
        <n v="0.87548567724629001"/>
        <n v="0.87591319628647002"/>
        <n v="0.87648698104987"/>
        <n v="0.87721448259488"/>
        <n v="0.89402730252478002"/>
        <n v="0.89693472559776"/>
        <n v="0.89880482220179003"/>
        <n v="0.9083486315971"/>
        <n v="0.90966926052346098"/>
        <n v="0.91191753111519003"/>
        <n v="0.913850242943679"/>
        <n v="0.91751420169275"/>
        <n v="0.92188805497896997"/>
        <n v="0.92401556061866996"/>
        <n v="0.92414739075489005"/>
        <n v="0.93145994942082899"/>
        <n v="0.93435690474958999"/>
        <n v="0.93647496990120005"/>
        <n v="0.94258208686584"/>
        <n v="0.95228309436076997"/>
        <n v="0.95472257127392102"/>
        <n v="0.95776691428553995"/>
        <n v="0.96542654993878996"/>
        <n v="0.96569741979214996"/>
        <n v="0.97057505752998996"/>
        <n v="0.97098281436120004"/>
        <n v="0.97148414183920995"/>
        <n v="0.97268604238594902"/>
        <n v="0.97442470390443003"/>
        <n v="0.97767192333402997"/>
        <n v="0.98201281819816"/>
        <n v="0.98423252573140996"/>
        <n v="0.98526958371605999"/>
        <n v="0.99144589886509005"/>
        <n v="0.99350449860740997"/>
        <n v="1.0123484262859801"/>
        <n v="1.0153897998142001"/>
        <n v="1.0180034210818101"/>
        <n v="1.0240474271683899"/>
        <n v="1.03741623459725"/>
        <n v="1.0398888006598801"/>
        <n v="1.0460978631503199"/>
        <n v="1.0480061893552099"/>
        <n v="1.0580474144896199"/>
        <n v="1.06178636172515"/>
        <n v="1.0642604819435899"/>
        <n v="1.0717075395522699"/>
        <n v="1.07899657873745"/>
        <n v="1.0794435237009701"/>
        <n v="1.092723609561"/>
        <n v="1.09564780886153"/>
        <n v="1.1082643377636301"/>
        <n v="1.1122973748537499"/>
        <n v="1.12768450396786"/>
        <n v="1.1351419995990699"/>
        <n v="1.1363137990768499"/>
        <n v="1.1385020128535399"/>
        <n v="1.14458641902261"/>
        <n v="1.1449282122781701"/>
        <n v="1.1503521198562101"/>
        <n v="1.1511204954210501"/>
        <n v="1.15835793054309"/>
        <n v="1.1737992466381799"/>
        <n v="1.1892947685891999"/>
        <n v="1.19630316491134"/>
        <n v="1.20354124593409"/>
        <n v="1.20913420464027"/>
        <n v="1.2197034825563799"/>
        <n v="1.2222215709267099"/>
        <n v="1.23850696621769"/>
        <n v="1.2417896508805"/>
        <n v="1.24585086355487"/>
        <n v="1.25896927257689"/>
        <n v="1.2659798174414501"/>
        <n v="1.2678597871820001"/>
        <n v="1.2752073935313499"/>
        <n v="1.2991125559630501"/>
        <n v="1.30242357178432"/>
        <n v="1.3059978405766099"/>
        <n v="1.3138394213639399"/>
        <n v="1.31632156169906"/>
        <n v="1.3175493889209799"/>
        <n v="1.32967875130594"/>
        <n v="1.3308296756404601"/>
        <n v="1.3375773574929199"/>
        <n v="1.3527264952771401"/>
        <n v="1.3529006468520499"/>
        <n v="1.3637884837918599"/>
        <n v="1.3874211487931301"/>
        <n v="1.4019892904187401"/>
        <n v="1.41960523289104"/>
        <n v="1.4210694327361"/>
        <n v="1.44711491262833"/>
        <n v="1.4694513831224001"/>
        <n v="1.4696163589403299"/>
        <n v="1.50168018008075"/>
        <n v="1.52902981068445"/>
        <n v="1.5369013822962101"/>
        <n v="1.54409576401747"/>
        <n v="1.5657593569037001"/>
        <n v="1.6899661505007399"/>
        <n v="1.6963884361291499"/>
        <n v="1.87450880752341"/>
        <n v="1.9332975585380301"/>
        <n v="2.1308221269044401"/>
        <n v="2.1807423250790299"/>
        <n v="2.2034430024595402"/>
        <n v="2.4478100680353401"/>
        <n v="2.62666484344019"/>
        <n v="2.9593096038978701"/>
        <n v="3.0990258150490799"/>
      </sharedItems>
    </cacheField>
    <cacheField name="\=(new-old)/old" numFmtId="0">
      <sharedItems containsSemiMixedTypes="0" containsString="0" containsNumber="1" minValue="1.92201986966189E-4" maxValue="0.80047152385768805" count="720">
        <n v="1.92201986966189E-4"/>
        <n v="5.7334946212174605E-4"/>
        <n v="5.9592955754634203E-4"/>
        <n v="9.5005954199833603E-4"/>
        <n v="1.0578686918505499E-3"/>
        <n v="1.0598667370721501E-3"/>
        <n v="1.4365145273473501E-3"/>
        <n v="1.6556391059301301E-3"/>
        <n v="1.7167044345467999E-3"/>
        <n v="1.7673177783843E-3"/>
        <n v="1.8058195928561901E-3"/>
        <n v="2.8136961317358801E-3"/>
        <n v="2.92778372970061E-3"/>
        <n v="3.1573474744345398E-3"/>
        <n v="3.2099749480369701E-3"/>
        <n v="3.34750733440046E-3"/>
        <n v="3.4456399824748202E-3"/>
        <n v="3.5554697068897298E-3"/>
        <n v="3.5873227613719E-3"/>
        <n v="4.4380250701373299E-3"/>
        <n v="4.5709571876568003E-3"/>
        <n v="5.5387577969519403E-3"/>
        <n v="5.65012309642101E-3"/>
        <n v="5.7991048208573303E-3"/>
        <n v="6.0865047311793301E-3"/>
        <n v="7.0195715819623798E-3"/>
        <n v="7.6154655064394504E-3"/>
        <n v="7.7936996287398998E-3"/>
        <n v="8.0290325678621707E-3"/>
        <n v="8.8024011975465707E-3"/>
        <n v="9.1590032514976896E-3"/>
        <n v="9.2159890617355706E-3"/>
        <n v="9.3089468063706701E-3"/>
        <n v="9.4699843181488795E-3"/>
        <n v="9.6389608000966801E-3"/>
        <n v="9.8666619238527101E-3"/>
        <n v="1.02834119244929E-2"/>
        <n v="1.07518367424192E-2"/>
        <n v="1.1314964415192299E-2"/>
        <n v="1.16945282414096E-2"/>
        <n v="1.1722096809403299E-2"/>
        <n v="1.1964656206365099E-2"/>
        <n v="1.21309517218702E-2"/>
        <n v="1.2135131394425999E-2"/>
        <n v="1.2151893547604899E-2"/>
        <n v="1.2922623201930701E-2"/>
        <n v="1.40419300435884E-2"/>
        <n v="1.4236430157029601E-2"/>
        <n v="1.44646796794213E-2"/>
        <n v="1.4563614033370399E-2"/>
        <n v="1.46592175980422E-2"/>
        <n v="1.47171886084117E-2"/>
        <n v="1.4787164804274401E-2"/>
        <n v="1.4845544083250801E-2"/>
        <n v="1.49472427817597E-2"/>
        <n v="1.50558398559056E-2"/>
        <n v="1.53914033719632E-2"/>
        <n v="1.56164804412587E-2"/>
        <n v="1.59685178675728E-2"/>
        <n v="1.6181276418759501E-2"/>
        <n v="1.6279406477566899E-2"/>
        <n v="1.6553043300158301E-2"/>
        <n v="1.68016411267869E-2"/>
        <n v="1.6903630639626601E-2"/>
        <n v="1.6936141588590001E-2"/>
        <n v="1.6940410493126602E-2"/>
        <n v="1.6967675447873799E-2"/>
        <n v="1.70114029510205E-2"/>
        <n v="1.71193550719476E-2"/>
        <n v="1.7134342164082099E-2"/>
        <n v="1.7980619572136598E-2"/>
        <n v="1.8859583050457401E-2"/>
        <n v="1.89150807997223E-2"/>
        <n v="1.9090169871190402E-2"/>
        <n v="1.9549638446217502E-2"/>
        <n v="1.9738573059205899E-2"/>
        <n v="1.9836685285679199E-2"/>
        <n v="2.0016739438632299E-2"/>
        <n v="2.0306185841477101E-2"/>
        <n v="2.0430675179687399E-2"/>
        <n v="2.1394441441776098E-2"/>
        <n v="2.1547384221668599E-2"/>
        <n v="2.1577724625589899E-2"/>
        <n v="2.1617012932328102E-2"/>
        <n v="2.20690040529966E-2"/>
        <n v="2.2078342354134601E-2"/>
        <n v="2.2141408699676499E-2"/>
        <n v="2.2290188451467401E-2"/>
        <n v="2.2697934021532001E-2"/>
        <n v="2.28841529876786E-2"/>
        <n v="2.30494413500614E-2"/>
        <n v="2.34311603401086E-2"/>
        <n v="2.3449787600769101E-2"/>
        <n v="2.3776682603212002E-2"/>
        <n v="2.3796466404431098E-2"/>
        <n v="2.41532606758646E-2"/>
        <n v="2.42796696843069E-2"/>
        <n v="2.4484491305617199E-2"/>
        <n v="2.4507258759772301E-2"/>
        <n v="2.46807227054444E-2"/>
        <n v="2.5429010777274101E-2"/>
        <n v="2.55565289708507E-2"/>
        <n v="2.6012562223545099E-2"/>
        <n v="2.6780176634676502E-2"/>
        <n v="2.6886392476145101E-2"/>
        <n v="2.7325519520877702E-2"/>
        <n v="2.74396075656827E-2"/>
        <n v="2.8227917029659499E-2"/>
        <n v="2.8272588494095901E-2"/>
        <n v="2.8426350550163099E-2"/>
        <n v="2.87290734670584E-2"/>
        <n v="2.9245954316280302E-2"/>
        <n v="2.94149151477411E-2"/>
        <n v="2.9560577492251199E-2"/>
        <n v="2.9983797458861899E-2"/>
        <n v="3.0091083853316401E-2"/>
        <n v="3.0261859077683698E-2"/>
        <n v="3.0618990933353799E-2"/>
        <n v="3.0639144024610002E-2"/>
        <n v="3.06824438336409E-2"/>
        <n v="3.0951229990728399E-2"/>
        <n v="3.0970643817100001E-2"/>
        <n v="3.2051165644208103E-2"/>
        <n v="3.24930299043402E-2"/>
        <n v="3.2566807721562299E-2"/>
        <n v="3.2571307258913301E-2"/>
        <n v="3.2654303154395298E-2"/>
        <n v="3.27514105014204E-2"/>
        <n v="3.2988272253074498E-2"/>
        <n v="3.3135821433363098E-2"/>
        <n v="3.3136448113777098E-2"/>
        <n v="3.3654954400989798E-2"/>
        <n v="3.3676122403271398E-2"/>
        <n v="3.3710091754387897E-2"/>
        <n v="3.4447009047155898E-2"/>
        <n v="3.4798568901493403E-2"/>
        <n v="3.4851056956849098E-2"/>
        <n v="3.4940424936429702E-2"/>
        <n v="3.5309569994445601E-2"/>
        <n v="3.5637428906964502E-2"/>
        <n v="3.6204515815894601E-2"/>
        <n v="3.6698911658200398E-2"/>
        <n v="3.6840849968441197E-2"/>
        <n v="3.7187358737945E-2"/>
        <n v="3.7326269463529099E-2"/>
        <n v="3.7839520128113799E-2"/>
        <n v="3.7892357821286901E-2"/>
        <n v="3.8109230507369703E-2"/>
        <n v="3.8484738877303103E-2"/>
        <n v="3.8556813914927997E-2"/>
        <n v="3.9115268140425097E-2"/>
        <n v="3.9131538042551303E-2"/>
        <n v="3.9271778651542799E-2"/>
        <n v="3.93535096358359E-2"/>
        <n v="3.9398686353435998E-2"/>
        <n v="3.9481896111412097E-2"/>
        <n v="3.9572872940104697E-2"/>
        <n v="3.9636055540855003E-2"/>
        <n v="3.9807798960136302E-2"/>
        <n v="4.0102836801068797E-2"/>
        <n v="4.0155015903761103E-2"/>
        <n v="4.0176607106158203E-2"/>
        <n v="4.0449335206510902E-2"/>
        <n v="4.0514593566625699E-2"/>
        <n v="4.08473556142342E-2"/>
        <n v="4.1057827323806299E-2"/>
        <n v="4.18519248729535E-2"/>
        <n v="4.1852982001695703E-2"/>
        <n v="4.3152988369279201E-2"/>
        <n v="4.31553576577524E-2"/>
        <n v="4.3399002609112003E-2"/>
        <n v="4.4022016177111399E-2"/>
        <n v="4.4031358965045501E-2"/>
        <n v="4.4257831363080501E-2"/>
        <n v="4.4780428802757198E-2"/>
        <n v="4.4791088164715297E-2"/>
        <n v="4.4986281085911503E-2"/>
        <n v="4.5165014442737898E-2"/>
        <n v="4.5231849390896799E-2"/>
        <n v="4.5513078814135799E-2"/>
        <n v="4.5632980815023101E-2"/>
        <n v="4.5736380069204101E-2"/>
        <n v="4.5738457255456701E-2"/>
        <n v="4.58345435345381E-2"/>
        <n v="4.61975475729677E-2"/>
        <n v="4.6512474136270202E-2"/>
        <n v="4.7038226134865899E-2"/>
        <n v="4.7094063040696903E-2"/>
        <n v="4.7113693397393901E-2"/>
        <n v="4.7511385820133797E-2"/>
        <n v="4.7691279231946097E-2"/>
        <n v="4.8064548005499003E-2"/>
        <n v="4.8298544403764403E-2"/>
        <n v="4.8379140805543001E-2"/>
        <n v="4.8388464857144702E-2"/>
        <n v="4.8634283941558103E-2"/>
        <n v="4.87609910593974E-2"/>
        <n v="4.8803784396044297E-2"/>
        <n v="4.9165957217733501E-2"/>
        <n v="4.9195400903379601E-2"/>
        <n v="4.9284543141846798E-2"/>
        <n v="4.9430527354472398E-2"/>
        <n v="4.94675039829418E-2"/>
        <n v="4.95169798497841E-2"/>
        <n v="4.9693194238376502E-2"/>
        <n v="4.9723767897463703E-2"/>
        <n v="4.9918971553084598E-2"/>
        <n v="5.0060982128500103E-2"/>
        <n v="5.0998181860240799E-2"/>
        <n v="5.10415943797752E-2"/>
        <n v="5.1126848807428002E-2"/>
        <n v="5.1270256217039699E-2"/>
        <n v="5.1294036131911601E-2"/>
        <n v="5.1408231388155597E-2"/>
        <n v="5.1503496135854802E-2"/>
        <n v="5.2087656551089601E-2"/>
        <n v="5.2252237094955301E-2"/>
        <n v="5.2323822410830702E-2"/>
        <n v="5.2526971628984703E-2"/>
        <n v="5.3805688039931902E-2"/>
        <n v="5.4238203698277698E-2"/>
        <n v="5.4379216024704198E-2"/>
        <n v="5.4737823840762902E-2"/>
        <n v="5.5012684871902702E-2"/>
        <n v="5.5338420510045901E-2"/>
        <n v="5.5474542318625301E-2"/>
        <n v="5.5552360875616498E-2"/>
        <n v="5.5801256800784599E-2"/>
        <n v="5.5957851561461103E-2"/>
        <n v="5.6256660946368699E-2"/>
        <n v="5.6293011664096997E-2"/>
        <n v="5.7588708069459503E-2"/>
        <n v="5.76134854087769E-2"/>
        <n v="5.81390528908192E-2"/>
        <n v="5.8475539360994998E-2"/>
        <n v="5.85720582611826E-2"/>
        <n v="5.8657181190796402E-2"/>
        <n v="5.8853822477922903E-2"/>
        <n v="5.8998372388852E-2"/>
        <n v="5.9981557544579199E-2"/>
        <n v="6.01949210135342E-2"/>
        <n v="6.0341616272091399E-2"/>
        <n v="6.0392962987535999E-2"/>
        <n v="6.0603636958040802E-2"/>
        <n v="6.0785613565762002E-2"/>
        <n v="6.0838059337127298E-2"/>
        <n v="6.0965901495418702E-2"/>
        <n v="6.1148899571858498E-2"/>
        <n v="6.12414526465523E-2"/>
        <n v="6.1850074278363899E-2"/>
        <n v="6.1879782769535097E-2"/>
        <n v="6.2054009862897302E-2"/>
        <n v="6.2156720594392603E-2"/>
        <n v="6.24768236465673E-2"/>
        <n v="6.2599703476740196E-2"/>
        <n v="6.4432396304928904E-2"/>
        <n v="6.4873789272708704E-2"/>
        <n v="6.5288581382155597E-2"/>
        <n v="6.53198027520525E-2"/>
        <n v="6.5789979182569194E-2"/>
        <n v="6.5927911518210397E-2"/>
        <n v="6.6745163672897803E-2"/>
        <n v="6.6832689592282807E-2"/>
        <n v="6.6921084547428802E-2"/>
        <n v="6.7394125739496699E-2"/>
        <n v="6.7620222253903101E-2"/>
        <n v="6.7759087246531402E-2"/>
        <n v="6.8218538141726806E-2"/>
        <n v="6.8237760656765303E-2"/>
        <n v="6.8703597880197503E-2"/>
        <n v="6.8742968116343395E-2"/>
        <n v="6.8847525542272095E-2"/>
        <n v="6.9229919137333604E-2"/>
        <n v="6.9619927244089094E-2"/>
        <n v="6.9654689871559705E-2"/>
        <n v="6.9986374232185095E-2"/>
        <n v="7.0120572140535201E-2"/>
        <n v="7.0234565221890297E-2"/>
        <n v="7.0294191078680304E-2"/>
        <n v="7.0351141895609606E-2"/>
        <n v="7.1135493377337405E-2"/>
        <n v="7.2338042694931798E-2"/>
        <n v="7.2369183967340003E-2"/>
        <n v="7.3523217252547193E-2"/>
        <n v="7.4190496111721599E-2"/>
        <n v="7.4530795271326999E-2"/>
        <n v="7.4647198978533197E-2"/>
        <n v="7.4825654006143993E-2"/>
        <n v="7.5044773000945794E-2"/>
        <n v="7.5173817584535702E-2"/>
        <n v="7.5346743241030398E-2"/>
        <n v="7.5607790136124106E-2"/>
        <n v="7.57138091668038E-2"/>
        <n v="7.60326911808345E-2"/>
        <n v="7.6070483638889894E-2"/>
        <n v="7.6181908646274804E-2"/>
        <n v="7.6555933487090597E-2"/>
        <n v="7.6713538755748906E-2"/>
        <n v="7.6968240189024401E-2"/>
        <n v="7.7312703168437094E-2"/>
        <n v="7.7795234520272705E-2"/>
        <n v="7.8147792581895401E-2"/>
        <n v="7.8770654599209705E-2"/>
        <n v="7.9179460381609695E-2"/>
        <n v="7.9493524920909997E-2"/>
        <n v="7.9627914174082298E-2"/>
        <n v="7.9776683869674195E-2"/>
        <n v="7.9893671505358602E-2"/>
        <n v="8.0002872884863893E-2"/>
        <n v="8.0213977892288596E-2"/>
        <n v="8.0358599499189901E-2"/>
        <n v="8.0945096835890407E-2"/>
        <n v="8.2164120367881704E-2"/>
        <n v="8.2214588900490798E-2"/>
        <n v="8.2227898511777503E-2"/>
        <n v="8.2332535581281896E-2"/>
        <n v="8.3017242711839398E-2"/>
        <n v="8.3219770101259805E-2"/>
        <n v="8.3834205429840394E-2"/>
        <n v="8.3935752872158695E-2"/>
        <n v="8.4040548995864203E-2"/>
        <n v="8.4468073009011393E-2"/>
        <n v="8.5558586772779693E-2"/>
        <n v="8.7085339792334598E-2"/>
        <n v="8.7149272645468803E-2"/>
        <n v="8.7909695342404698E-2"/>
        <n v="8.8505507290240606E-2"/>
        <n v="8.9528780352578302E-2"/>
        <n v="8.9670327814286896E-2"/>
        <n v="9.0003224877390806E-2"/>
        <n v="9.0218127600371595E-2"/>
        <n v="9.0238382116648502E-2"/>
        <n v="9.0482109578630204E-2"/>
        <n v="9.1924903685948994E-2"/>
        <n v="9.1999941157895504E-2"/>
        <n v="9.2398514734111703E-2"/>
        <n v="9.2612803773008998E-2"/>
        <n v="9.2883185010619804E-2"/>
        <n v="9.2996694628689702E-2"/>
        <n v="9.3004761254625201E-2"/>
        <n v="9.3066956933152006E-2"/>
        <n v="9.3074231252211495E-2"/>
        <n v="9.3199378605272096E-2"/>
        <n v="9.3321949301537102E-2"/>
        <n v="9.3529491939169304E-2"/>
        <n v="9.3971010954833303E-2"/>
        <n v="9.43625880523912E-2"/>
        <n v="9.4418783823562599E-2"/>
        <n v="9.4611769562964507E-2"/>
        <n v="9.4837477370258799E-2"/>
        <n v="9.5291379610707105E-2"/>
        <n v="9.5393126867195394E-2"/>
        <n v="9.54852527481026E-2"/>
        <n v="9.5965929461823002E-2"/>
        <n v="9.6086132262191704E-2"/>
        <n v="9.6287609356695295E-2"/>
        <n v="9.6657422622743405E-2"/>
        <n v="9.7193154021952499E-2"/>
        <n v="9.7682282817637495E-2"/>
        <n v="9.83387530992922E-2"/>
        <n v="9.8507964724668606E-2"/>
        <n v="9.8579025617407098E-2"/>
        <n v="9.9195272580851895E-2"/>
        <n v="9.9285258106573002E-2"/>
        <n v="0.10039447826765099"/>
        <n v="0.101644262545571"/>
        <n v="0.101773668570003"/>
        <n v="0.102617755076797"/>
        <n v="0.10350497667217599"/>
        <n v="0.103626913565631"/>
        <n v="0.104029003402695"/>
        <n v="0.104568653903163"/>
        <n v="0.104678521324931"/>
        <n v="0.104820309468205"/>
        <n v="0.10520598461896701"/>
        <n v="0.105405616747552"/>
        <n v="0.105673527337675"/>
        <n v="0.105769848103261"/>
        <n v="0.10612928860024699"/>
        <n v="0.106892152104107"/>
        <n v="0.10704558069343401"/>
        <n v="0.107671096415136"/>
        <n v="0.107965364781833"/>
        <n v="0.108167845374189"/>
        <n v="0.108618125382268"/>
        <n v="0.10953277554432"/>
        <n v="0.110879476821937"/>
        <n v="0.111400336859692"/>
        <n v="0.111844178366465"/>
        <n v="0.111892601446599"/>
        <n v="0.11203987677279301"/>
        <n v="0.112090505986274"/>
        <n v="0.112276237710456"/>
        <n v="0.113171836385278"/>
        <n v="0.11367641981880799"/>
        <n v="0.113726260935854"/>
        <n v="0.114255447089245"/>
        <n v="0.114676764609946"/>
        <n v="0.115015200351628"/>
        <n v="0.115285251422961"/>
        <n v="0.115377021183265"/>
        <n v="0.115377470591789"/>
        <n v="0.11558878610461799"/>
        <n v="0.11580700229032299"/>
        <n v="0.11652976122559799"/>
        <n v="0.11662592025443599"/>
        <n v="0.11762028290293999"/>
        <n v="0.118613611515771"/>
        <n v="0.119006537786758"/>
        <n v="0.119322191214211"/>
        <n v="0.12020210266959799"/>
        <n v="0.12024398572481899"/>
        <n v="0.12119496920766"/>
        <n v="0.121449224857515"/>
        <n v="0.121532743391754"/>
        <n v="0.121754612550519"/>
        <n v="0.12195819576792601"/>
        <n v="0.122303426532211"/>
        <n v="0.12290719020711501"/>
        <n v="0.124006181783027"/>
        <n v="0.124090201105289"/>
        <n v="0.124762733814098"/>
        <n v="0.12516378884170101"/>
        <n v="0.125453705156477"/>
        <n v="0.1256253094334"/>
        <n v="0.12581193043116401"/>
        <n v="0.126712749925741"/>
        <n v="0.12683130332693199"/>
        <n v="0.126877503640168"/>
        <n v="0.12742790490741901"/>
        <n v="0.12782356380961701"/>
        <n v="0.12795813191220701"/>
        <n v="0.12824115012187501"/>
        <n v="0.128443685986777"/>
        <n v="0.12854166287469901"/>
        <n v="0.12863520832404199"/>
        <n v="0.12878928018995101"/>
        <n v="0.12904236113873599"/>
        <n v="0.12921534401221399"/>
        <n v="0.12940951051004901"/>
        <n v="0.130871495546347"/>
        <n v="0.131506481995253"/>
        <n v="0.13178218933866601"/>
        <n v="0.13278799601006799"/>
        <n v="0.13331428369895201"/>
        <n v="0.13373920654012"/>
        <n v="0.13408888845408601"/>
        <n v="0.13433023249967499"/>
        <n v="0.13464262469944099"/>
        <n v="0.135434121257407"/>
        <n v="0.135979545667684"/>
        <n v="0.136533284572846"/>
        <n v="0.13655557702360499"/>
        <n v="0.13660246096422399"/>
        <n v="0.13684490714849101"/>
        <n v="0.137095265502714"/>
        <n v="0.137733487625947"/>
        <n v="0.13813772847309999"/>
        <n v="0.138551895317855"/>
        <n v="0.13921095235001499"/>
        <n v="0.139401263155707"/>
        <n v="0.13988021802588499"/>
        <n v="0.140087038140918"/>
        <n v="0.140421370895468"/>
        <n v="0.14054053742335801"/>
        <n v="0.14068910719984301"/>
        <n v="0.141200081523399"/>
        <n v="0.14140717580571599"/>
        <n v="0.14154823736872801"/>
        <n v="0.14184196239578201"/>
        <n v="0.14189201471591001"/>
        <n v="0.14317319205113699"/>
        <n v="0.14388241711729299"/>
        <n v="0.14590744376047099"/>
        <n v="0.147062264933503"/>
        <n v="0.14724616910905799"/>
        <n v="0.148530028921352"/>
        <n v="0.14891559428364401"/>
        <n v="0.14894935202682999"/>
        <n v="0.149521185417087"/>
        <n v="0.15045544188676399"/>
        <n v="0.15068340479094"/>
        <n v="0.151805356763974"/>
        <n v="0.15433930368701601"/>
        <n v="0.15457502598198"/>
        <n v="0.154601909289379"/>
        <n v="0.15520794384751099"/>
        <n v="0.15664125154612599"/>
        <n v="0.158189782696873"/>
        <n v="0.158399796478673"/>
        <n v="0.158566841904907"/>
        <n v="0.159735413770065"/>
        <n v="0.16010381983840699"/>
        <n v="0.16011507926597601"/>
        <n v="0.16020869134681501"/>
        <n v="0.16060066057559699"/>
        <n v="0.16229009246727699"/>
        <n v="0.16312260094484499"/>
        <n v="0.16333711584683"/>
        <n v="0.16416380149655799"/>
        <n v="0.16460293602237899"/>
        <n v="0.164705452867388"/>
        <n v="0.16604915298850401"/>
        <n v="0.166384591731011"/>
        <n v="0.16667373729336901"/>
        <n v="0.16704149648618999"/>
        <n v="0.16718498260138601"/>
        <n v="0.167436082376024"/>
        <n v="0.168241121932175"/>
        <n v="0.16972708838220699"/>
        <n v="0.16992198952992299"/>
        <n v="0.17038887825273599"/>
        <n v="0.170394116571569"/>
        <n v="0.17062858159498601"/>
        <n v="0.170934901578432"/>
        <n v="0.17096064079864601"/>
        <n v="0.171565599608756"/>
        <n v="0.171633408217614"/>
        <n v="0.17208122246486199"/>
        <n v="0.17255789170001101"/>
        <n v="0.17328050562897701"/>
        <n v="0.17586799932205799"/>
        <n v="0.177385223512873"/>
        <n v="0.178035269704408"/>
        <n v="0.17824537173917601"/>
        <n v="0.17859783201526799"/>
        <n v="0.17869692825863501"/>
        <n v="0.178719180382968"/>
        <n v="0.181341090474953"/>
        <n v="0.181442012884176"/>
        <n v="0.18235987075424301"/>
        <n v="0.18237760799879299"/>
        <n v="0.18271497385093699"/>
        <n v="0.18455158494288901"/>
        <n v="0.18467324425814999"/>
        <n v="0.185606002605681"/>
        <n v="0.18572993956657299"/>
        <n v="0.185932415083645"/>
        <n v="0.186083798194004"/>
        <n v="0.186334531782503"/>
        <n v="0.18667374194460601"/>
        <n v="0.18801375985278401"/>
        <n v="0.18822821288340699"/>
        <n v="0.188439809487702"/>
        <n v="0.18907257483786699"/>
        <n v="0.18915367763191501"/>
        <n v="0.190864708444687"/>
        <n v="0.191198386995409"/>
        <n v="0.19139188481928501"/>
        <n v="0.191783596218215"/>
        <n v="0.19297513498084001"/>
        <n v="0.19334547637169899"/>
        <n v="0.19486620699995799"/>
        <n v="0.19487424379552201"/>
        <n v="0.19517096487076699"/>
        <n v="0.195725954694358"/>
        <n v="0.19753478106928499"/>
        <n v="0.19768244000977001"/>
        <n v="0.198614628855557"/>
        <n v="0.201519366477766"/>
        <n v="0.202169009184888"/>
        <n v="0.20253215579488401"/>
        <n v="0.203527817573283"/>
        <n v="0.204501014195413"/>
        <n v="0.204950005315856"/>
        <n v="0.20610742780229299"/>
        <n v="0.206408850051439"/>
        <n v="0.20681523650684899"/>
        <n v="0.20768694540795099"/>
        <n v="0.210770027381952"/>
        <n v="0.21110053334133899"/>
        <n v="0.212551138176857"/>
        <n v="0.21395307570306599"/>
        <n v="0.21399062275411601"/>
        <n v="0.214257743271835"/>
        <n v="0.21454290191067299"/>
        <n v="0.215072457917548"/>
        <n v="0.216676645104246"/>
        <n v="0.21816695009701201"/>
        <n v="0.21821555644228799"/>
        <n v="0.220043840562269"/>
        <n v="0.22035210071918901"/>
        <n v="0.22086861616227199"/>
        <n v="0.22095958072729299"/>
        <n v="0.221151915844778"/>
        <n v="0.22129367087427601"/>
        <n v="0.221886387679463"/>
        <n v="0.222030433876096"/>
        <n v="0.22259244626185901"/>
        <n v="0.22332425175932799"/>
        <n v="0.22460749726403001"/>
        <n v="0.22555410179065399"/>
        <n v="0.226903710253885"/>
        <n v="0.227299171063993"/>
        <n v="0.227529791949866"/>
        <n v="0.22859975205719399"/>
        <n v="0.22898957729524"/>
        <n v="0.229502956153079"/>
        <n v="0.23058544172103901"/>
        <n v="0.23130523305650499"/>
        <n v="0.23243928779013701"/>
        <n v="0.233985007449342"/>
        <n v="0.23502970262091499"/>
        <n v="0.23543273668174899"/>
        <n v="0.23913421806351201"/>
        <n v="0.24076648379695201"/>
        <n v="0.24100586068138599"/>
        <n v="0.24149469448938399"/>
        <n v="0.24163113762642599"/>
        <n v="0.24210531636579199"/>
        <n v="0.24514005573786199"/>
        <n v="0.245653165388873"/>
        <n v="0.24650132714092199"/>
        <n v="0.24796836666633201"/>
        <n v="0.24802950336919"/>
        <n v="0.25280951552184899"/>
        <n v="0.25371638311461903"/>
        <n v="0.25422493038654798"/>
        <n v="0.25469137458452101"/>
        <n v="0.25572554779821499"/>
        <n v="0.25722436994432002"/>
        <n v="0.25810712806376002"/>
        <n v="0.25936650299260799"/>
        <n v="0.25970073978545299"/>
        <n v="0.262457338852982"/>
        <n v="0.262471924951939"/>
        <n v="0.26438728951734702"/>
        <n v="0.26572873574073602"/>
        <n v="0.26946689940130902"/>
        <n v="0.27142463571207798"/>
        <n v="0.27161253096996701"/>
        <n v="0.27310417494705502"/>
        <n v="0.279097626272442"/>
        <n v="0.279244204030135"/>
        <n v="0.27957183689050702"/>
        <n v="0.27964954275533899"/>
        <n v="0.28049713182701902"/>
        <n v="0.28199740112062499"/>
        <n v="0.28318062638622798"/>
        <n v="0.28603924881987203"/>
        <n v="0.28618111640818999"/>
        <n v="0.286917182479141"/>
        <n v="0.28971753437054099"/>
        <n v="0.28986304570013"/>
        <n v="0.29066449684534001"/>
        <n v="0.29337223912247901"/>
        <n v="0.29806280744562502"/>
        <n v="0.29888616470942098"/>
        <n v="0.30005740382275797"/>
        <n v="0.30029996744637399"/>
        <n v="0.30082584805443502"/>
        <n v="0.30168085663583999"/>
        <n v="0.30683599101419001"/>
        <n v="0.30931574588217298"/>
        <n v="0.30971534279780399"/>
        <n v="0.31320677986437401"/>
        <n v="0.314944100271353"/>
        <n v="0.31715254676056398"/>
        <n v="0.31766634749301498"/>
        <n v="0.31818420330698199"/>
        <n v="0.31899452005032097"/>
        <n v="0.31929893891863598"/>
        <n v="0.31930354837184199"/>
        <n v="0.32026266410069998"/>
        <n v="0.32230227242688902"/>
        <n v="0.32289766685864102"/>
        <n v="0.325659710220635"/>
        <n v="0.325755510975268"/>
        <n v="0.32686933202150897"/>
        <n v="0.32789053137635699"/>
        <n v="0.33068537400848602"/>
        <n v="0.33076927636603798"/>
        <n v="0.33605880982958802"/>
        <n v="0.338271643760306"/>
        <n v="0.33923480901695002"/>
        <n v="0.339519536994212"/>
        <n v="0.33970998206915398"/>
        <n v="0.34158871256262002"/>
        <n v="0.34706446700905502"/>
        <n v="0.34753848491564299"/>
        <n v="0.35456572174807999"/>
        <n v="0.35704172689367802"/>
        <n v="0.35844466329673902"/>
        <n v="0.35930179143239599"/>
        <n v="0.36374246045217301"/>
        <n v="0.36700445412719501"/>
        <n v="0.36768026757192301"/>
        <n v="0.37153764259136002"/>
        <n v="0.37404612777485602"/>
        <n v="0.37615336363690899"/>
        <n v="0.37956331056752002"/>
        <n v="0.38632303658002898"/>
        <n v="0.386495477668655"/>
        <n v="0.39008239660963601"/>
        <n v="0.40433521820235202"/>
        <n v="0.40599664381859502"/>
        <n v="0.40778662687980399"/>
        <n v="0.40855297644191801"/>
        <n v="0.421860212952332"/>
        <n v="0.43339302592776002"/>
        <n v="0.43345557978813598"/>
        <n v="0.43563972494501402"/>
        <n v="0.44233776602716401"/>
        <n v="0.44267782778842302"/>
        <n v="0.44651389249090201"/>
        <n v="0.46036426048285001"/>
        <n v="0.461442525598041"/>
        <n v="0.50855283207249102"/>
        <n v="0.51587487405323995"/>
        <n v="0.52494378918338103"/>
        <n v="0.56916867890196399"/>
        <n v="0.57291507648156004"/>
        <n v="0.57596282663298404"/>
        <n v="0.58026428443579603"/>
        <n v="0.62708683824352096"/>
        <n v="0.65005356109630297"/>
        <n v="0.66039417789261601"/>
        <n v="0.67534248884574799"/>
        <n v="0.71263351165876598"/>
        <n v="0.80047152385768805"/>
      </sharedItems>
    </cacheField>
    <cacheField name="Frekuenca" numFmtId="0">
      <sharedItems count="7">
        <s v="a) 0-4.99%"/>
        <s v="b) 5-9.99%"/>
        <s v="c) 10-19.99%"/>
        <s v="d) 20-29.99%"/>
        <s v="e) 30-39.99%"/>
        <s v="f) 40-49.99%"/>
        <s v="g) Above 50%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300" xr:uid="{00000000-000A-0000-FFFF-FFFF02000000}">
  <cacheSource type="worksheet">
    <worksheetSource ref="A1:J301" sheet="(8-17)H June"/>
  </cacheSource>
  <cacheFields count="10">
    <cacheField name="Data2" numFmtId="0">
      <sharedItems containsSemiMixedTypes="0" containsNonDate="0" containsDate="1" containsString="0" minDate="2026-06-01T00:00:00" maxDate="2026-06-30T00:00:00" count="30"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</sharedItems>
    </cacheField>
    <cacheField name="Ora" numFmtId="0">
      <sharedItems containsSemiMixedTypes="0" containsString="0" containsNumber="1" containsInteger="1" minValue="8" maxValue="17" count="10">
        <n v="8"/>
        <n v="9"/>
        <n v="10"/>
        <n v="11"/>
        <n v="12"/>
        <n v="13"/>
        <n v="14"/>
        <n v="15"/>
        <n v="16"/>
        <n v="17"/>
      </sharedItems>
    </cacheField>
    <cacheField name="Furnizuesi X Furnizimi (EMIFurnizuesiX) [MWh]" numFmtId="0">
      <sharedItems containsSemiMixedTypes="0" containsString="0" containsNumber="1" minValue="-7.7917168150490799" maxValue="-2.0954641893155501" count="300">
        <n v="-7.7917168150490799"/>
        <n v="-6.9709995776248697"/>
        <n v="-6.8153428434401899"/>
        <n v="-6.6662500680353398"/>
        <n v="-6.3207941269044401"/>
        <n v="-5.9870447640174698"/>
        <n v="-5.5930760024595401"/>
        <n v="-5.58878815050074"/>
        <n v="-5.5295756919649603"/>
        <n v="-5.5280107039044299"/>
        <n v="-5.5159281487931304"/>
        <n v="-5.4955724361291498"/>
        <n v="-5.4746899126283299"/>
        <n v="-5.2899335585380296"/>
        <n v="-5.2307958174414502"/>
        <n v="-5.2224591962864704"/>
        <n v="-5.2180156315971002"/>
        <n v="-5.2016197871819996"/>
        <n v="-5.19369279930131"/>
        <n v="-5.1787949142855396"/>
        <n v="-5.1772871800807501"/>
        <n v="-5.1765600549789701"/>
        <n v="-5.1709729662176898"/>
        <n v="-5.1557050333849803"/>
        <n v="-5.1554331673910703"/>
        <n v="-5.1463878075234097"/>
        <n v="-5.1088937990768502"/>
        <n v="-5.1065530128535404"/>
        <n v="-5.1054963569037"/>
        <n v="-5.1005819845217504"/>
        <n v="-5.0926242328910396"/>
        <n v="-5.08310838229621"/>
        <n v="-5.0798313400681199"/>
        <n v="-5.0634605709267104"/>
        <n v="-5.0342773935313501"/>
        <n v="-5.0133318635548703"/>
        <n v="-5.0024353121701699"/>
        <n v="-4.9852287513059403"/>
        <n v="-4.9560634190226098"/>
        <n v="-4.9244637025955598"/>
        <n v="-4.9135463574929199"/>
        <n v="-4.9037173748537501"/>
        <n v="-4.8637563889209803"/>
        <n v="-4.8512185717843197"/>
        <n v="-4.8440745422562399"/>
        <n v="-4.8323795559630502"/>
        <n v="-4.8218337651696404"/>
        <n v="-4.8016131714288299"/>
        <n v="-4.7993741737177702"/>
        <n v="-4.7844629958671003"/>
        <n v="-4.7752894213639401"/>
        <n v="-4.7716111198562103"/>
        <n v="-4.7488712046402703"/>
        <n v="-4.7266562540098498"/>
        <n v="-4.7176745712739203"/>
        <n v="-4.7142699305430904"/>
        <n v="-4.7087370575605103"/>
        <n v="-4.7050927685891999"/>
        <n v="-4.7013190053454696"/>
        <n v="-4.6994002480428501"/>
        <n v="-4.6936419995990697"/>
        <n v="-4.69099752370097"/>
        <n v="-4.6884482429436796"/>
        <n v="-4.6878844575637899"/>
        <n v="-4.6764551911281096"/>
        <n v="-4.6664408088615303"/>
        <n v="-4.65689427392158"/>
        <n v="-4.6511654825948803"/>
        <n v="-4.6353547998142002"/>
        <n v="-4.6199997377436102"/>
        <n v="-4.6020564819435901"/>
        <n v="-4.5984783331472903"/>
        <n v="-4.5956787760799704"/>
        <n v="-4.59164612954467"/>
        <n v="-4.58419741448962"/>
        <n v="-4.5744112459340904"/>
        <n v="-4.5714111050786101"/>
        <n v="-4.5704428324455302"/>
        <n v="-4.5651702133851799"/>
        <n v="-4.5508133089724296"/>
        <n v="-4.5461814986074103"/>
        <n v="-4.5439560575299902"/>
        <n v="-4.5411092350336402"/>
        <n v="-4.5409591479011597"/>
        <n v="-4.5269311885931103"/>
        <n v="-4.50947858371606"/>
        <n v="-4.5086478405766099"/>
        <n v="-4.5079064327360996"/>
        <n v="-4.5048544262859798"/>
        <n v="-4.4763806609098999"/>
        <n v="-4.4761845481588303"/>
        <n v="-4.4667608316293199"/>
        <n v="-4.4540698222017898"/>
        <n v="-4.4473037844058796"/>
        <n v="-4.4406962641540799"/>
        <n v="-4.4268079934381799"/>
        <n v="-4.4254563404751401"/>
        <n v="-4.4232097410553797"/>
        <n v="-4.4125261483982596"/>
        <n v="-4.4085074952771404"/>
        <n v="-4.4003574804362797"/>
        <n v="-4.3961898468524998"/>
        <n v="-4.3605542047946999"/>
        <n v="-4.3481185902512003"/>
        <n v="-4.3445038631503197"/>
        <n v="-4.3376671015998598"/>
        <n v="-4.3104155625786102"/>
        <n v="-4.3091335345560804"/>
        <n v="-4.3073261520138697"/>
        <n v="-4.3060506994972299"/>
        <n v="-4.2993929635992902"/>
        <n v="-4.2899196571662399"/>
        <n v="-4.2861671937515498"/>
        <n v="-4.2786151990516696"/>
        <n v="-4.2691853589403301"/>
        <n v="-4.2605110279070297"/>
        <n v="-4.2452020178293202"/>
        <n v="-4.2399262014461803"/>
        <n v="-4.2339929910879102"/>
        <n v="-4.2306290721376296"/>
        <n v="-4.2286278143612002"/>
        <n v="-4.2264795395522698"/>
        <n v="-4.22196234997016"/>
        <n v="-4.2211532369262903"/>
        <n v="-4.2194904838454699"/>
        <n v="-4.2125681572560101"/>
        <n v="-4.2111256091432701"/>
        <n v="-4.2072913155476002"/>
        <n v="-4.2000586822466301"/>
        <n v="-4.1956327365407899"/>
        <n v="-4.1945184566243299"/>
        <n v="-4.1904172227223597"/>
        <n v="-4.1867031855066497"/>
        <n v="-4.1821587802553903"/>
        <n v="-4.1779580228837201"/>
        <n v="-4.1774858315155203"/>
        <n v="-4.1742564879848896"/>
        <n v="-4.1689445616990604"/>
        <n v="-4.1687604380989702"/>
        <n v="-4.1579896634572799"/>
        <n v="-4.1538635296407396"/>
        <n v="-4.1488415320675198"/>
        <n v="-4.1471432893218498"/>
        <n v="-4.14639897004822"/>
        <n v="-4.1350126997562704"/>
        <n v="-4.1348843365588301"/>
        <n v="-4.1347996015623396"/>
        <n v="-4.1313680556644599"/>
        <n v="-4.1080290445653604"/>
        <n v="-4.10526949795661"/>
        <n v="-4.1016380614821299"/>
        <n v="-4.0979368107539296"/>
        <n v="-4.0958164603902096"/>
        <n v="-4.0819553876141503"/>
        <n v="-4.0796579487041003"/>
        <n v="-4.0592451813683796"/>
        <n v="-4.0584598328246999"/>
        <n v="-4.0538146995741897"/>
        <n v="-4.0535770269801201"/>
        <n v="-4.0299425335130303"/>
        <n v="-4.0098406911688897"/>
        <n v="-3.9990557377810698"/>
        <n v="-3.9952987564682299"/>
        <n v="-3.9851296233603599"/>
        <n v="-3.98339218520006"/>
        <n v="-3.9758360692562902"/>
        <n v="-3.9754314363752101"/>
        <n v="-3.97457135261469"/>
        <n v="-3.9654512289207702"/>
        <n v="-3.95676096468519"/>
        <n v="-3.9461377529242498"/>
        <n v="-3.9297527680280102"/>
        <n v="-3.9189815499387901"/>
        <n v="-3.9185196837382001"/>
        <n v="-3.9148492730494699"/>
        <n v="-3.91300750173209"/>
        <n v="-3.9054150941783199"/>
        <n v="-3.9052555039678598"/>
        <n v="-3.86385018914405"/>
        <n v="-3.8563248509422201"/>
        <n v="-3.84618162237614"/>
        <n v="-3.84490690268807"/>
        <n v="-3.84464430532595"/>
        <n v="-3.8417612215391301"/>
        <n v="-3.8258860877637302"/>
        <n v="-3.8129533733723702"/>
        <n v="-3.8102489404062099"/>
        <n v="-3.8032323748874299"/>
        <n v="-3.7952426095609999"/>
        <n v="-3.7928034963441899"/>
        <n v="-3.7918993301957999"/>
        <n v="-3.7867930315581901"/>
        <n v="-3.7674581408058998"/>
        <n v="-3.7659611295490101"/>
        <n v="-3.7406568283180599"/>
        <n v="-3.7295903303746401"/>
        <n v="-3.72422970766053"/>
        <n v="-3.7146418846387199"/>
        <n v="-3.7121335311151902"/>
        <n v="-3.71080036090004"/>
        <n v="-3.7077872122364299"/>
        <n v="-3.7073316642751899"/>
        <n v="-3.7071184461106199"/>
        <n v="-3.70222867724629"/>
        <n v="-3.6919346458102198"/>
        <n v="-3.6804238802959501"/>
        <n v="-3.6797285915616502"/>
        <n v="-3.6591334910331499"/>
        <n v="-3.6541103354103099"/>
        <n v="-3.6453123831224001"/>
        <n v="-3.6394784910632598"/>
        <n v="-3.6385882846834701"/>
        <n v="-3.63500713859725"/>
        <n v="-3.6321277206747"/>
        <n v="-3.61691791374921"/>
        <n v="-3.5976136129163399"/>
        <n v="-3.5523918701647599"/>
        <n v="-3.52265114278446"/>
        <n v="-3.4856661931898301"/>
        <n v="-3.4540868845380501"/>
        <n v="-3.4457489408575901"/>
        <n v="-3.4448905125159901"/>
        <n v="-3.44015065218233"/>
        <n v="-3.4381427756700802"/>
        <n v="-3.43208151760633"/>
        <n v="-3.42550298583649"/>
        <n v="-3.41974051415459"/>
        <n v="-3.4060227339387401"/>
        <n v="-3.3954151004018098"/>
        <n v="-3.3882123025247801"/>
        <n v="-3.3826633111727098"/>
        <n v="-3.36943540369001"/>
        <n v="-3.3609097510482102"/>
        <n v="-3.3542606177319798"/>
        <n v="-3.3492157979238302"/>
        <n v="-3.3104588482394299"/>
        <n v="-3.28620774022263"/>
        <n v="-3.28601097182576"/>
        <n v="-3.2813762632105399"/>
        <n v="-3.2810050379200901"/>
        <n v="-3.2781058883409702"/>
        <n v="-3.2631397763233498"/>
        <n v="-3.2626371046437201"/>
        <n v="-3.2514624477823402"/>
        <n v="-3.24809230689588"/>
        <n v="-3.2014649489976099"/>
        <n v="-3.1999329954078899"/>
        <n v="-3.1957353081137501"/>
        <n v="-3.1819488636605202"/>
        <n v="-3.1524366083112199"/>
        <n v="-3.1451311447192198"/>
        <n v="-3.12249896290658"/>
        <n v="-3.1029218251589499"/>
        <n v="-3.1017548433958901"/>
        <n v="-3.0994399841961302"/>
        <n v="-3.0991236891547702"/>
        <n v="-3.086265851247"/>
        <n v="-3.08438218180184"/>
        <n v="-3.0817414244405401"/>
        <n v="-3.0640235911523699"/>
        <n v="-3.0578765589572501"/>
        <n v="-3.0495975856797299"/>
        <n v="-3.0346482112143698"/>
        <n v="-3.0006650220128699"/>
        <n v="-2.99910543209125"/>
        <n v="-2.9941735399336098"/>
        <n v="-2.9902046772281499"/>
        <n v="-2.97754442801567"/>
        <n v="-2.97008797415155"/>
        <n v="-2.95821054413907"/>
        <n v="-2.9162387159988699"/>
        <n v="-2.9088560286273601"/>
        <n v="-2.9017659887434601"/>
        <n v="-2.8771361636388901"/>
        <n v="-2.8604493037471399"/>
        <n v="-2.84212547426859"/>
        <n v="-2.8168828720342001"/>
        <n v="-2.8014104393813302"/>
        <n v="-2.79672664298878"/>
        <n v="-2.7603000189501299"/>
        <n v="-2.7575051813149498"/>
        <n v="-2.7404260300988001"/>
        <n v="-2.7392937834734199"/>
        <n v="-2.7196273900611998"/>
        <n v="-2.71144214895532"/>
        <n v="-2.6495659056392298"/>
        <n v="-2.6180355802078501"/>
        <n v="-2.6077198581607899"/>
        <n v="-2.5243521011349102"/>
        <n v="-2.49761942126255"/>
        <n v="-2.4931662345972501"/>
        <n v="-2.4170768690595099"/>
        <n v="-2.4138495045789501"/>
        <n v="-2.4060517533618202"/>
        <n v="-2.2917667274231102"/>
        <n v="-2.2497987317130499"/>
        <n v="-2.2437723531479499"/>
        <n v="-2.2118811775095102"/>
        <n v="-2.1920957095812601"/>
        <n v="-2.0954641893155501"/>
      </sharedItems>
    </cacheField>
    <cacheField name="Konsumi i Nominuar i  Furnizuesi X (EKNKFurnizuesiX) [MWh]" numFmtId="0">
      <sharedItems containsSemiMixedTypes="0" containsString="0" containsNumber="1" minValue="-6.9610000000000003" maxValue="-1.4337519999999999" count="269">
        <n v="-6.9610000000000003"/>
        <n v="-4.9864290000000002"/>
        <n v="-4.7664489999999997"/>
        <n v="-4.6926909999999999"/>
        <n v="-4.6901029999999997"/>
        <n v="-4.6163449999999999"/>
        <n v="-4.6150510000000002"/>
        <n v="-4.5535860000000001"/>
        <n v="-4.5374109999999996"/>
        <n v="-4.4869450000000004"/>
        <n v="-4.481122"/>
        <n v="-4.4636529999999999"/>
        <n v="-4.4507130000000004"/>
        <n v="-4.4429489999999996"/>
        <n v="-4.4390669999999997"/>
        <n v="-4.4306559999999999"/>
        <n v="-4.404776"/>
        <n v="-4.4028349999999996"/>
        <n v="-4.3873069999999998"/>
        <n v="-4.3840719999999997"/>
        <n v="-4.3666029999999996"/>
        <n v="-4.346546"/>
        <n v="-4.3096670000000001"/>
        <n v="-4.3051380000000004"/>
        <n v="-4.2967269999999997"/>
        <n v="-4.2779639999999999"/>
        <n v="-4.2598479999999999"/>
        <n v="-4.2546720000000002"/>
        <n v="-4.2456139999999998"/>
        <n v="-4.2359090000000004"/>
        <n v="-4.230086"/>
        <n v="-4.2210279999999996"/>
        <n v="-4.2184400000000002"/>
        <n v="-4.189972"/>
        <n v="-4.1893250000000002"/>
        <n v="-4.1886780000000003"/>
        <n v="-4.1640920000000001"/>
        <n v="-4.1388590000000001"/>
        <n v="-4.1369179999999997"/>
        <n v="-4.1285069999999999"/>
        <n v="-4.1226839999999996"/>
        <n v="-4.1103909999999999"/>
        <n v="-4.1000389999999998"/>
        <n v="-4.0948630000000001"/>
        <n v="-4.0767470000000001"/>
        <n v="-4.0754530000000004"/>
        <n v="-4.0741589999999999"/>
        <n v="-4.066395"/>
        <n v="-4.0631599999999999"/>
        <n v="-4.0301629999999999"/>
        <n v="-4.0275749999999997"/>
        <n v="-4.026281"/>
        <n v="-4.0236929999999997"/>
        <n v="-4.0165759999999997"/>
        <n v="-3.9894020000000001"/>
        <n v="-3.988108"/>
        <n v="-3.975168"/>
        <n v="-3.9725799999999998"/>
        <n v="-3.968051"/>
        <n v="-3.9674040000000002"/>
        <n v="-3.9648159999999999"/>
        <n v="-3.9583460000000001"/>
        <n v="-3.9382890000000002"/>
        <n v="-3.9337599999999999"/>
        <n v="-3.9324659999999998"/>
        <n v="-3.9305249999999998"/>
        <n v="-3.929878"/>
        <n v="-3.9046449999999999"/>
        <n v="-3.898822"/>
        <n v="-3.880706"/>
        <n v="-3.871648"/>
        <n v="-3.8561200000000002"/>
        <n v="-3.847709"/>
        <n v="-3.8412389999999998"/>
        <n v="-3.8380040000000002"/>
        <n v="-3.8263579999999999"/>
        <n v="-3.8257110000000001"/>
        <n v="-3.8147120000000001"/>
        <n v="-3.8140649999999998"/>
        <n v="-3.8121239999999998"/>
        <n v="-3.811477"/>
        <n v="-3.8082419999999999"/>
        <n v="-3.8069480000000002"/>
        <n v="-3.8017720000000002"/>
        <n v="-3.7991839999999999"/>
        <n v="-3.795302"/>
        <n v="-3.79142"/>
        <n v="-3.7881849999999999"/>
        <n v="-3.7778330000000002"/>
        <n v="-3.7745980000000001"/>
        <n v="-3.7739509999999998"/>
        <n v="-3.773304"/>
        <n v="-3.7681279999999999"/>
        <n v="-3.7674810000000001"/>
        <n v="-3.7629519999999999"/>
        <n v="-3.7597170000000002"/>
        <n v="-3.7590699999999999"/>
        <n v="-3.7577759999999998"/>
        <n v="-3.7474240000000001"/>
        <n v="-3.7467769999999998"/>
        <n v="-3.74613"/>
        <n v="-3.7416010000000002"/>
        <n v="-3.7364250000000001"/>
        <n v="-3.7344840000000001"/>
        <n v="-3.7254260000000001"/>
        <n v="-3.7073100000000001"/>
        <n v="-3.7047219999999998"/>
        <n v="-3.7027809999999999"/>
        <n v="-3.7008399999999999"/>
        <n v="-3.6982520000000001"/>
        <n v="-3.6943700000000002"/>
        <n v="-3.6879"/>
        <n v="-3.6827239999999999"/>
        <n v="-3.676901"/>
        <n v="-3.6756069999999998"/>
        <n v="-3.673019"/>
        <n v="-3.6717249999999999"/>
        <n v="-3.6652550000000002"/>
        <n v="-3.6633140000000002"/>
        <n v="-3.6613730000000002"/>
        <n v="-3.6607259999999999"/>
        <n v="-3.6594319999999998"/>
        <n v="-3.6555499999999999"/>
        <n v="-3.645845"/>
        <n v="-3.6451980000000002"/>
        <n v="-3.6419630000000001"/>
        <n v="-3.6413160000000002"/>
        <n v="-3.636787"/>
        <n v="-3.6316109999999999"/>
        <n v="-3.6309640000000001"/>
        <n v="-3.6264349999999999"/>
        <n v="-3.625788"/>
        <n v="-3.6244939999999999"/>
        <n v="-3.6212589999999998"/>
        <n v="-3.6199650000000001"/>
        <n v="-3.618671"/>
        <n v="-3.61673"/>
        <n v="-3.6154359999999999"/>
        <n v="-3.6115539999999999"/>
        <n v="-3.609613"/>
        <n v="-3.6083189999999998"/>
        <n v="-3.6050840000000002"/>
        <n v="-3.6044369999999999"/>
        <n v="-3.6024959999999999"/>
        <n v="-3.6018490000000001"/>
        <n v="-3.6012019999999998"/>
        <n v="-3.6005549999999999"/>
        <n v="-3.5999080000000001"/>
        <n v="-3.5973199999999999"/>
        <n v="-3.596673"/>
        <n v="-3.5940850000000002"/>
        <n v="-3.5908500000000001"/>
        <n v="-3.5902029999999998"/>
        <n v="-3.5882619999999998"/>
        <n v="-3.5850270000000002"/>
        <n v="-3.5837330000000001"/>
        <n v="-3.5817920000000001"/>
        <n v="-3.5811449999999998"/>
        <n v="-3.5798510000000001"/>
        <n v="-3.5792039999999998"/>
        <n v="-3.576616"/>
        <n v="-3.5759690000000002"/>
        <n v="-3.5753219999999999"/>
        <n v="-3.574675"/>
        <n v="-3.5740280000000002"/>
        <n v="-3.5733809999999999"/>
        <n v="-3.5714399999999999"/>
        <n v="-3.5707930000000001"/>
        <n v="-3.5701459999999998"/>
        <n v="-3.569499"/>
        <n v="-3.5649700000000002"/>
        <n v="-3.5617350000000001"/>
        <n v="-3.5585"/>
        <n v="-3.5559120000000002"/>
        <n v="-3.5552649999999999"/>
        <n v="-3.5539710000000002"/>
        <n v="-3.5526770000000001"/>
        <n v="-3.5507360000000001"/>
        <n v="-3.5487950000000001"/>
        <n v="-3.5462069999999999"/>
        <n v="-3.5449130000000002"/>
        <n v="-3.5436190000000001"/>
        <n v="-3.5423249999999999"/>
        <n v="-3.540384"/>
        <n v="-3.5397370000000001"/>
        <n v="-3.5377960000000002"/>
        <n v="-3.5332669999999999"/>
        <n v="-3.5319729999999998"/>
        <n v="-3.531326"/>
        <n v="-3.5306790000000001"/>
        <n v="-3.529385"/>
        <n v="-3.5287380000000002"/>
        <n v="-3.527444"/>
        <n v="-3.5267970000000002"/>
        <n v="-3.5261499999999999"/>
        <n v="-3.5242089999999999"/>
        <n v="-3.5229149999999998"/>
        <n v="-3.522268"/>
        <n v="-3.5190329999999999"/>
        <n v="-3.5157980000000002"/>
        <n v="-3.5132099999999999"/>
        <n v="-3.5119159999999998"/>
        <n v="-3.511269"/>
        <n v="-3.498329"/>
        <n v="-3.4925060000000001"/>
        <n v="-3.4853890000000001"/>
        <n v="-3.4614500000000001"/>
        <n v="-3.4336289999999998"/>
        <n v="-3.4096899999999999"/>
        <n v="-3.392868"/>
        <n v="-3.3896329999999999"/>
        <n v="-3.37087"/>
        <n v="-3.3579300000000001"/>
        <n v="-3.356636"/>
        <n v="-3.3488720000000001"/>
        <n v="-3.3462839999999998"/>
        <n v="-3.2984059999999999"/>
        <n v="-3.2718790000000002"/>
        <n v="-3.2699379999999998"/>
        <n v="-3.265409"/>
        <n v="-3.2628210000000002"/>
        <n v="-3.2576450000000001"/>
        <n v="-3.2097669999999998"/>
        <n v="-3.2026500000000002"/>
        <n v="-3.1832400000000001"/>
        <n v="-3.1825929999999998"/>
        <n v="-3.167065"/>
        <n v="-3.1657709999999999"/>
        <n v="-3.158007"/>
        <n v="-3.1547719999999999"/>
        <n v="-3.1411850000000001"/>
        <n v="-3.108835"/>
        <n v="-3.0946009999999999"/>
        <n v="-3.0868370000000001"/>
        <n v="-3.0661330000000002"/>
        <n v="-3.0557810000000001"/>
        <n v="-3.0467230000000001"/>
        <n v="-3.0266660000000001"/>
        <n v="-2.9871989999999999"/>
        <n v="-2.9774940000000001"/>
        <n v="-2.974259"/>
        <n v="-2.9645540000000001"/>
        <n v="-2.9535550000000002"/>
        <n v="-2.9147349999999999"/>
        <n v="-2.9134410000000002"/>
        <n v="-2.8707389999999999"/>
        <n v="-2.8603869999999998"/>
        <n v="-2.8526229999999999"/>
        <n v="-2.826743"/>
        <n v="-2.8028040000000001"/>
        <n v="-2.8008630000000001"/>
        <n v="-2.8002159999999998"/>
        <n v="-2.799569"/>
        <n v="-2.777571"/>
        <n v="-2.7711009999999998"/>
        <n v="-2.7510439999999998"/>
        <n v="-2.7258110000000002"/>
        <n v="-2.7076950000000002"/>
        <n v="-2.7025190000000001"/>
        <n v="-2.661111"/>
        <n v="-2.6546409999999998"/>
        <n v="-2.54271"/>
        <n v="-2.5304169999999999"/>
        <n v="-2.4941849999999999"/>
        <n v="-2.249619"/>
        <n v="-2.1758609999999998"/>
        <n v="-1.595502"/>
        <n v="-1.4557500000000001"/>
        <n v="-1.4337519999999999"/>
      </sharedItems>
    </cacheField>
    <cacheField name="Energjia e Jobalancit (EJBFFurnizuesiXj) [MWh]" numFmtId="0">
      <sharedItems containsSemiMixedTypes="0" containsString="0" containsNumber="1" minValue="-3.0683308410490802" maxValue="2.25121509281874" count="300">
        <n v="-3.0683308410490802"/>
        <n v="-2.42336126844019"/>
        <n v="-2.1171393670353398"/>
        <n v="-1.8076398039044399"/>
        <n v="-1.76757721845954"/>
        <n v="-1.5987675025380299"/>
        <n v="-1.4701550175007401"/>
        <n v="-1.44185100094033"/>
        <n v="-1.4410129845234101"/>
        <n v="-1.4398510436283301"/>
        <n v="-1.31331017536394"/>
        <n v="-1.30358050212915"/>
        <n v="-1.2536335250174699"/>
        <n v="-1.2394112427360999"/>
        <n v="-1.0568543358615301"/>
        <n v="-1.03111036485354"/>
        <n v="-0.99407986190369402"/>
        <n v="-0.99091539996304701"/>
        <n v="-0.961972015922399"/>
        <n v="-0.92004948455486601"/>
        <n v="-0.90351624553134602"/>
        <n v="-0.88091629299312502"/>
        <n v="-0.86338369670096804"/>
        <n v="-0.86245486589620601"/>
        <n v="-0.858898315076848"/>
        <n v="-0.83308586793409201"/>
        <n v="-0.81918924961419604"/>
        <n v="-0.79837937192999098"/>
        <n v="-0.75419031889104404"/>
        <n v="-0.728476646305939"/>
        <n v="-0.72050781042260503"/>
        <n v="-0.71575739869905897"/>
        <n v="-0.71496799890442397"/>
        <n v="-0.70469326878431904"/>
        <n v="-0.69080768949292204"/>
        <n v="-0.68728187008074904"/>
        <n v="-0.68433930584027003"/>
        <n v="-0.66516175628597696"/>
        <n v="-0.64842250392670897"/>
        <n v="-0.642484858120979"/>
        <n v="-0.638943308978972"/>
        <n v="-0.63793120885374799"/>
        <n v="-0.62317538040180798"/>
        <n v="-0.61688128319906799"/>
        <n v="-0.61538118258919505"/>
        <n v="-0.61019963924145304"/>
        <n v="-0.60092801613762903"/>
        <n v="-0.57436867327713503"/>
        <n v="-0.57394128818199996"/>
        <n v="-0.56269124357660405"/>
        <n v="-0.56219032896785803"/>
        <n v="-0.544968198597096"/>
        <n v="-0.54067103927392102"/>
        <n v="-0.53872964355226904"/>
        <n v="-0.50673441556100096"/>
        <n v="-0.50089090193878705"/>
        <n v="-0.47459150854308602"/>
        <n v="-0.47221022971605597"/>
        <n v="-0.46375358121768501"/>
        <n v="-0.46132865285249902"/>
        <n v="-0.45877595748962002"/>
        <n v="-0.45783797128646803"/>
        <n v="-0.45148523286710301"/>
        <n v="-0.44669666532184799"/>
        <n v="-0.43541985178106501"/>
        <n v="-0.43046144695032401"/>
        <n v="-0.41498492925624197"/>
        <n v="-0.41126841747514198"/>
        <n v="-0.40268033694358701"/>
        <n v="-0.39863711085621001"/>
        <n v="-0.39391884915458902"/>
        <n v="-0.392759861158826"/>
        <n v="-0.37988335896495501"/>
        <n v="-0.37209735844553199"/>
        <n v="-0.36317678036120299"/>
        <n v="-0.34459860730131497"/>
        <n v="-0.33289873560741101"/>
        <n v="-0.32577727474360602"/>
        <n v="-0.31674337701386901"/>
        <n v="-0.315741362201785"/>
        <n v="-0.31268113494368399"/>
        <n v="-0.30702761837463699"/>
        <n v="-0.305127491972429"/>
        <n v="-0.30249384692424502"/>
        <n v="-0.268055344128108"/>
        <n v="-0.264737844385183"/>
        <n v="-0.25538553294222099"/>
        <n v="-0.25398680992157502"/>
        <n v="-0.25090047943818"/>
        <n v="-0.250295059920767"/>
        <n v="-0.24076701756164501"/>
        <n v="-0.23978216263871499"/>
        <n v="-0.237658899169643"/>
        <n v="-0.235117696087426"/>
        <n v="-0.23093099628553501"/>
        <n v="-0.223354993107033"/>
        <n v="-0.22170641124629401"/>
        <n v="-0.218004191384984"/>
        <n v="-0.210931888151553"/>
        <n v="-0.203098905497231"/>
        <n v="-0.189157684984889"/>
        <n v="-0.18738181859469599"/>
        <n v="-0.182994481594876"/>
        <n v="-0.17678287450664501"/>
        <n v="-0.167455104042846"/>
        <n v="-0.15494977199724899"/>
        <n v="-0.145766404182329"/>
        <n v="-0.133088966547598"/>
        <n v="-0.13261510351303199"/>
        <n v="-0.13072646452477599"/>
        <n v="-0.129404883544672"/>
        <n v="-0.12776444805537901"/>
        <n v="-0.113000511563789"/>
        <n v="-0.10698418411518699"/>
        <n v="-0.105602676578608"/>
        <n v="-0.105058026375213"/>
        <n v="-0.10120349584546399"/>
        <n v="-9.7853332033144794E-2"/>
        <n v="-8.8580101446183404E-2"/>
        <n v="-8.6916605372365299E-2"/>
        <n v="-6.7933709391073696E-2"/>
        <n v="-6.1435921683470902E-2"/>
        <n v="-4.9878550732094698E-2"/>
        <n v="-4.9707309923827298E-2"/>
        <n v="-4.0646199926284897E-2"/>
        <n v="-3.9279490679967499E-2"/>
        <n v="-1.80074221540747E-2"/>
        <n v="-1.3632112846628601E-2"/>
        <n v="-7.1599130553924801E-3"/>
        <n v="-5.2453881547701803E-3"/>
        <n v="-2.95102456005939E-4"/>
        <n v="9.3081277638114402E-5"/>
        <n v="2.7637236545314499E-3"/>
        <n v="4.2908663858505901E-3"/>
        <n v="1.6103101029844399E-2"/>
        <n v="1.7396155748799901E-2"/>
        <n v="2.46197335896867E-2"/>
        <n v="2.7705307437662498E-2"/>
        <n v="3.64699699318837E-2"/>
        <n v="4.2701834116277301E-2"/>
        <n v="4.6996641674051501E-2"/>
        <n v="5.6220537248454397E-2"/>
        <n v="5.99894488337573E-2"/>
        <n v="6.0758033827289802E-2"/>
        <n v="6.08334092155354E-2"/>
        <n v="7.5157658309986705E-2"/>
        <n v="7.8860754290490803E-2"/>
        <n v="8.02432864346386E-2"/>
        <n v="8.2224050856725503E-2"/>
        <n v="0.10603405547825399"/>
        <n v="0.10963492009010101"/>
        <n v="0.115376182460868"/>
        <n v="0.115685804686951"/>
        <n v="0.13798989540070999"/>
        <n v="0.14332024298432799"/>
        <n v="0.143695323393675"/>
        <n v="0.16643949483110901"/>
        <n v="0.16908698928223301"/>
        <n v="0.178571542439487"/>
        <n v="0.18487805029884399"/>
        <n v="0.18730079440014499"/>
        <n v="0.19645427617068001"/>
        <n v="0.208878659243731"/>
        <n v="0.20938157924606701"/>
        <n v="0.20948022892139301"/>
        <n v="0.209641743563723"/>
        <n v="0.21925650404339"/>
        <n v="0.22368713275053301"/>
        <n v="0.22424020040688999"/>
        <n v="0.234487850484007"/>
        <n v="0.247617487639644"/>
        <n v="0.25722521896635903"/>
        <n v="0.25814887985271201"/>
        <n v="0.26136492874272099"/>
        <n v="0.28269817931193397"/>
        <n v="0.29194274140443699"/>
        <n v="0.30034357937068301"/>
        <n v="0.30309427937566802"/>
        <n v="0.30914485437199402"/>
        <n v="0.31246771848448102"/>
        <n v="0.32987427642580702"/>
        <n v="0.33060800945098601"/>
        <n v="0.33427695113177402"/>
        <n v="0.33468373832992299"/>
        <n v="0.34023163760979203"/>
        <n v="0.34067011693247601"/>
        <n v="0.34731417635925799"/>
        <n v="0.34841046090102701"/>
        <n v="0.37926253084762901"/>
        <n v="0.38420028919412003"/>
        <n v="0.38492586294833198"/>
        <n v="0.3962005141753"/>
        <n v="0.39623006435628499"/>
        <n v="0.39729275821766502"/>
        <n v="0.40682312440173801"/>
        <n v="0.41539498257116902"/>
        <n v="0.42756058244391998"/>
        <n v="0.43434327831481201"/>
        <n v="0.45851726704117401"/>
        <n v="0.45941728052658298"/>
        <n v="0.46652766529589701"/>
        <n v="0.46795197595177701"/>
        <n v="0.47429715699994102"/>
        <n v="0.48174207938531199"/>
        <n v="0.482973720459207"/>
        <n v="0.49913381606180501"/>
        <n v="0.50769230982983504"/>
        <n v="0.51952162560410897"/>
        <n v="0.53170893962386101"/>
        <n v="0.53187056295179003"/>
        <n v="0.54368989944180601"/>
        <n v="0.57776205676057402"/>
        <n v="0.58549742237513502"/>
        <n v="0.58874756919410198"/>
        <n v="0.59129751572480704"/>
        <n v="0.59376014682167699"/>
        <n v="0.59612818471209095"/>
        <n v="0.62189767233554405"/>
        <n v="0.62660335970405101"/>
        <n v="0.63706206646802399"/>
        <n v="0.64344172374049402"/>
        <n v="0.64365345288366305"/>
        <n v="0.66973643109995895"/>
        <n v="0.68204083740275201"/>
        <n v="0.68542824051786999"/>
        <n v="0.70375965074370594"/>
        <n v="0.70497147376356895"/>
        <n v="0.70800587923627001"/>
        <n v="0.70928449600238697"/>
        <n v="0.71368775085595404"/>
        <n v="0.71978004614240998"/>
        <n v="0.72870198473947401"/>
        <n v="0.73668033539379496"/>
        <n v="0.75466689804468301"/>
        <n v="0.75812514299014799"/>
        <n v="0.75910788646194705"/>
        <n v="0.75940615401988298"/>
        <n v="0.76728614765580705"/>
        <n v="0.77373504232026802"/>
        <n v="0.78100344688937895"/>
        <n v="0.81694704168193999"/>
        <n v="0.81956782161017105"/>
        <n v="0.83864731980420204"/>
        <n v="0.87284383106126395"/>
        <n v="0.91998130772530395"/>
        <n v="0.94342740063162001"/>
        <n v="0.99342404803523698"/>
        <n v="1.0379736640507999"/>
        <n v="1.05402846706639"/>
        <n v="1.05413642493675"/>
        <n v="1.07118686104275"/>
        <n v="1.0752715008862499"/>
        <n v="1.0844029070887899"/>
        <n v="1.1120932099658001"/>
        <n v="1.13248728865903"/>
        <n v="1.1405566565635199"/>
        <n v="1.1568682047611101"/>
        <n v="1.18005299778946"/>
        <n v="1.1970848317041201"/>
        <n v="1.2126663771981601"/>
        <n v="1.25647792818978"/>
        <n v="1.3143556383394801"/>
        <n v="1.3190548089921099"/>
        <n v="1.3337942356410499"/>
        <n v="1.33725654427665"/>
        <n v="1.34456671460113"/>
        <n v="1.3838317098934301"/>
        <n v="1.45733559917424"/>
        <n v="1.45767724078563"/>
        <n v="1.4721520477314101"/>
        <n v="1.47328945595946"/>
        <n v="1.4872019904799101"/>
        <n v="1.49936218017737"/>
        <n v="1.517758974753"/>
        <n v="1.5470968133871299"/>
        <n v="1.5690279747087501"/>
        <n v="1.61186479708078"/>
        <n v="1.6412139022038701"/>
        <n v="1.6454403324565401"/>
        <n v="1.7053020667718499"/>
        <n v="1.71718659205286"/>
        <n v="1.72194185466093"/>
        <n v="1.75209108097264"/>
        <n v="1.7692640292112201"/>
        <n v="1.80095496137689"/>
        <n v="1.8457354806850499"/>
        <n v="1.86202236359215"/>
        <n v="1.9019834135388101"/>
        <n v="1.9220897068210501"/>
        <n v="1.9419955262186701"/>
        <n v="1.9422288784520501"/>
        <n v="2.0127084882392099"/>
        <n v="2.0305099544498799"/>
        <n v="2.0403635928650901"/>
        <n v="2.0485112665012002"/>
        <n v="2.0537291233374502"/>
        <n v="2.0747417845607701"/>
        <n v="2.11046179363818"/>
        <n v="2.1112978488844498"/>
        <n v="2.25121509281874"/>
      </sharedItems>
    </cacheField>
    <cacheField name="NEW_x000a_Actual (abs)" numFmtId="0">
      <sharedItems containsSemiMixedTypes="0" containsString="0" containsNumber="1" minValue="2.0954641893155501" maxValue="7.7917168150490799" count="300">
        <n v="2.0954641893155501"/>
        <n v="2.1920957095812601"/>
        <n v="2.2118811775095102"/>
        <n v="2.2437723531479499"/>
        <n v="2.2497987317130499"/>
        <n v="2.2917667274231102"/>
        <n v="2.4060517533618202"/>
        <n v="2.4138495045789501"/>
        <n v="2.4170768690595099"/>
        <n v="2.4931662345972501"/>
        <n v="2.49761942126255"/>
        <n v="2.5243521011349102"/>
        <n v="2.6077198581607899"/>
        <n v="2.6180355802078501"/>
        <n v="2.6495659056392298"/>
        <n v="2.71144214895532"/>
        <n v="2.7196273900611998"/>
        <n v="2.7392937834734199"/>
        <n v="2.7404260300988001"/>
        <n v="2.7575051813149498"/>
        <n v="2.7603000189501299"/>
        <n v="2.79672664298878"/>
        <n v="2.8014104393813302"/>
        <n v="2.8168828720342001"/>
        <n v="2.84212547426859"/>
        <n v="2.8604493037471399"/>
        <n v="2.8771361636388901"/>
        <n v="2.9017659887434601"/>
        <n v="2.9088560286273601"/>
        <n v="2.9162387159988699"/>
        <n v="2.95821054413907"/>
        <n v="2.97008797415155"/>
        <n v="2.97754442801567"/>
        <n v="2.9902046772281499"/>
        <n v="2.9941735399336098"/>
        <n v="2.99910543209125"/>
        <n v="3.0006650220128699"/>
        <n v="3.0346482112143698"/>
        <n v="3.0495975856797299"/>
        <n v="3.0578765589572501"/>
        <n v="3.0640235911523699"/>
        <n v="3.0817414244405401"/>
        <n v="3.08438218180184"/>
        <n v="3.086265851247"/>
        <n v="3.0991236891547702"/>
        <n v="3.0994399841961302"/>
        <n v="3.1017548433958901"/>
        <n v="3.1029218251589499"/>
        <n v="3.12249896290658"/>
        <n v="3.1451311447192198"/>
        <n v="3.1524366083112199"/>
        <n v="3.1819488636605202"/>
        <n v="3.1957353081137501"/>
        <n v="3.1999329954078899"/>
        <n v="3.2014649489976099"/>
        <n v="3.24809230689588"/>
        <n v="3.2514624477823402"/>
        <n v="3.2626371046437201"/>
        <n v="3.2631397763233498"/>
        <n v="3.2781058883409702"/>
        <n v="3.2810050379200901"/>
        <n v="3.2813762632105399"/>
        <n v="3.28601097182576"/>
        <n v="3.28620774022263"/>
        <n v="3.3104588482394299"/>
        <n v="3.3492157979238302"/>
        <n v="3.3542606177319798"/>
        <n v="3.3609097510482102"/>
        <n v="3.36943540369001"/>
        <n v="3.3826633111727098"/>
        <n v="3.3882123025247801"/>
        <n v="3.3954151004018098"/>
        <n v="3.4060227339387401"/>
        <n v="3.41974051415459"/>
        <n v="3.42550298583649"/>
        <n v="3.43208151760633"/>
        <n v="3.4381427756700802"/>
        <n v="3.44015065218233"/>
        <n v="3.4448905125159901"/>
        <n v="3.4457489408575901"/>
        <n v="3.4540868845380501"/>
        <n v="3.4856661931898301"/>
        <n v="3.52265114278446"/>
        <n v="3.5523918701647599"/>
        <n v="3.5976136129163399"/>
        <n v="3.61691791374921"/>
        <n v="3.6321277206747"/>
        <n v="3.63500713859725"/>
        <n v="3.6385882846834701"/>
        <n v="3.6394784910632598"/>
        <n v="3.6453123831224001"/>
        <n v="3.6541103354103099"/>
        <n v="3.6591334910331499"/>
        <n v="3.6797285915616502"/>
        <n v="3.6804238802959501"/>
        <n v="3.6919346458102198"/>
        <n v="3.70222867724629"/>
        <n v="3.7071184461106199"/>
        <n v="3.7073316642751899"/>
        <n v="3.7077872122364299"/>
        <n v="3.71080036090004"/>
        <n v="3.7121335311151902"/>
        <n v="3.7146418846387199"/>
        <n v="3.72422970766053"/>
        <n v="3.7295903303746401"/>
        <n v="3.7406568283180599"/>
        <n v="3.7659611295490101"/>
        <n v="3.7674581408058998"/>
        <n v="3.7867930315581901"/>
        <n v="3.7918993301957999"/>
        <n v="3.7928034963441899"/>
        <n v="3.7952426095609999"/>
        <n v="3.8032323748874299"/>
        <n v="3.8102489404062099"/>
        <n v="3.8129533733723702"/>
        <n v="3.8258860877637302"/>
        <n v="3.8417612215391301"/>
        <n v="3.84464430532595"/>
        <n v="3.84490690268807"/>
        <n v="3.84618162237614"/>
        <n v="3.8563248509422201"/>
        <n v="3.86385018914405"/>
        <n v="3.9052555039678598"/>
        <n v="3.9054150941783199"/>
        <n v="3.91300750173209"/>
        <n v="3.9148492730494699"/>
        <n v="3.9185196837382001"/>
        <n v="3.9189815499387901"/>
        <n v="3.9297527680280102"/>
        <n v="3.9461377529242498"/>
        <n v="3.95676096468519"/>
        <n v="3.9654512289207702"/>
        <n v="3.97457135261469"/>
        <n v="3.9754314363752101"/>
        <n v="3.9758360692562902"/>
        <n v="3.98339218520006"/>
        <n v="3.9851296233603599"/>
        <n v="3.9952987564682299"/>
        <n v="3.9990557377810698"/>
        <n v="4.0098406911688897"/>
        <n v="4.0299425335130303"/>
        <n v="4.0535770269801201"/>
        <n v="4.0538146995741897"/>
        <n v="4.0584598328246999"/>
        <n v="4.0592451813683796"/>
        <n v="4.0796579487041003"/>
        <n v="4.0819553876141503"/>
        <n v="4.0958164603902096"/>
        <n v="4.0979368107539296"/>
        <n v="4.1016380614821299"/>
        <n v="4.10526949795661"/>
        <n v="4.1080290445653604"/>
        <n v="4.1313680556644599"/>
        <n v="4.1347996015623396"/>
        <n v="4.1348843365588301"/>
        <n v="4.1350126997562704"/>
        <n v="4.14639897004822"/>
        <n v="4.1471432893218498"/>
        <n v="4.1488415320675198"/>
        <n v="4.1538635296407396"/>
        <n v="4.1579896634572799"/>
        <n v="4.1687604380989702"/>
        <n v="4.1689445616990604"/>
        <n v="4.1742564879848896"/>
        <n v="4.1774858315155203"/>
        <n v="4.1779580228837201"/>
        <n v="4.1821587802553903"/>
        <n v="4.1867031855066497"/>
        <n v="4.1904172227223597"/>
        <n v="4.1945184566243299"/>
        <n v="4.1956327365407899"/>
        <n v="4.2000586822466301"/>
        <n v="4.2072913155476002"/>
        <n v="4.2111256091432701"/>
        <n v="4.2125681572560101"/>
        <n v="4.2194904838454699"/>
        <n v="4.2211532369262903"/>
        <n v="4.22196234997016"/>
        <n v="4.2264795395522698"/>
        <n v="4.2286278143612002"/>
        <n v="4.2306290721376296"/>
        <n v="4.2339929910879102"/>
        <n v="4.2399262014461803"/>
        <n v="4.2452020178293202"/>
        <n v="4.2605110279070297"/>
        <n v="4.2691853589403301"/>
        <n v="4.2786151990516696"/>
        <n v="4.2861671937515498"/>
        <n v="4.2899196571662399"/>
        <n v="4.2993929635992902"/>
        <n v="4.3060506994972299"/>
        <n v="4.3073261520138697"/>
        <n v="4.3091335345560804"/>
        <n v="4.3104155625786102"/>
        <n v="4.3376671015998598"/>
        <n v="4.3445038631503197"/>
        <n v="4.3481185902512003"/>
        <n v="4.3605542047946999"/>
        <n v="4.3961898468524998"/>
        <n v="4.4003574804362797"/>
        <n v="4.4085074952771404"/>
        <n v="4.4125261483982596"/>
        <n v="4.4232097410553797"/>
        <n v="4.4254563404751401"/>
        <n v="4.4268079934381799"/>
        <n v="4.4406962641540799"/>
        <n v="4.4473037844058796"/>
        <n v="4.4540698222017898"/>
        <n v="4.4667608316293199"/>
        <n v="4.4761845481588303"/>
        <n v="4.4763806609098999"/>
        <n v="4.5048544262859798"/>
        <n v="4.5079064327360996"/>
        <n v="4.5086478405766099"/>
        <n v="4.50947858371606"/>
        <n v="4.5269311885931103"/>
        <n v="4.5409591479011597"/>
        <n v="4.5411092350336402"/>
        <n v="4.5439560575299902"/>
        <n v="4.5461814986074103"/>
        <n v="4.5508133089724296"/>
        <n v="4.5651702133851799"/>
        <n v="4.5704428324455302"/>
        <n v="4.5714111050786101"/>
        <n v="4.5744112459340904"/>
        <n v="4.58419741448962"/>
        <n v="4.59164612954467"/>
        <n v="4.5956787760799704"/>
        <n v="4.5984783331472903"/>
        <n v="4.6020564819435901"/>
        <n v="4.6199997377436102"/>
        <n v="4.6353547998142002"/>
        <n v="4.6511654825948803"/>
        <n v="4.65689427392158"/>
        <n v="4.6664408088615303"/>
        <n v="4.6764551911281096"/>
        <n v="4.6878844575637899"/>
        <n v="4.6884482429436796"/>
        <n v="4.69099752370097"/>
        <n v="4.6936419995990697"/>
        <n v="4.6994002480428501"/>
        <n v="4.7013190053454696"/>
        <n v="4.7050927685891999"/>
        <n v="4.7087370575605103"/>
        <n v="4.7142699305430904"/>
        <n v="4.7176745712739203"/>
        <n v="4.7266562540098498"/>
        <n v="4.7488712046402703"/>
        <n v="4.7716111198562103"/>
        <n v="4.7752894213639401"/>
        <n v="4.7844629958671003"/>
        <n v="4.7993741737177702"/>
        <n v="4.8016131714288299"/>
        <n v="4.8218337651696404"/>
        <n v="4.8323795559630502"/>
        <n v="4.8440745422562399"/>
        <n v="4.8512185717843197"/>
        <n v="4.8637563889209803"/>
        <n v="4.9037173748537501"/>
        <n v="4.9135463574929199"/>
        <n v="4.9244637025955598"/>
        <n v="4.9560634190226098"/>
        <n v="4.9852287513059403"/>
        <n v="5.0024353121701699"/>
        <n v="5.0133318635548703"/>
        <n v="5.0342773935313501"/>
        <n v="5.0634605709267104"/>
        <n v="5.0798313400681199"/>
        <n v="5.08310838229621"/>
        <n v="5.0926242328910396"/>
        <n v="5.1005819845217504"/>
        <n v="5.1054963569037"/>
        <n v="5.1065530128535404"/>
        <n v="5.1088937990768502"/>
        <n v="5.1463878075234097"/>
        <n v="5.1554331673910703"/>
        <n v="5.1557050333849803"/>
        <n v="5.1709729662176898"/>
        <n v="5.1765600549789701"/>
        <n v="5.1772871800807501"/>
        <n v="5.1787949142855396"/>
        <n v="5.19369279930131"/>
        <n v="5.2016197871819996"/>
        <n v="5.2180156315971002"/>
        <n v="5.2224591962864704"/>
        <n v="5.2307958174414502"/>
        <n v="5.2899335585380296"/>
        <n v="5.4746899126283299"/>
        <n v="5.4955724361291498"/>
        <n v="5.5159281487931304"/>
        <n v="5.5280107039044299"/>
        <n v="5.5295756919649603"/>
        <n v="5.58878815050074"/>
        <n v="5.5930760024595401"/>
        <n v="5.9870447640174698"/>
        <n v="6.3207941269044401"/>
        <n v="6.6662500680353398"/>
        <n v="6.8153428434401899"/>
        <n v="6.9709995776248697"/>
        <n v="7.7917168150490799"/>
      </sharedItems>
    </cacheField>
    <cacheField name="_x000a_OLD_x000a_Predicted (abs)" numFmtId="0">
      <sharedItems containsSemiMixedTypes="0" containsString="0" containsNumber="1" minValue="1.4337519999999999" maxValue="6.9610000000000003" count="269">
        <n v="1.4337519999999999"/>
        <n v="1.4557500000000001"/>
        <n v="1.595502"/>
        <n v="2.1758609999999998"/>
        <n v="2.249619"/>
        <n v="2.4941849999999999"/>
        <n v="2.5304169999999999"/>
        <n v="2.54271"/>
        <n v="2.6546409999999998"/>
        <n v="2.661111"/>
        <n v="2.7025190000000001"/>
        <n v="2.7076950000000002"/>
        <n v="2.7258110000000002"/>
        <n v="2.7510439999999998"/>
        <n v="2.7711009999999998"/>
        <n v="2.777571"/>
        <n v="2.799569"/>
        <n v="2.8002159999999998"/>
        <n v="2.8008630000000001"/>
        <n v="2.8028040000000001"/>
        <n v="2.826743"/>
        <n v="2.8526229999999999"/>
        <n v="2.8603869999999998"/>
        <n v="2.8707389999999999"/>
        <n v="2.9134410000000002"/>
        <n v="2.9147349999999999"/>
        <n v="2.9535550000000002"/>
        <n v="2.9645540000000001"/>
        <n v="2.974259"/>
        <n v="2.9774940000000001"/>
        <n v="2.9871989999999999"/>
        <n v="3.0266660000000001"/>
        <n v="3.0467230000000001"/>
        <n v="3.0557810000000001"/>
        <n v="3.0661330000000002"/>
        <n v="3.0868370000000001"/>
        <n v="3.0946009999999999"/>
        <n v="3.108835"/>
        <n v="3.1411850000000001"/>
        <n v="3.1547719999999999"/>
        <n v="3.158007"/>
        <n v="3.1657709999999999"/>
        <n v="3.167065"/>
        <n v="3.1825929999999998"/>
        <n v="3.1832400000000001"/>
        <n v="3.2026500000000002"/>
        <n v="3.2097669999999998"/>
        <n v="3.2576450000000001"/>
        <n v="3.2628210000000002"/>
        <n v="3.265409"/>
        <n v="3.2699379999999998"/>
        <n v="3.2718790000000002"/>
        <n v="3.2984059999999999"/>
        <n v="3.3462839999999998"/>
        <n v="3.3488720000000001"/>
        <n v="3.356636"/>
        <n v="3.3579300000000001"/>
        <n v="3.37087"/>
        <n v="3.3896329999999999"/>
        <n v="3.392868"/>
        <n v="3.4096899999999999"/>
        <n v="3.4336289999999998"/>
        <n v="3.4614500000000001"/>
        <n v="3.4853890000000001"/>
        <n v="3.4925060000000001"/>
        <n v="3.498329"/>
        <n v="3.511269"/>
        <n v="3.5119159999999998"/>
        <n v="3.5132099999999999"/>
        <n v="3.5157980000000002"/>
        <n v="3.5190329999999999"/>
        <n v="3.522268"/>
        <n v="3.5229149999999998"/>
        <n v="3.5242089999999999"/>
        <n v="3.5261499999999999"/>
        <n v="3.5267970000000002"/>
        <n v="3.527444"/>
        <n v="3.5287380000000002"/>
        <n v="3.529385"/>
        <n v="3.5306790000000001"/>
        <n v="3.531326"/>
        <n v="3.5319729999999998"/>
        <n v="3.5332669999999999"/>
        <n v="3.5377960000000002"/>
        <n v="3.5397370000000001"/>
        <n v="3.540384"/>
        <n v="3.5423249999999999"/>
        <n v="3.5436190000000001"/>
        <n v="3.5449130000000002"/>
        <n v="3.5462069999999999"/>
        <n v="3.5487950000000001"/>
        <n v="3.5507360000000001"/>
        <n v="3.5526770000000001"/>
        <n v="3.5539710000000002"/>
        <n v="3.5552649999999999"/>
        <n v="3.5559120000000002"/>
        <n v="3.5585"/>
        <n v="3.5617350000000001"/>
        <n v="3.5649700000000002"/>
        <n v="3.569499"/>
        <n v="3.5701459999999998"/>
        <n v="3.5707930000000001"/>
        <n v="3.5714399999999999"/>
        <n v="3.5733809999999999"/>
        <n v="3.5740280000000002"/>
        <n v="3.574675"/>
        <n v="3.5753219999999999"/>
        <n v="3.5759690000000002"/>
        <n v="3.576616"/>
        <n v="3.5792039999999998"/>
        <n v="3.5798510000000001"/>
        <n v="3.5811449999999998"/>
        <n v="3.5817920000000001"/>
        <n v="3.5837330000000001"/>
        <n v="3.5850270000000002"/>
        <n v="3.5882619999999998"/>
        <n v="3.5902029999999998"/>
        <n v="3.5908500000000001"/>
        <n v="3.5940850000000002"/>
        <n v="3.596673"/>
        <n v="3.5973199999999999"/>
        <n v="3.5999080000000001"/>
        <n v="3.6005549999999999"/>
        <n v="3.6012019999999998"/>
        <n v="3.6018490000000001"/>
        <n v="3.6024959999999999"/>
        <n v="3.6044369999999999"/>
        <n v="3.6050840000000002"/>
        <n v="3.6083189999999998"/>
        <n v="3.609613"/>
        <n v="3.6115539999999999"/>
        <n v="3.6154359999999999"/>
        <n v="3.61673"/>
        <n v="3.618671"/>
        <n v="3.6199650000000001"/>
        <n v="3.6212589999999998"/>
        <n v="3.6244939999999999"/>
        <n v="3.625788"/>
        <n v="3.6264349999999999"/>
        <n v="3.6309640000000001"/>
        <n v="3.6316109999999999"/>
        <n v="3.636787"/>
        <n v="3.6413160000000002"/>
        <n v="3.6419630000000001"/>
        <n v="3.6451980000000002"/>
        <n v="3.645845"/>
        <n v="3.6555499999999999"/>
        <n v="3.6594319999999998"/>
        <n v="3.6607259999999999"/>
        <n v="3.6613730000000002"/>
        <n v="3.6633140000000002"/>
        <n v="3.6652550000000002"/>
        <n v="3.6717249999999999"/>
        <n v="3.673019"/>
        <n v="3.6756069999999998"/>
        <n v="3.676901"/>
        <n v="3.6827239999999999"/>
        <n v="3.6879"/>
        <n v="3.6943700000000002"/>
        <n v="3.6982520000000001"/>
        <n v="3.7008399999999999"/>
        <n v="3.7027809999999999"/>
        <n v="3.7047219999999998"/>
        <n v="3.7073100000000001"/>
        <n v="3.7254260000000001"/>
        <n v="3.7344840000000001"/>
        <n v="3.7364250000000001"/>
        <n v="3.7416010000000002"/>
        <n v="3.74613"/>
        <n v="3.7467769999999998"/>
        <n v="3.7474240000000001"/>
        <n v="3.7577759999999998"/>
        <n v="3.7590699999999999"/>
        <n v="3.7597170000000002"/>
        <n v="3.7629519999999999"/>
        <n v="3.7674810000000001"/>
        <n v="3.7681279999999999"/>
        <n v="3.773304"/>
        <n v="3.7739509999999998"/>
        <n v="3.7745980000000001"/>
        <n v="3.7778330000000002"/>
        <n v="3.7881849999999999"/>
        <n v="3.79142"/>
        <n v="3.795302"/>
        <n v="3.7991839999999999"/>
        <n v="3.8017720000000002"/>
        <n v="3.8069480000000002"/>
        <n v="3.8082419999999999"/>
        <n v="3.811477"/>
        <n v="3.8121239999999998"/>
        <n v="3.8140649999999998"/>
        <n v="3.8147120000000001"/>
        <n v="3.8257110000000001"/>
        <n v="3.8263579999999999"/>
        <n v="3.8380040000000002"/>
        <n v="3.8412389999999998"/>
        <n v="3.847709"/>
        <n v="3.8561200000000002"/>
        <n v="3.871648"/>
        <n v="3.880706"/>
        <n v="3.898822"/>
        <n v="3.9046449999999999"/>
        <n v="3.929878"/>
        <n v="3.9305249999999998"/>
        <n v="3.9324659999999998"/>
        <n v="3.9337599999999999"/>
        <n v="3.9382890000000002"/>
        <n v="3.9583460000000001"/>
        <n v="3.9648159999999999"/>
        <n v="3.9674040000000002"/>
        <n v="3.968051"/>
        <n v="3.9725799999999998"/>
        <n v="3.975168"/>
        <n v="3.988108"/>
        <n v="3.9894020000000001"/>
        <n v="4.0165759999999997"/>
        <n v="4.0236929999999997"/>
        <n v="4.026281"/>
        <n v="4.0275749999999997"/>
        <n v="4.0301629999999999"/>
        <n v="4.0631599999999999"/>
        <n v="4.066395"/>
        <n v="4.0741589999999999"/>
        <n v="4.0754530000000004"/>
        <n v="4.0767470000000001"/>
        <n v="4.0948630000000001"/>
        <n v="4.1000389999999998"/>
        <n v="4.1103909999999999"/>
        <n v="4.1226839999999996"/>
        <n v="4.1285069999999999"/>
        <n v="4.1369179999999997"/>
        <n v="4.1388590000000001"/>
        <n v="4.1640920000000001"/>
        <n v="4.1886780000000003"/>
        <n v="4.1893250000000002"/>
        <n v="4.189972"/>
        <n v="4.2184400000000002"/>
        <n v="4.2210279999999996"/>
        <n v="4.230086"/>
        <n v="4.2359090000000004"/>
        <n v="4.2456139999999998"/>
        <n v="4.2546720000000002"/>
        <n v="4.2598479999999999"/>
        <n v="4.2779639999999999"/>
        <n v="4.2967269999999997"/>
        <n v="4.3051380000000004"/>
        <n v="4.3096670000000001"/>
        <n v="4.346546"/>
        <n v="4.3666029999999996"/>
        <n v="4.3840719999999997"/>
        <n v="4.3873069999999998"/>
        <n v="4.4028349999999996"/>
        <n v="4.404776"/>
        <n v="4.4306559999999999"/>
        <n v="4.4390669999999997"/>
        <n v="4.4429489999999996"/>
        <n v="4.4507130000000004"/>
        <n v="4.4636529999999999"/>
        <n v="4.481122"/>
        <n v="4.4869450000000004"/>
        <n v="4.5374109999999996"/>
        <n v="4.5535860000000001"/>
        <n v="4.6150510000000002"/>
        <n v="4.6163449999999999"/>
        <n v="4.6901029999999997"/>
        <n v="4.6926909999999999"/>
        <n v="4.7664489999999997"/>
        <n v="4.9864290000000002"/>
        <n v="6.9610000000000003"/>
      </sharedItems>
    </cacheField>
    <cacheField name="DELTA (ABS)" numFmtId="0">
      <sharedItems containsSemiMixedTypes="0" containsString="0" containsNumber="1" minValue="6.7671716819401899E-3" maxValue="3.0990258150490799" count="300">
        <n v="6.7671716819401899E-3"/>
        <n v="9.9995776248649193E-3"/>
        <n v="1.211791223627E-2"/>
        <n v="1.6006312170169699E-2"/>
        <n v="1.8475552217659601E-2"/>
        <n v="2.87531298352399E-2"/>
        <n v="3.42693357248103E-2"/>
        <n v="3.4482553889380298E-2"/>
        <n v="3.65532540098501E-2"/>
        <n v="3.8478061482130101E-2"/>
        <n v="4.5958069256290202E-2"/>
        <n v="5.0982720674700201E-2"/>
        <n v="5.7209055664460003E-2"/>
        <n v="5.83194963441898E-2"/>
        <n v="6.3471940406210098E-2"/>
        <n v="8.8806669804200003E-2"/>
        <n v="9.0949806810169995E-2"/>
        <n v="0.10607418914404999"/>
        <n v="0.11024536090004"/>
        <n v="0.11334013094049"/>
        <n v="0.11758421223642999"/>
        <n v="0.13596770766053001"/>
        <n v="0.13633323503364"/>
        <n v="0.14018490268806999"/>
        <n v="0.14464301416351"/>
        <n v="0.15699697004822"/>
        <n v="0.16546973654079"/>
        <n v="0.17003383162932001"/>
        <n v="0.17194086140275"/>
        <n v="0.18206951251598999"/>
        <n v="0.18529724895179001"/>
        <n v="0.18952064738530999"/>
        <n v="0.19203697301987999"/>
        <n v="0.19503488029595001"/>
        <n v="0.19643539168877999"/>
        <n v="0.19658378347342001"/>
        <n v="0.19659533655882999"/>
        <n v="0.19768838708365999"/>
        <n v="0.20186819905167"/>
        <n v="0.20507400891208999"/>
        <n v="0.20909453455608101"/>
        <n v="0.21116811546195"/>
        <n v="0.21700162336036"/>
        <n v="0.21871881863161999"/>
        <n v="0.22179205756050999"/>
        <n v="0.22632522153913001"/>
        <n v="0.22650042801567"/>
        <n v="0.22927137762385999"/>
        <n v="0.23036769975627"/>
        <n v="0.23274883282469999"/>
        <n v="0.23362149795661"/>
        <n v="0.25404512954900998"/>
        <n v="0.25424814080590002"/>
        <n v="0.25729126606126002"/>
        <n v="0.25934903155819"/>
        <n v="0.26121959115236998"/>
        <n v="0.26562969957419003"/>
        <n v="0.26627310507861002"/>
        <n v="0.28812761773197998"/>
        <n v="0.28969481075393"/>
        <n v="0.29067605914241001"/>
        <n v="0.29102218859311002"/>
        <n v="0.29859522367664998"/>
        <n v="0.30182494870409998"/>
        <n v="0.30811870259556001"/>
        <n v="0.31209324804284999"/>
        <n v="0.31475165716623998"/>
        <n v="0.31861168373819998"/>
        <n v="0.32982227304946998"/>
        <n v="0.33030526415408001"/>
        <n v="0.33065384339588999"/>
        <n v="0.33796017142883"/>
        <n v="0.33863033314729002"/>
        <n v="0.34071176516964002"/>
        <n v="0.34239200459211"/>
        <n v="0.35163414790115999"/>
        <n v="0.35426496468518998"/>
        <n v="0.35469543809896997"/>
        <n v="0.35558614278445999"/>
        <n v="0.35564219375154998"/>
        <n v="0.35575525977736999"/>
        <n v="0.35599731117271"/>
        <n v="0.36583402288372002"/>
        <n v="0.36795618520006002"/>
        <n v="0.36871817371776999"/>
        <n v="0.37119008625078997"/>
        <n v="0.37934973678945999"/>
        <n v="0.38120609417832002"/>
        <n v="0.38223640369001"/>
        <n v="0.38326711165902999"/>
        <n v="0.38403141432026999"/>
        <n v="0.39589596207991001"/>
        <n v="0.39595014839825998"/>
        <n v="0.39685115176057001"/>
        <n v="0.40295576802800998"/>
        <n v="0.40688603709342003"/>
        <n v="0.41482902817424"/>
        <n v="0.42102278440587998"/>
        <n v="0.42363269310412"/>
        <n v="0.43398731554760001"/>
        <n v="0.43451869116889003"/>
        <n v="0.44448268915477002"/>
        <n v="0.44656485104468002"/>
        <n v="0.45616738761414999"/>
        <n v="0.45930585528078"/>
        <n v="0.45979653351303101"/>
        <n v="0.46369669188625001"/>
        <n v="0.46420546039020999"/>
        <n v="0.46589165218232997"/>
        <n v="0.46659748043628002"/>
        <n v="0.47123300534547002"/>
        <n v="0.47238375646823"/>
        <n v="0.47458801580387"/>
        <n v="0.47847679792383002"/>
        <n v="0.48553098452174998"/>
        <n v="0.48940953206752003"/>
        <n v="0.49678705100239001"/>
        <n v="0.49743950893673999"/>
        <n v="0.50077513633948001"/>
        <n v="0.50081577607996997"/>
        <n v="0.51667366345728005"/>
        <n v="0.51803466090990002"/>
        <n v="0.51803527392158"/>
        <n v="0.52316256790875004"/>
        <n v="0.52648060156234"/>
        <n v="0.53616983151552"/>
        <n v="0.54292317484105002"/>
        <n v="0.54635033037463998"/>
        <n v="0.55494210464371996"/>
        <n v="0.56345657555946005"/>
        <n v="0.56355445662433001"/>
        <n v="0.56520045756379"/>
        <n v="0.56708974105538001"/>
        <n v="0.57923530532595002"/>
        <n v="0.57929104456535996"/>
        <n v="0.57929432277185"/>
        <n v="0.60241297137264005"/>
        <n v="0.60295515725601001"/>
        <n v="0.60580688463872001"/>
        <n v="0.60810414875300001"/>
        <n v="0.60862522272235997"/>
        <n v="0.61347952964074004"/>
        <n v="0.61380560914326998"/>
        <n v="0.61637917750950999"/>
        <n v="0.61887751415459002"/>
        <n v="0.62576997798712997"/>
        <n v="0.62914743637520998"/>
        <n v="0.63255628400112995"/>
        <n v="0.632732185506649"/>
        <n v="0.63727977567007998"/>
        <n v="0.64487148798489002"/>
        <n v="0.65102446006639003"/>
        <n v="0.65116934997015996"/>
        <n v="0.65471478025538998"/>
        <n v="0.66109428468346998"/>
        <n v="0.66808568224663001"/>
        <n v="0.66960410040180995"/>
        <n v="0.67266178878562999"/>
        <n v="0.67753423692629"/>
        <n v="0.68670201782932005"/>
        <n v="0.68816448384547002"/>
        <n v="0.70184044104275001"/>
        <n v="0.70484869949722995"/>
        <n v="0.70499203338497995"/>
        <n v="0.70521554225623995"/>
        <n v="0.70863137488743"/>
        <n v="0.70905119112810899"/>
        <n v="0.70918996359928999"/>
        <n v="0.71306683636111001"/>
        <n v="0.71322834006811997"/>
        <n v="0.71496401125653997"/>
        <n v="0.71701120144618102"/>
        <n v="0.72046897415154998"/>
        <n v="0.72267534047514004"/>
        <n v="0.73041450173208999"/>
        <n v="0.73838212796580005"/>
        <n v="0.74066933541030999"/>
        <n v="0.7430345902512"/>
        <n v="0.74393712954466995"/>
        <n v="0.74398769625285999"/>
        <n v="0.75259816739107099"/>
        <n v="0.75568422892077003"/>
        <n v="0.76076999586710103"/>
        <n v="0.76241315201387005"/>
        <n v="0.76312669196496097"/>
        <n v="0.76499359156165003"/>
        <n v="0.76622710159985996"/>
        <n v="0.77097051760632995"/>
        <n v="0.7787016099388"/>
        <n v="0.78036675292424995"/>
        <n v="0.78103056257861003"/>
        <n v="0.78921328932184998"/>
        <n v="0.79412335701122005"/>
        <n v="0.79874649103314999"/>
        <n v="0.80528773774360995"/>
        <n v="0.80813699343818002"/>
        <n v="0.80960185094222004"/>
        <n v="0.80962079930131003"/>
        <n v="0.81604673171304998"/>
        <n v="0.81716981868505001"/>
        <n v="0.81774621338518005"/>
        <n v="0.82093907213762995"/>
        <n v="0.82431283244553"/>
        <n v="0.84152120479470005"/>
        <n v="0.84356145586093001"/>
        <n v="0.84547635418977996"/>
        <n v="0.84839937337237004"/>
        <n v="0.85787073778107004"/>
        <n v="0.86291330897243002"/>
        <n v="0.86551084685250002"/>
        <n v="0.86764302790702996"/>
        <n v="0.87110054815882998"/>
        <n v="0.87548567724629001"/>
        <n v="0.87591319628647002"/>
        <n v="0.87648698104987"/>
        <n v="0.87721448259488"/>
        <n v="0.89402730252478002"/>
        <n v="0.89880482220179003"/>
        <n v="0.9083486315971"/>
        <n v="0.91191753111519003"/>
        <n v="0.913850242943679"/>
        <n v="0.92188805497896997"/>
        <n v="0.92401556061866996"/>
        <n v="0.93647496990120005"/>
        <n v="0.95228309436076997"/>
        <n v="0.95472257127392102"/>
        <n v="0.95776691428553995"/>
        <n v="0.96542654993878996"/>
        <n v="0.96569741979214996"/>
        <n v="0.97057505752998996"/>
        <n v="0.97098281436120004"/>
        <n v="0.97148414183920995"/>
        <n v="0.97442470390443003"/>
        <n v="0.98201281819816"/>
        <n v="0.98423252573140996"/>
        <n v="0.98526958371605999"/>
        <n v="0.99144589886509005"/>
        <n v="0.99350449860740997"/>
        <n v="1.0123484262859801"/>
        <n v="1.0153897998142001"/>
        <n v="1.03741623459725"/>
        <n v="1.0460978631503199"/>
        <n v="1.0580474144896199"/>
        <n v="1.0642604819435899"/>
        <n v="1.0717075395522699"/>
        <n v="1.07899657873745"/>
        <n v="1.0794435237009701"/>
        <n v="1.092723609561"/>
        <n v="1.09564780886153"/>
        <n v="1.1122973748537499"/>
        <n v="1.12768450396786"/>
        <n v="1.1351419995990699"/>
        <n v="1.1363137990768499"/>
        <n v="1.1385020128535399"/>
        <n v="1.14458641902261"/>
        <n v="1.1503521198562101"/>
        <n v="1.1511204954210501"/>
        <n v="1.15835793054309"/>
        <n v="1.1737992466381799"/>
        <n v="1.1892947685891999"/>
        <n v="1.20354124593409"/>
        <n v="1.20913420464027"/>
        <n v="1.2222215709267099"/>
        <n v="1.23850696621769"/>
        <n v="1.24585086355487"/>
        <n v="1.25896927257689"/>
        <n v="1.2659798174414501"/>
        <n v="1.2678597871820001"/>
        <n v="1.2752073935313499"/>
        <n v="1.2991125559630501"/>
        <n v="1.30242357178432"/>
        <n v="1.3059978405766099"/>
        <n v="1.3138394213639399"/>
        <n v="1.31632156169906"/>
        <n v="1.3175493889209799"/>
        <n v="1.32967875130594"/>
        <n v="1.3375773574929199"/>
        <n v="1.3527264952771401"/>
        <n v="1.3529006468520499"/>
        <n v="1.3874211487931301"/>
        <n v="1.4019892904187401"/>
        <n v="1.41960523289104"/>
        <n v="1.4210694327361"/>
        <n v="1.44711491262833"/>
        <n v="1.4694513831224001"/>
        <n v="1.4696163589403299"/>
        <n v="1.50168018008075"/>
        <n v="1.52902981068445"/>
        <n v="1.5369013822962101"/>
        <n v="1.54409576401747"/>
        <n v="1.5657593569037001"/>
        <n v="1.6899661505007399"/>
        <n v="1.6963884361291499"/>
        <n v="1.87450880752341"/>
        <n v="1.9332975585380301"/>
        <n v="2.1308221269044401"/>
        <n v="2.2034430024595402"/>
        <n v="2.4478100680353401"/>
        <n v="2.62666484344019"/>
        <n v="3.0990258150490799"/>
      </sharedItems>
    </cacheField>
    <cacheField name="\=(new-old)/old" numFmtId="0">
      <sharedItems containsSemiMixedTypes="0" containsString="0" containsNumber="1" minValue="1.4365145273473501E-3" maxValue="0.71263351165876598" count="300">
        <n v="1.4365145273473501E-3"/>
        <n v="1.8058195928561901E-3"/>
        <n v="3.1573474744345398E-3"/>
        <n v="3.2099749480369701E-3"/>
        <n v="5.65012309642101E-3"/>
        <n v="7.7936996287398998E-3"/>
        <n v="8.0290325678621707E-3"/>
        <n v="9.1590032514976896E-3"/>
        <n v="9.2159890617355706E-3"/>
        <n v="9.4699843181488795E-3"/>
        <n v="1.16945282414096E-2"/>
        <n v="1.40419300435884E-2"/>
        <n v="1.4236430157029601E-2"/>
        <n v="1.56164804412587E-2"/>
        <n v="1.6940410493126602E-2"/>
        <n v="2.28841529876786E-2"/>
        <n v="2.5429010777274101E-2"/>
        <n v="2.8227917029659499E-2"/>
        <n v="3.0618990933353799E-2"/>
        <n v="3.0951229990728399E-2"/>
        <n v="3.27514105014204E-2"/>
        <n v="3.7839520128113799E-2"/>
        <n v="3.7892357821286901E-2"/>
        <n v="3.93535096358359E-2"/>
        <n v="3.9572872940104697E-2"/>
        <n v="4.0514593566625699E-2"/>
        <n v="4.1057827323806299E-2"/>
        <n v="4.4791088164715297E-2"/>
        <n v="4.5165014442737898E-2"/>
        <n v="4.5231849390896799E-2"/>
        <n v="4.5513078814135799E-2"/>
        <n v="4.61975475729677E-2"/>
        <n v="4.9430527354472398E-2"/>
        <n v="4.95169798497841E-2"/>
        <n v="4.9918971553084598E-2"/>
        <n v="5.0998181860240799E-2"/>
        <n v="5.1126848807428002E-2"/>
        <n v="5.2087656551089601E-2"/>
        <n v="5.2252237094955301E-2"/>
        <n v="5.5801256800784599E-2"/>
        <n v="5.5957851561461103E-2"/>
        <n v="5.6256660946368699E-2"/>
        <n v="5.7588708069459503E-2"/>
        <n v="5.76134854087769E-2"/>
        <n v="5.8657181190796402E-2"/>
        <n v="5.8998372388852E-2"/>
        <n v="6.0341616272091399E-2"/>
        <n v="6.0838059337127298E-2"/>
        <n v="6.1850074278363899E-2"/>
        <n v="6.2599703476740196E-2"/>
        <n v="6.6745163672897803E-2"/>
        <n v="6.8703597880197503E-2"/>
        <n v="7.0120572140535201E-2"/>
        <n v="7.0234565221890297E-2"/>
        <n v="7.1135493377337405E-2"/>
        <n v="7.2338042694931798E-2"/>
        <n v="7.2369183967340003E-2"/>
        <n v="7.3523217252547193E-2"/>
        <n v="7.57138091668038E-2"/>
        <n v="7.60326911808345E-2"/>
        <n v="7.6070483638889894E-2"/>
        <n v="7.7312703168437094E-2"/>
        <n v="7.7795234520272705E-2"/>
        <n v="7.9179460381609695E-2"/>
        <n v="7.9493524920909997E-2"/>
        <n v="7.9893671505358602E-2"/>
        <n v="8.0358599499189901E-2"/>
        <n v="8.2332535581281896E-2"/>
        <n v="8.3219770101259805E-2"/>
        <n v="8.3834205429840394E-2"/>
        <n v="8.3935752872158695E-2"/>
        <n v="8.8505507290240606E-2"/>
        <n v="9.0482109578630204E-2"/>
        <n v="9.1999941157895504E-2"/>
        <n v="9.2996694628689702E-2"/>
        <n v="9.3074231252211495E-2"/>
        <n v="9.3199378605272096E-2"/>
        <n v="9.3971010954833303E-2"/>
        <n v="9.5965929461823002E-2"/>
        <n v="9.6657422622743405E-2"/>
        <n v="9.7682282817637495E-2"/>
        <n v="9.83387530992922E-2"/>
        <n v="9.8579025617407098E-2"/>
        <n v="0.101773668570003"/>
        <n v="0.103626913565631"/>
        <n v="0.104568653903163"/>
        <n v="0.104678521324931"/>
        <n v="0.10520598461896701"/>
        <n v="0.10704558069343401"/>
        <n v="0.107671096415136"/>
        <n v="0.108167845374189"/>
        <n v="0.111400336859692"/>
        <n v="0.111844178366465"/>
        <n v="0.112090505986274"/>
        <n v="0.112276237710456"/>
        <n v="0.114255447089245"/>
        <n v="0.115015200351628"/>
        <n v="0.115285251422961"/>
        <n v="0.115377021183265"/>
        <n v="0.11762028290293999"/>
        <n v="0.118613611515771"/>
        <n v="0.119322191214211"/>
        <n v="0.12024398572481899"/>
        <n v="0.121532743391754"/>
        <n v="0.122303426532211"/>
        <n v="0.12516378884170101"/>
        <n v="0.12581193043116401"/>
        <n v="0.126712749925741"/>
        <n v="0.12742790490741901"/>
        <n v="0.12782356380961701"/>
        <n v="0.12795813191220701"/>
        <n v="0.12878928018995101"/>
        <n v="0.130871495546347"/>
        <n v="0.13278799601006799"/>
        <n v="0.13373920654012"/>
        <n v="0.13408888845408601"/>
        <n v="0.13433023249967499"/>
        <n v="0.135979545667684"/>
        <n v="0.137095265502714"/>
        <n v="0.14140717580571599"/>
        <n v="0.14189201471591001"/>
        <n v="0.14590744376047099"/>
        <n v="0.147062264933503"/>
        <n v="0.14724616910905799"/>
        <n v="0.148530028921352"/>
        <n v="0.14891559428364401"/>
        <n v="0.15457502598198"/>
        <n v="0.15520794384751099"/>
        <n v="0.15664125154612599"/>
        <n v="0.158399796478673"/>
        <n v="0.16010381983840699"/>
        <n v="0.16229009246727699"/>
        <n v="0.16333711584683"/>
        <n v="0.16416380149655799"/>
        <n v="0.16460293602237899"/>
        <n v="0.16667373729336901"/>
        <n v="0.16704149648618999"/>
        <n v="0.167436082376024"/>
        <n v="0.16992198952992299"/>
        <n v="0.17038887825273599"/>
        <n v="0.17062858159498601"/>
        <n v="0.170934901578432"/>
        <n v="0.171565599608756"/>
        <n v="0.171633408217614"/>
        <n v="0.17255789170001101"/>
        <n v="0.17328050562897701"/>
        <n v="0.177385223512873"/>
        <n v="0.178035269704408"/>
        <n v="0.17824537173917601"/>
        <n v="0.17859783201526799"/>
        <n v="0.178719180382968"/>
        <n v="0.181442012884176"/>
        <n v="0.18235987075424301"/>
        <n v="0.18271497385093699"/>
        <n v="0.18467324425814999"/>
        <n v="0.185606002605681"/>
        <n v="0.186334531782503"/>
        <n v="0.18667374194460601"/>
        <n v="0.18801375985278401"/>
        <n v="0.18907257483786699"/>
        <n v="0.18915367763191501"/>
        <n v="0.191198386995409"/>
        <n v="0.19297513498084001"/>
        <n v="0.19334547637169899"/>
        <n v="0.19486620699995799"/>
        <n v="0.19487424379552201"/>
        <n v="0.19517096487076699"/>
        <n v="0.195725954694358"/>
        <n v="0.19753478106928499"/>
        <n v="0.19768244000977001"/>
        <n v="0.198614628855557"/>
        <n v="0.201519366477766"/>
        <n v="0.203527817573283"/>
        <n v="0.204950005315856"/>
        <n v="0.20610742780229299"/>
        <n v="0.206408850051439"/>
        <n v="0.20768694540795099"/>
        <n v="0.210770027381952"/>
        <n v="0.21110053334133899"/>
        <n v="0.21399062275411601"/>
        <n v="0.21454290191067299"/>
        <n v="0.215072457917548"/>
        <n v="0.216676645104246"/>
        <n v="0.21821555644228799"/>
        <n v="0.220043840562269"/>
        <n v="0.22095958072729299"/>
        <n v="0.221151915844778"/>
        <n v="0.22129367087427601"/>
        <n v="0.221886387679463"/>
        <n v="0.222030433876096"/>
        <n v="0.22259244626185901"/>
        <n v="0.22332425175932799"/>
        <n v="0.226903710253885"/>
        <n v="0.227529791949866"/>
        <n v="0.22859975205719399"/>
        <n v="0.22898957729524"/>
        <n v="0.229502956153079"/>
        <n v="0.23243928779013701"/>
        <n v="0.233985007449342"/>
        <n v="0.23502970262091499"/>
        <n v="0.23543273668174899"/>
        <n v="0.23913421806351201"/>
        <n v="0.24076648379695201"/>
        <n v="0.24100586068138599"/>
        <n v="0.24149469448938399"/>
        <n v="0.24163113762642599"/>
        <n v="0.24210531636579199"/>
        <n v="0.24514005573786199"/>
        <n v="0.245653165388873"/>
        <n v="0.24650132714092199"/>
        <n v="0.24802950336919"/>
        <n v="0.25280951552184899"/>
        <n v="0.25371638311461903"/>
        <n v="0.25422493038654798"/>
        <n v="0.25469137458452101"/>
        <n v="0.25572554779821499"/>
        <n v="0.25722436994432002"/>
        <n v="0.262457338852982"/>
        <n v="0.26438728951734702"/>
        <n v="0.26572873574073602"/>
        <n v="0.26946689940130902"/>
        <n v="0.27142463571207798"/>
        <n v="0.27161253096996701"/>
        <n v="0.27310417494705502"/>
        <n v="0.279244204030135"/>
        <n v="0.27957183689050702"/>
        <n v="0.27964954275533899"/>
        <n v="0.28049713182701902"/>
        <n v="0.28199740112062499"/>
        <n v="0.28603924881987203"/>
        <n v="0.28618111640818999"/>
        <n v="0.286917182479141"/>
        <n v="0.28971753437054099"/>
        <n v="0.28986304570013"/>
        <n v="0.29337223912247901"/>
        <n v="0.29806280744562502"/>
        <n v="0.29888616470942098"/>
        <n v="0.30005740382275797"/>
        <n v="0.30029996744637399"/>
        <n v="0.30082584805443502"/>
        <n v="0.30168085663583999"/>
        <n v="0.30683599101419001"/>
        <n v="0.30971534279780399"/>
        <n v="0.314944100271353"/>
        <n v="0.31715254676056398"/>
        <n v="0.31766634749301498"/>
        <n v="0.31818420330698199"/>
        <n v="0.31899452005032097"/>
        <n v="0.31930354837184199"/>
        <n v="0.32026266410069998"/>
        <n v="0.32230227242688902"/>
        <n v="0.32289766685864102"/>
        <n v="0.325659710220635"/>
        <n v="0.325755510975268"/>
        <n v="0.32686933202150897"/>
        <n v="0.32789053137635699"/>
        <n v="0.33068537400848602"/>
        <n v="0.33605880982958802"/>
        <n v="0.338271643760306"/>
        <n v="0.33923480901695002"/>
        <n v="0.33970998206915398"/>
        <n v="0.34158871256262002"/>
        <n v="0.34753848491564299"/>
        <n v="0.35456572174807999"/>
        <n v="0.35704172689367802"/>
        <n v="0.35844466329673902"/>
        <n v="0.35930179143239599"/>
        <n v="0.36374246045217301"/>
        <n v="0.36700445412719501"/>
        <n v="0.36768026757192301"/>
        <n v="0.37153764259136002"/>
        <n v="0.37404612777485602"/>
        <n v="0.37615336363690899"/>
        <n v="0.37956331056752002"/>
        <n v="0.38632303658002898"/>
        <n v="0.386495477668655"/>
        <n v="0.39008239660963601"/>
        <n v="0.40433521820235202"/>
        <n v="0.40599664381859502"/>
        <n v="0.40778662687980399"/>
        <n v="0.40855297644191801"/>
        <n v="0.421860212952332"/>
        <n v="0.43339302592776002"/>
        <n v="0.43345557978813598"/>
        <n v="0.44233776602716401"/>
        <n v="0.44267782778842302"/>
        <n v="0.44651389249090201"/>
        <n v="0.46036426048285001"/>
        <n v="0.461442525598041"/>
        <n v="0.50855283207249102"/>
        <n v="0.52494378918338103"/>
        <n v="0.56916867890196399"/>
        <n v="0.57291507648156004"/>
        <n v="0.57596282663298404"/>
        <n v="0.58026428443579603"/>
        <n v="0.62708683824352096"/>
        <n v="0.65005356109630297"/>
        <n v="0.66039417789261601"/>
        <n v="0.67534248884574799"/>
        <n v="0.71263351165876598"/>
      </sharedItems>
    </cacheField>
    <cacheField name="Frekuenca" numFmtId="0">
      <sharedItems count="7">
        <s v="a) 0-4.99%"/>
        <s v="b) 5-9.99%"/>
        <s v="c) 10-19.99%"/>
        <s v="d) 20-29.99%"/>
        <s v="e) 30-39.99%"/>
        <s v="f) 40-49.99%"/>
        <s v="g) Above 50%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20">
  <r>
    <x v="24"/>
    <x v="20"/>
    <x v="9"/>
    <x v="366"/>
    <x v="1"/>
    <x v="710"/>
    <x v="280"/>
    <x v="718"/>
    <x v="719"/>
    <x v="6"/>
  </r>
  <r>
    <x v="27"/>
    <x v="8"/>
    <x v="705"/>
    <x v="645"/>
    <x v="271"/>
    <x v="14"/>
    <x v="1"/>
    <x v="648"/>
    <x v="718"/>
    <x v="6"/>
  </r>
  <r>
    <x v="20"/>
    <x v="16"/>
    <x v="511"/>
    <x v="643"/>
    <x v="26"/>
    <x v="208"/>
    <x v="3"/>
    <x v="702"/>
    <x v="717"/>
    <x v="6"/>
  </r>
  <r>
    <x v="29"/>
    <x v="16"/>
    <x v="0"/>
    <x v="136"/>
    <x v="0"/>
    <x v="719"/>
    <x v="510"/>
    <x v="719"/>
    <x v="716"/>
    <x v="6"/>
  </r>
  <r>
    <x v="23"/>
    <x v="13"/>
    <x v="73"/>
    <x v="526"/>
    <x v="6"/>
    <x v="646"/>
    <x v="120"/>
    <x v="715"/>
    <x v="715"/>
    <x v="6"/>
  </r>
  <r>
    <x v="29"/>
    <x v="15"/>
    <x v="5"/>
    <x v="211"/>
    <x v="2"/>
    <x v="714"/>
    <x v="435"/>
    <x v="717"/>
    <x v="714"/>
    <x v="6"/>
  </r>
  <r>
    <x v="29"/>
    <x v="14"/>
    <x v="7"/>
    <x v="203"/>
    <x v="4"/>
    <x v="712"/>
    <x v="443"/>
    <x v="716"/>
    <x v="713"/>
    <x v="6"/>
  </r>
  <r>
    <x v="21"/>
    <x v="12"/>
    <x v="104"/>
    <x v="533"/>
    <x v="7"/>
    <x v="615"/>
    <x v="113"/>
    <x v="712"/>
    <x v="712"/>
    <x v="6"/>
  </r>
  <r>
    <x v="21"/>
    <x v="11"/>
    <x v="127"/>
    <x v="551"/>
    <x v="10"/>
    <x v="592"/>
    <x v="95"/>
    <x v="711"/>
    <x v="711"/>
    <x v="6"/>
  </r>
  <r>
    <x v="20"/>
    <x v="8"/>
    <x v="715"/>
    <x v="646"/>
    <x v="425"/>
    <x v="4"/>
    <x v="0"/>
    <x v="587"/>
    <x v="710"/>
    <x v="6"/>
  </r>
  <r>
    <x v="3"/>
    <x v="7"/>
    <x v="306"/>
    <x v="621"/>
    <x v="9"/>
    <x v="413"/>
    <x v="25"/>
    <x v="703"/>
    <x v="709"/>
    <x v="6"/>
  </r>
  <r>
    <x v="20"/>
    <x v="17"/>
    <x v="393"/>
    <x v="635"/>
    <x v="19"/>
    <x v="326"/>
    <x v="11"/>
    <x v="696"/>
    <x v="708"/>
    <x v="6"/>
  </r>
  <r>
    <x v="29"/>
    <x v="13"/>
    <x v="21"/>
    <x v="209"/>
    <x v="5"/>
    <x v="698"/>
    <x v="437"/>
    <x v="713"/>
    <x v="707"/>
    <x v="6"/>
  </r>
  <r>
    <x v="1"/>
    <x v="14"/>
    <x v="343"/>
    <x v="615"/>
    <x v="59"/>
    <x v="376"/>
    <x v="31"/>
    <x v="689"/>
    <x v="706"/>
    <x v="5"/>
  </r>
  <r>
    <x v="2"/>
    <x v="16"/>
    <x v="252"/>
    <x v="591"/>
    <x v="15"/>
    <x v="467"/>
    <x v="55"/>
    <x v="700"/>
    <x v="705"/>
    <x v="5"/>
  </r>
  <r>
    <x v="21"/>
    <x v="14"/>
    <x v="86"/>
    <x v="323"/>
    <x v="13"/>
    <x v="633"/>
    <x v="323"/>
    <x v="710"/>
    <x v="704"/>
    <x v="5"/>
  </r>
  <r>
    <x v="23"/>
    <x v="10"/>
    <x v="276"/>
    <x v="594"/>
    <x v="95"/>
    <x v="443"/>
    <x v="52"/>
    <x v="694"/>
    <x v="703"/>
    <x v="5"/>
  </r>
  <r>
    <x v="21"/>
    <x v="13"/>
    <x v="135"/>
    <x v="475"/>
    <x v="22"/>
    <x v="584"/>
    <x v="171"/>
    <x v="708"/>
    <x v="702"/>
    <x v="5"/>
  </r>
  <r>
    <x v="29"/>
    <x v="17"/>
    <x v="2"/>
    <x v="100"/>
    <x v="3"/>
    <x v="717"/>
    <x v="546"/>
    <x v="714"/>
    <x v="701"/>
    <x v="5"/>
  </r>
  <r>
    <x v="23"/>
    <x v="14"/>
    <x v="74"/>
    <x v="286"/>
    <x v="8"/>
    <x v="645"/>
    <x v="360"/>
    <x v="709"/>
    <x v="700"/>
    <x v="5"/>
  </r>
  <r>
    <x v="24"/>
    <x v="12"/>
    <x v="139"/>
    <x v="470"/>
    <x v="37"/>
    <x v="580"/>
    <x v="176"/>
    <x v="706"/>
    <x v="699"/>
    <x v="5"/>
  </r>
  <r>
    <x v="13"/>
    <x v="7"/>
    <x v="719"/>
    <x v="409"/>
    <x v="718"/>
    <x v="0"/>
    <x v="237"/>
    <x v="705"/>
    <x v="698"/>
    <x v="5"/>
  </r>
  <r>
    <x v="25"/>
    <x v="13"/>
    <x v="122"/>
    <x v="376"/>
    <x v="68"/>
    <x v="597"/>
    <x v="270"/>
    <x v="704"/>
    <x v="697"/>
    <x v="5"/>
  </r>
  <r>
    <x v="21"/>
    <x v="10"/>
    <x v="249"/>
    <x v="567"/>
    <x v="99"/>
    <x v="470"/>
    <x v="79"/>
    <x v="687"/>
    <x v="696"/>
    <x v="5"/>
  </r>
  <r>
    <x v="1"/>
    <x v="13"/>
    <x v="432"/>
    <x v="622"/>
    <x v="100"/>
    <x v="287"/>
    <x v="24"/>
    <x v="662"/>
    <x v="695"/>
    <x v="5"/>
  </r>
  <r>
    <x v="1"/>
    <x v="12"/>
    <x v="462"/>
    <x v="629"/>
    <x v="115"/>
    <x v="257"/>
    <x v="17"/>
    <x v="658"/>
    <x v="694"/>
    <x v="5"/>
  </r>
  <r>
    <x v="13"/>
    <x v="8"/>
    <x v="718"/>
    <x v="432"/>
    <x v="719"/>
    <x v="1"/>
    <x v="214"/>
    <x v="698"/>
    <x v="693"/>
    <x v="4"/>
  </r>
  <r>
    <x v="25"/>
    <x v="12"/>
    <x v="137"/>
    <x v="378"/>
    <x v="53"/>
    <x v="582"/>
    <x v="268"/>
    <x v="699"/>
    <x v="692"/>
    <x v="4"/>
  </r>
  <r>
    <x v="20"/>
    <x v="7"/>
    <x v="717"/>
    <x v="644"/>
    <x v="398"/>
    <x v="2"/>
    <x v="2"/>
    <x v="489"/>
    <x v="691"/>
    <x v="4"/>
  </r>
  <r>
    <x v="11"/>
    <x v="7"/>
    <x v="186"/>
    <x v="515"/>
    <x v="12"/>
    <x v="533"/>
    <x v="131"/>
    <x v="688"/>
    <x v="690"/>
    <x v="4"/>
  </r>
  <r>
    <x v="27"/>
    <x v="7"/>
    <x v="716"/>
    <x v="429"/>
    <x v="710"/>
    <x v="3"/>
    <x v="217"/>
    <x v="695"/>
    <x v="689"/>
    <x v="4"/>
  </r>
  <r>
    <x v="23"/>
    <x v="12"/>
    <x v="162"/>
    <x v="446"/>
    <x v="66"/>
    <x v="557"/>
    <x v="200"/>
    <x v="693"/>
    <x v="688"/>
    <x v="4"/>
  </r>
  <r>
    <x v="24"/>
    <x v="11"/>
    <x v="171"/>
    <x v="470"/>
    <x v="78"/>
    <x v="548"/>
    <x v="176"/>
    <x v="690"/>
    <x v="687"/>
    <x v="4"/>
  </r>
  <r>
    <x v="8"/>
    <x v="16"/>
    <x v="176"/>
    <x v="479"/>
    <x v="23"/>
    <x v="543"/>
    <x v="167"/>
    <x v="685"/>
    <x v="686"/>
    <x v="4"/>
  </r>
  <r>
    <x v="24"/>
    <x v="10"/>
    <x v="173"/>
    <x v="469"/>
    <x v="63"/>
    <x v="546"/>
    <x v="177"/>
    <x v="686"/>
    <x v="685"/>
    <x v="4"/>
  </r>
  <r>
    <x v="25"/>
    <x v="11"/>
    <x v="155"/>
    <x v="391"/>
    <x v="55"/>
    <x v="564"/>
    <x v="255"/>
    <x v="691"/>
    <x v="684"/>
    <x v="4"/>
  </r>
  <r>
    <x v="11"/>
    <x v="8"/>
    <x v="88"/>
    <x v="248"/>
    <x v="11"/>
    <x v="631"/>
    <x v="398"/>
    <x v="701"/>
    <x v="683"/>
    <x v="4"/>
  </r>
  <r>
    <x v="26"/>
    <x v="8"/>
    <x v="582"/>
    <x v="639"/>
    <x v="283"/>
    <x v="137"/>
    <x v="7"/>
    <x v="613"/>
    <x v="682"/>
    <x v="4"/>
  </r>
  <r>
    <x v="7"/>
    <x v="15"/>
    <x v="233"/>
    <x v="529"/>
    <x v="42"/>
    <x v="486"/>
    <x v="117"/>
    <x v="674"/>
    <x v="681"/>
    <x v="4"/>
  </r>
  <r>
    <x v="6"/>
    <x v="7"/>
    <x v="714"/>
    <x v="468"/>
    <x v="704"/>
    <x v="5"/>
    <x v="178"/>
    <x v="681"/>
    <x v="680"/>
    <x v="4"/>
  </r>
  <r>
    <x v="28"/>
    <x v="16"/>
    <x v="39"/>
    <x v="170"/>
    <x v="14"/>
    <x v="680"/>
    <x v="476"/>
    <x v="707"/>
    <x v="679"/>
    <x v="4"/>
  </r>
  <r>
    <x v="3"/>
    <x v="6"/>
    <x v="538"/>
    <x v="635"/>
    <x v="31"/>
    <x v="181"/>
    <x v="11"/>
    <x v="620"/>
    <x v="678"/>
    <x v="4"/>
  </r>
  <r>
    <x v="22"/>
    <x v="12"/>
    <x v="193"/>
    <x v="475"/>
    <x v="69"/>
    <x v="526"/>
    <x v="171"/>
    <x v="675"/>
    <x v="677"/>
    <x v="4"/>
  </r>
  <r>
    <x v="7"/>
    <x v="10"/>
    <x v="316"/>
    <x v="579"/>
    <x v="110"/>
    <x v="403"/>
    <x v="67"/>
    <x v="655"/>
    <x v="676"/>
    <x v="4"/>
  </r>
  <r>
    <x v="13"/>
    <x v="6"/>
    <x v="709"/>
    <x v="390"/>
    <x v="685"/>
    <x v="10"/>
    <x v="256"/>
    <x v="679"/>
    <x v="675"/>
    <x v="4"/>
  </r>
  <r>
    <x v="17"/>
    <x v="11"/>
    <x v="147"/>
    <x v="339"/>
    <x v="32"/>
    <x v="572"/>
    <x v="307"/>
    <x v="684"/>
    <x v="674"/>
    <x v="4"/>
  </r>
  <r>
    <x v="22"/>
    <x v="10"/>
    <x v="202"/>
    <x v="493"/>
    <x v="87"/>
    <x v="517"/>
    <x v="153"/>
    <x v="672"/>
    <x v="673"/>
    <x v="4"/>
  </r>
  <r>
    <x v="29"/>
    <x v="12"/>
    <x v="83"/>
    <x v="220"/>
    <x v="35"/>
    <x v="636"/>
    <x v="426"/>
    <x v="697"/>
    <x v="672"/>
    <x v="4"/>
  </r>
  <r>
    <x v="14"/>
    <x v="6"/>
    <x v="707"/>
    <x v="414"/>
    <x v="684"/>
    <x v="12"/>
    <x v="232"/>
    <x v="673"/>
    <x v="671"/>
    <x v="4"/>
  </r>
  <r>
    <x v="17"/>
    <x v="13"/>
    <x v="150"/>
    <x v="336"/>
    <x v="29"/>
    <x v="569"/>
    <x v="310"/>
    <x v="680"/>
    <x v="670"/>
    <x v="4"/>
  </r>
  <r>
    <x v="13"/>
    <x v="9"/>
    <x v="711"/>
    <x v="443"/>
    <x v="717"/>
    <x v="8"/>
    <x v="203"/>
    <x v="671"/>
    <x v="669"/>
    <x v="4"/>
  </r>
  <r>
    <x v="1"/>
    <x v="15"/>
    <x v="425"/>
    <x v="606"/>
    <x v="116"/>
    <x v="294"/>
    <x v="40"/>
    <x v="631"/>
    <x v="668"/>
    <x v="4"/>
  </r>
  <r>
    <x v="23"/>
    <x v="11"/>
    <x v="200"/>
    <x v="463"/>
    <x v="129"/>
    <x v="519"/>
    <x v="183"/>
    <x v="670"/>
    <x v="667"/>
    <x v="4"/>
  </r>
  <r>
    <x v="19"/>
    <x v="12"/>
    <x v="491"/>
    <x v="620"/>
    <x v="297"/>
    <x v="228"/>
    <x v="26"/>
    <x v="618"/>
    <x v="666"/>
    <x v="4"/>
  </r>
  <r>
    <x v="6"/>
    <x v="8"/>
    <x v="710"/>
    <x v="456"/>
    <x v="708"/>
    <x v="9"/>
    <x v="190"/>
    <x v="669"/>
    <x v="665"/>
    <x v="4"/>
  </r>
  <r>
    <x v="24"/>
    <x v="13"/>
    <x v="118"/>
    <x v="276"/>
    <x v="96"/>
    <x v="601"/>
    <x v="370"/>
    <x v="683"/>
    <x v="664"/>
    <x v="4"/>
  </r>
  <r>
    <x v="26"/>
    <x v="7"/>
    <x v="666"/>
    <x v="642"/>
    <x v="241"/>
    <x v="53"/>
    <x v="4"/>
    <x v="542"/>
    <x v="663"/>
    <x v="4"/>
  </r>
  <r>
    <x v="29"/>
    <x v="11"/>
    <x v="114"/>
    <x v="268"/>
    <x v="89"/>
    <x v="605"/>
    <x v="378"/>
    <x v="682"/>
    <x v="662"/>
    <x v="4"/>
  </r>
  <r>
    <x v="23"/>
    <x v="17"/>
    <x v="84"/>
    <x v="215"/>
    <x v="17"/>
    <x v="635"/>
    <x v="431"/>
    <x v="692"/>
    <x v="661"/>
    <x v="4"/>
  </r>
  <r>
    <x v="22"/>
    <x v="13"/>
    <x v="205"/>
    <x v="461"/>
    <x v="85"/>
    <x v="514"/>
    <x v="185"/>
    <x v="663"/>
    <x v="660"/>
    <x v="4"/>
  </r>
  <r>
    <x v="29"/>
    <x v="10"/>
    <x v="144"/>
    <x v="303"/>
    <x v="76"/>
    <x v="575"/>
    <x v="343"/>
    <x v="677"/>
    <x v="659"/>
    <x v="4"/>
  </r>
  <r>
    <x v="25"/>
    <x v="10"/>
    <x v="187"/>
    <x v="410"/>
    <x v="163"/>
    <x v="532"/>
    <x v="236"/>
    <x v="668"/>
    <x v="658"/>
    <x v="4"/>
  </r>
  <r>
    <x v="9"/>
    <x v="11"/>
    <x v="287"/>
    <x v="546"/>
    <x v="153"/>
    <x v="432"/>
    <x v="100"/>
    <x v="650"/>
    <x v="657"/>
    <x v="4"/>
  </r>
  <r>
    <x v="25"/>
    <x v="14"/>
    <x v="124"/>
    <x v="277"/>
    <x v="134"/>
    <x v="595"/>
    <x v="369"/>
    <x v="678"/>
    <x v="656"/>
    <x v="4"/>
  </r>
  <r>
    <x v="6"/>
    <x v="6"/>
    <x v="706"/>
    <x v="477"/>
    <x v="676"/>
    <x v="13"/>
    <x v="169"/>
    <x v="660"/>
    <x v="655"/>
    <x v="4"/>
  </r>
  <r>
    <x v="1"/>
    <x v="10"/>
    <x v="496"/>
    <x v="616"/>
    <x v="237"/>
    <x v="223"/>
    <x v="30"/>
    <x v="609"/>
    <x v="654"/>
    <x v="4"/>
  </r>
  <r>
    <x v="7"/>
    <x v="6"/>
    <x v="701"/>
    <x v="362"/>
    <x v="677"/>
    <x v="18"/>
    <x v="284"/>
    <x v="667"/>
    <x v="653"/>
    <x v="4"/>
  </r>
  <r>
    <x v="3"/>
    <x v="8"/>
    <x v="214"/>
    <x v="452"/>
    <x v="18"/>
    <x v="505"/>
    <x v="194"/>
    <x v="659"/>
    <x v="652"/>
    <x v="4"/>
  </r>
  <r>
    <x v="13"/>
    <x v="10"/>
    <x v="704"/>
    <x v="445"/>
    <x v="715"/>
    <x v="15"/>
    <x v="201"/>
    <x v="656"/>
    <x v="651"/>
    <x v="4"/>
  </r>
  <r>
    <x v="22"/>
    <x v="9"/>
    <x v="225"/>
    <x v="478"/>
    <x v="162"/>
    <x v="494"/>
    <x v="168"/>
    <x v="654"/>
    <x v="650"/>
    <x v="4"/>
  </r>
  <r>
    <x v="29"/>
    <x v="9"/>
    <x v="157"/>
    <x v="316"/>
    <x v="58"/>
    <x v="562"/>
    <x v="330"/>
    <x v="666"/>
    <x v="649"/>
    <x v="4"/>
  </r>
  <r>
    <x v="8"/>
    <x v="13"/>
    <x v="232"/>
    <x v="488"/>
    <x v="137"/>
    <x v="487"/>
    <x v="158"/>
    <x v="652"/>
    <x v="648"/>
    <x v="4"/>
  </r>
  <r>
    <x v="7"/>
    <x v="16"/>
    <x v="208"/>
    <x v="417"/>
    <x v="36"/>
    <x v="511"/>
    <x v="229"/>
    <x v="657"/>
    <x v="647"/>
    <x v="3"/>
  </r>
  <r>
    <x v="23"/>
    <x v="9"/>
    <x v="315"/>
    <x v="555"/>
    <x v="177"/>
    <x v="404"/>
    <x v="91"/>
    <x v="634"/>
    <x v="646"/>
    <x v="3"/>
  </r>
  <r>
    <x v="9"/>
    <x v="13"/>
    <x v="164"/>
    <x v="326"/>
    <x v="80"/>
    <x v="555"/>
    <x v="320"/>
    <x v="661"/>
    <x v="645"/>
    <x v="3"/>
  </r>
  <r>
    <x v="14"/>
    <x v="5"/>
    <x v="700"/>
    <x v="394"/>
    <x v="666"/>
    <x v="19"/>
    <x v="252"/>
    <x v="653"/>
    <x v="644"/>
    <x v="3"/>
  </r>
  <r>
    <x v="29"/>
    <x v="8"/>
    <x v="253"/>
    <x v="504"/>
    <x v="71"/>
    <x v="466"/>
    <x v="142"/>
    <x v="644"/>
    <x v="643"/>
    <x v="3"/>
  </r>
  <r>
    <x v="19"/>
    <x v="10"/>
    <x v="569"/>
    <x v="633"/>
    <x v="447"/>
    <x v="150"/>
    <x v="13"/>
    <x v="563"/>
    <x v="642"/>
    <x v="3"/>
  </r>
  <r>
    <x v="11"/>
    <x v="9"/>
    <x v="134"/>
    <x v="266"/>
    <x v="20"/>
    <x v="585"/>
    <x v="380"/>
    <x v="665"/>
    <x v="641"/>
    <x v="3"/>
  </r>
  <r>
    <x v="19"/>
    <x v="13"/>
    <x v="453"/>
    <x v="605"/>
    <x v="308"/>
    <x v="266"/>
    <x v="41"/>
    <x v="598"/>
    <x v="640"/>
    <x v="3"/>
  </r>
  <r>
    <x v="9"/>
    <x v="14"/>
    <x v="133"/>
    <x v="264"/>
    <x v="38"/>
    <x v="586"/>
    <x v="382"/>
    <x v="664"/>
    <x v="639"/>
    <x v="3"/>
  </r>
  <r>
    <x v="2"/>
    <x v="17"/>
    <x v="194"/>
    <x v="363"/>
    <x v="34"/>
    <x v="525"/>
    <x v="283"/>
    <x v="651"/>
    <x v="638"/>
    <x v="3"/>
  </r>
  <r>
    <x v="20"/>
    <x v="9"/>
    <x v="702"/>
    <x v="493"/>
    <x v="713"/>
    <x v="17"/>
    <x v="153"/>
    <x v="642"/>
    <x v="637"/>
    <x v="3"/>
  </r>
  <r>
    <x v="11"/>
    <x v="11"/>
    <x v="219"/>
    <x v="411"/>
    <x v="43"/>
    <x v="500"/>
    <x v="235"/>
    <x v="645"/>
    <x v="636"/>
    <x v="3"/>
  </r>
  <r>
    <x v="21"/>
    <x v="9"/>
    <x v="240"/>
    <x v="467"/>
    <x v="190"/>
    <x v="479"/>
    <x v="179"/>
    <x v="643"/>
    <x v="635"/>
    <x v="3"/>
  </r>
  <r>
    <x v="8"/>
    <x v="15"/>
    <x v="248"/>
    <x v="489"/>
    <x v="130"/>
    <x v="471"/>
    <x v="157"/>
    <x v="641"/>
    <x v="634"/>
    <x v="3"/>
  </r>
  <r>
    <x v="1"/>
    <x v="11"/>
    <x v="506"/>
    <x v="614"/>
    <x v="303"/>
    <x v="213"/>
    <x v="32"/>
    <x v="576"/>
    <x v="633"/>
    <x v="3"/>
  </r>
  <r>
    <x v="8"/>
    <x v="23"/>
    <x v="206"/>
    <x v="382"/>
    <x v="21"/>
    <x v="513"/>
    <x v="264"/>
    <x v="647"/>
    <x v="632"/>
    <x v="3"/>
  </r>
  <r>
    <x v="1"/>
    <x v="16"/>
    <x v="397"/>
    <x v="581"/>
    <x v="146"/>
    <x v="322"/>
    <x v="65"/>
    <x v="601"/>
    <x v="631"/>
    <x v="3"/>
  </r>
  <r>
    <x v="11"/>
    <x v="12"/>
    <x v="241"/>
    <x v="450"/>
    <x v="47"/>
    <x v="478"/>
    <x v="196"/>
    <x v="633"/>
    <x v="630"/>
    <x v="3"/>
  </r>
  <r>
    <x v="13"/>
    <x v="11"/>
    <x v="698"/>
    <x v="444"/>
    <x v="711"/>
    <x v="21"/>
    <x v="202"/>
    <x v="635"/>
    <x v="629"/>
    <x v="3"/>
  </r>
  <r>
    <x v="6"/>
    <x v="9"/>
    <x v="697"/>
    <x v="440"/>
    <x v="706"/>
    <x v="22"/>
    <x v="206"/>
    <x v="632"/>
    <x v="628"/>
    <x v="3"/>
  </r>
  <r>
    <x v="2"/>
    <x v="9"/>
    <x v="441"/>
    <x v="596"/>
    <x v="217"/>
    <x v="278"/>
    <x v="50"/>
    <x v="583"/>
    <x v="627"/>
    <x v="3"/>
  </r>
  <r>
    <x v="13"/>
    <x v="12"/>
    <x v="696"/>
    <x v="424"/>
    <x v="716"/>
    <x v="23"/>
    <x v="222"/>
    <x v="628"/>
    <x v="626"/>
    <x v="3"/>
  </r>
  <r>
    <x v="10"/>
    <x v="6"/>
    <x v="591"/>
    <x v="632"/>
    <x v="72"/>
    <x v="128"/>
    <x v="14"/>
    <x v="525"/>
    <x v="625"/>
    <x v="3"/>
  </r>
  <r>
    <x v="1"/>
    <x v="9"/>
    <x v="502"/>
    <x v="610"/>
    <x v="227"/>
    <x v="217"/>
    <x v="36"/>
    <x v="560"/>
    <x v="624"/>
    <x v="3"/>
  </r>
  <r>
    <x v="28"/>
    <x v="17"/>
    <x v="43"/>
    <x v="134"/>
    <x v="16"/>
    <x v="676"/>
    <x v="512"/>
    <x v="676"/>
    <x v="623"/>
    <x v="3"/>
  </r>
  <r>
    <x v="3"/>
    <x v="5"/>
    <x v="527"/>
    <x v="612"/>
    <x v="54"/>
    <x v="192"/>
    <x v="34"/>
    <x v="553"/>
    <x v="622"/>
    <x v="3"/>
  </r>
  <r>
    <x v="12"/>
    <x v="6"/>
    <x v="672"/>
    <x v="273"/>
    <x v="668"/>
    <x v="47"/>
    <x v="373"/>
    <x v="646"/>
    <x v="621"/>
    <x v="3"/>
  </r>
  <r>
    <x v="12"/>
    <x v="7"/>
    <x v="682"/>
    <x v="307"/>
    <x v="689"/>
    <x v="37"/>
    <x v="339"/>
    <x v="640"/>
    <x v="620"/>
    <x v="3"/>
  </r>
  <r>
    <x v="9"/>
    <x v="12"/>
    <x v="307"/>
    <x v="525"/>
    <x v="236"/>
    <x v="412"/>
    <x v="121"/>
    <x v="605"/>
    <x v="619"/>
    <x v="3"/>
  </r>
  <r>
    <x v="13"/>
    <x v="14"/>
    <x v="691"/>
    <x v="374"/>
    <x v="714"/>
    <x v="28"/>
    <x v="272"/>
    <x v="626"/>
    <x v="618"/>
    <x v="3"/>
  </r>
  <r>
    <x v="4"/>
    <x v="10"/>
    <x v="508"/>
    <x v="611"/>
    <x v="370"/>
    <x v="211"/>
    <x v="35"/>
    <x v="548"/>
    <x v="617"/>
    <x v="3"/>
  </r>
  <r>
    <x v="17"/>
    <x v="12"/>
    <x v="198"/>
    <x v="337"/>
    <x v="109"/>
    <x v="521"/>
    <x v="309"/>
    <x v="629"/>
    <x v="616"/>
    <x v="3"/>
  </r>
  <r>
    <x v="25"/>
    <x v="8"/>
    <x v="263"/>
    <x v="464"/>
    <x v="196"/>
    <x v="456"/>
    <x v="182"/>
    <x v="615"/>
    <x v="615"/>
    <x v="3"/>
  </r>
  <r>
    <x v="13"/>
    <x v="15"/>
    <x v="684"/>
    <x v="353"/>
    <x v="709"/>
    <x v="35"/>
    <x v="293"/>
    <x v="622"/>
    <x v="614"/>
    <x v="3"/>
  </r>
  <r>
    <x v="11"/>
    <x v="6"/>
    <x v="382"/>
    <x v="562"/>
    <x v="46"/>
    <x v="337"/>
    <x v="84"/>
    <x v="578"/>
    <x v="613"/>
    <x v="3"/>
  </r>
  <r>
    <x v="23"/>
    <x v="8"/>
    <x v="419"/>
    <x v="575"/>
    <x v="202"/>
    <x v="300"/>
    <x v="71"/>
    <x v="566"/>
    <x v="612"/>
    <x v="3"/>
  </r>
  <r>
    <x v="1"/>
    <x v="7"/>
    <x v="580"/>
    <x v="627"/>
    <x v="83"/>
    <x v="139"/>
    <x v="19"/>
    <x v="517"/>
    <x v="611"/>
    <x v="3"/>
  </r>
  <r>
    <x v="3"/>
    <x v="14"/>
    <x v="278"/>
    <x v="482"/>
    <x v="135"/>
    <x v="441"/>
    <x v="164"/>
    <x v="604"/>
    <x v="610"/>
    <x v="3"/>
  </r>
  <r>
    <x v="28"/>
    <x v="10"/>
    <x v="209"/>
    <x v="331"/>
    <x v="197"/>
    <x v="510"/>
    <x v="315"/>
    <x v="619"/>
    <x v="609"/>
    <x v="3"/>
  </r>
  <r>
    <x v="7"/>
    <x v="14"/>
    <x v="261"/>
    <x v="421"/>
    <x v="167"/>
    <x v="458"/>
    <x v="225"/>
    <x v="607"/>
    <x v="608"/>
    <x v="3"/>
  </r>
  <r>
    <x v="17"/>
    <x v="7"/>
    <x v="645"/>
    <x v="239"/>
    <x v="674"/>
    <x v="74"/>
    <x v="407"/>
    <x v="639"/>
    <x v="607"/>
    <x v="3"/>
  </r>
  <r>
    <x v="13"/>
    <x v="13"/>
    <x v="687"/>
    <x v="403"/>
    <x v="712"/>
    <x v="32"/>
    <x v="243"/>
    <x v="611"/>
    <x v="606"/>
    <x v="3"/>
  </r>
  <r>
    <x v="3"/>
    <x v="9"/>
    <x v="314"/>
    <x v="520"/>
    <x v="90"/>
    <x v="405"/>
    <x v="126"/>
    <x v="590"/>
    <x v="605"/>
    <x v="3"/>
  </r>
  <r>
    <x v="22"/>
    <x v="11"/>
    <x v="282"/>
    <x v="492"/>
    <x v="253"/>
    <x v="437"/>
    <x v="154"/>
    <x v="595"/>
    <x v="604"/>
    <x v="3"/>
  </r>
  <r>
    <x v="3"/>
    <x v="10"/>
    <x v="412"/>
    <x v="566"/>
    <x v="222"/>
    <x v="307"/>
    <x v="80"/>
    <x v="556"/>
    <x v="603"/>
    <x v="3"/>
  </r>
  <r>
    <x v="3"/>
    <x v="15"/>
    <x v="351"/>
    <x v="532"/>
    <x v="141"/>
    <x v="368"/>
    <x v="114"/>
    <x v="570"/>
    <x v="602"/>
    <x v="3"/>
  </r>
  <r>
    <x v="8"/>
    <x v="14"/>
    <x v="239"/>
    <x v="370"/>
    <x v="200"/>
    <x v="480"/>
    <x v="276"/>
    <x v="603"/>
    <x v="601"/>
    <x v="3"/>
  </r>
  <r>
    <x v="25"/>
    <x v="9"/>
    <x v="217"/>
    <x v="332"/>
    <x v="255"/>
    <x v="502"/>
    <x v="314"/>
    <x v="612"/>
    <x v="600"/>
    <x v="3"/>
  </r>
  <r>
    <x v="3"/>
    <x v="3"/>
    <x v="456"/>
    <x v="589"/>
    <x v="60"/>
    <x v="263"/>
    <x v="57"/>
    <x v="538"/>
    <x v="599"/>
    <x v="3"/>
  </r>
  <r>
    <x v="10"/>
    <x v="2"/>
    <x v="340"/>
    <x v="524"/>
    <x v="50"/>
    <x v="379"/>
    <x v="122"/>
    <x v="568"/>
    <x v="598"/>
    <x v="3"/>
  </r>
  <r>
    <x v="19"/>
    <x v="14"/>
    <x v="429"/>
    <x v="572"/>
    <x v="330"/>
    <x v="290"/>
    <x v="74"/>
    <x v="546"/>
    <x v="597"/>
    <x v="3"/>
  </r>
  <r>
    <x v="5"/>
    <x v="16"/>
    <x v="459"/>
    <x v="588"/>
    <x v="230"/>
    <x v="260"/>
    <x v="58"/>
    <x v="531"/>
    <x v="596"/>
    <x v="3"/>
  </r>
  <r>
    <x v="27"/>
    <x v="9"/>
    <x v="690"/>
    <x v="448"/>
    <x v="705"/>
    <x v="29"/>
    <x v="198"/>
    <x v="588"/>
    <x v="595"/>
    <x v="3"/>
  </r>
  <r>
    <x v="19"/>
    <x v="11"/>
    <x v="566"/>
    <x v="619"/>
    <x v="527"/>
    <x v="153"/>
    <x v="27"/>
    <x v="503"/>
    <x v="594"/>
    <x v="3"/>
  </r>
  <r>
    <x v="8"/>
    <x v="22"/>
    <x v="105"/>
    <x v="186"/>
    <x v="24"/>
    <x v="614"/>
    <x v="460"/>
    <x v="638"/>
    <x v="593"/>
    <x v="3"/>
  </r>
  <r>
    <x v="25"/>
    <x v="15"/>
    <x v="121"/>
    <x v="202"/>
    <x v="231"/>
    <x v="598"/>
    <x v="444"/>
    <x v="630"/>
    <x v="592"/>
    <x v="3"/>
  </r>
  <r>
    <x v="10"/>
    <x v="0"/>
    <x v="279"/>
    <x v="449"/>
    <x v="45"/>
    <x v="440"/>
    <x v="197"/>
    <x v="580"/>
    <x v="591"/>
    <x v="3"/>
  </r>
  <r>
    <x v="19"/>
    <x v="17"/>
    <x v="283"/>
    <x v="460"/>
    <x v="201"/>
    <x v="436"/>
    <x v="186"/>
    <x v="577"/>
    <x v="590"/>
    <x v="3"/>
  </r>
  <r>
    <x v="26"/>
    <x v="16"/>
    <x v="270"/>
    <x v="413"/>
    <x v="221"/>
    <x v="449"/>
    <x v="233"/>
    <x v="581"/>
    <x v="589"/>
    <x v="3"/>
  </r>
  <r>
    <x v="20"/>
    <x v="10"/>
    <x v="694"/>
    <x v="502"/>
    <x v="707"/>
    <x v="25"/>
    <x v="144"/>
    <x v="565"/>
    <x v="588"/>
    <x v="3"/>
  </r>
  <r>
    <x v="4"/>
    <x v="9"/>
    <x v="517"/>
    <x v="603"/>
    <x v="318"/>
    <x v="202"/>
    <x v="43"/>
    <x v="511"/>
    <x v="587"/>
    <x v="3"/>
  </r>
  <r>
    <x v="13"/>
    <x v="16"/>
    <x v="669"/>
    <x v="322"/>
    <x v="701"/>
    <x v="50"/>
    <x v="324"/>
    <x v="596"/>
    <x v="586"/>
    <x v="3"/>
  </r>
  <r>
    <x v="8"/>
    <x v="11"/>
    <x v="292"/>
    <x v="484"/>
    <x v="298"/>
    <x v="427"/>
    <x v="162"/>
    <x v="567"/>
    <x v="585"/>
    <x v="3"/>
  </r>
  <r>
    <x v="6"/>
    <x v="10"/>
    <x v="685"/>
    <x v="434"/>
    <x v="703"/>
    <x v="34"/>
    <x v="212"/>
    <x v="574"/>
    <x v="584"/>
    <x v="3"/>
  </r>
  <r>
    <x v="10"/>
    <x v="7"/>
    <x v="576"/>
    <x v="619"/>
    <x v="166"/>
    <x v="143"/>
    <x v="27"/>
    <x v="492"/>
    <x v="583"/>
    <x v="3"/>
  </r>
  <r>
    <x v="29"/>
    <x v="5"/>
    <x v="305"/>
    <x v="503"/>
    <x v="51"/>
    <x v="414"/>
    <x v="143"/>
    <x v="564"/>
    <x v="582"/>
    <x v="3"/>
  </r>
  <r>
    <x v="29"/>
    <x v="6"/>
    <x v="447"/>
    <x v="580"/>
    <x v="77"/>
    <x v="272"/>
    <x v="66"/>
    <x v="524"/>
    <x v="581"/>
    <x v="3"/>
  </r>
  <r>
    <x v="17"/>
    <x v="10"/>
    <x v="236"/>
    <x v="347"/>
    <x v="172"/>
    <x v="483"/>
    <x v="299"/>
    <x v="592"/>
    <x v="580"/>
    <x v="3"/>
  </r>
  <r>
    <x v="24"/>
    <x v="9"/>
    <x v="238"/>
    <x v="345"/>
    <x v="212"/>
    <x v="481"/>
    <x v="301"/>
    <x v="589"/>
    <x v="579"/>
    <x v="3"/>
  </r>
  <r>
    <x v="10"/>
    <x v="1"/>
    <x v="304"/>
    <x v="498"/>
    <x v="52"/>
    <x v="415"/>
    <x v="148"/>
    <x v="561"/>
    <x v="578"/>
    <x v="3"/>
  </r>
  <r>
    <x v="16"/>
    <x v="15"/>
    <x v="123"/>
    <x v="193"/>
    <x v="79"/>
    <x v="596"/>
    <x v="453"/>
    <x v="621"/>
    <x v="577"/>
    <x v="3"/>
  </r>
  <r>
    <x v="10"/>
    <x v="9"/>
    <x v="295"/>
    <x v="471"/>
    <x v="195"/>
    <x v="424"/>
    <x v="175"/>
    <x v="558"/>
    <x v="576"/>
    <x v="3"/>
  </r>
  <r>
    <x v="26"/>
    <x v="13"/>
    <x v="288"/>
    <x v="451"/>
    <x v="468"/>
    <x v="431"/>
    <x v="195"/>
    <x v="562"/>
    <x v="575"/>
    <x v="3"/>
  </r>
  <r>
    <x v="14"/>
    <x v="3"/>
    <x v="667"/>
    <x v="330"/>
    <x v="643"/>
    <x v="52"/>
    <x v="316"/>
    <x v="582"/>
    <x v="574"/>
    <x v="3"/>
  </r>
  <r>
    <x v="22"/>
    <x v="16"/>
    <x v="80"/>
    <x v="155"/>
    <x v="61"/>
    <x v="639"/>
    <x v="491"/>
    <x v="637"/>
    <x v="573"/>
    <x v="3"/>
  </r>
  <r>
    <x v="14"/>
    <x v="4"/>
    <x v="673"/>
    <x v="355"/>
    <x v="642"/>
    <x v="46"/>
    <x v="291"/>
    <x v="575"/>
    <x v="572"/>
    <x v="3"/>
  </r>
  <r>
    <x v="10"/>
    <x v="5"/>
    <x v="470"/>
    <x v="585"/>
    <x v="74"/>
    <x v="249"/>
    <x v="61"/>
    <x v="512"/>
    <x v="571"/>
    <x v="3"/>
  </r>
  <r>
    <x v="28"/>
    <x v="9"/>
    <x v="223"/>
    <x v="312"/>
    <x v="194"/>
    <x v="496"/>
    <x v="334"/>
    <x v="579"/>
    <x v="570"/>
    <x v="3"/>
  </r>
  <r>
    <x v="21"/>
    <x v="15"/>
    <x v="117"/>
    <x v="184"/>
    <x v="108"/>
    <x v="602"/>
    <x v="462"/>
    <x v="616"/>
    <x v="569"/>
    <x v="3"/>
  </r>
  <r>
    <x v="4"/>
    <x v="7"/>
    <x v="683"/>
    <x v="464"/>
    <x v="667"/>
    <x v="36"/>
    <x v="182"/>
    <x v="547"/>
    <x v="568"/>
    <x v="3"/>
  </r>
  <r>
    <x v="14"/>
    <x v="2"/>
    <x v="657"/>
    <x v="310"/>
    <x v="641"/>
    <x v="62"/>
    <x v="336"/>
    <x v="572"/>
    <x v="567"/>
    <x v="3"/>
  </r>
  <r>
    <x v="6"/>
    <x v="11"/>
    <x v="681"/>
    <x v="422"/>
    <x v="700"/>
    <x v="38"/>
    <x v="224"/>
    <x v="551"/>
    <x v="566"/>
    <x v="3"/>
  </r>
  <r>
    <x v="26"/>
    <x v="15"/>
    <x v="286"/>
    <x v="421"/>
    <x v="365"/>
    <x v="433"/>
    <x v="225"/>
    <x v="549"/>
    <x v="565"/>
    <x v="3"/>
  </r>
  <r>
    <x v="19"/>
    <x v="9"/>
    <x v="614"/>
    <x v="628"/>
    <x v="550"/>
    <x v="105"/>
    <x v="18"/>
    <x v="448"/>
    <x v="564"/>
    <x v="3"/>
  </r>
  <r>
    <x v="14"/>
    <x v="1"/>
    <x v="647"/>
    <x v="299"/>
    <x v="640"/>
    <x v="72"/>
    <x v="347"/>
    <x v="569"/>
    <x v="563"/>
    <x v="3"/>
  </r>
  <r>
    <x v="8"/>
    <x v="10"/>
    <x v="311"/>
    <x v="490"/>
    <x v="307"/>
    <x v="408"/>
    <x v="156"/>
    <x v="540"/>
    <x v="562"/>
    <x v="3"/>
  </r>
  <r>
    <x v="13"/>
    <x v="5"/>
    <x v="671"/>
    <x v="373"/>
    <x v="632"/>
    <x v="48"/>
    <x v="273"/>
    <x v="552"/>
    <x v="561"/>
    <x v="3"/>
  </r>
  <r>
    <x v="3"/>
    <x v="2"/>
    <x v="480"/>
    <x v="586"/>
    <x v="81"/>
    <x v="239"/>
    <x v="60"/>
    <x v="498"/>
    <x v="560"/>
    <x v="3"/>
  </r>
  <r>
    <x v="23"/>
    <x v="16"/>
    <x v="116"/>
    <x v="181"/>
    <x v="138"/>
    <x v="603"/>
    <x v="465"/>
    <x v="610"/>
    <x v="559"/>
    <x v="3"/>
  </r>
  <r>
    <x v="14"/>
    <x v="7"/>
    <x v="679"/>
    <x v="435"/>
    <x v="671"/>
    <x v="40"/>
    <x v="211"/>
    <x v="534"/>
    <x v="558"/>
    <x v="2"/>
  </r>
  <r>
    <x v="6"/>
    <x v="12"/>
    <x v="677"/>
    <x v="414"/>
    <x v="698"/>
    <x v="42"/>
    <x v="232"/>
    <x v="537"/>
    <x v="557"/>
    <x v="2"/>
  </r>
  <r>
    <x v="26"/>
    <x v="14"/>
    <x v="299"/>
    <x v="435"/>
    <x v="441"/>
    <x v="420"/>
    <x v="211"/>
    <x v="533"/>
    <x v="556"/>
    <x v="2"/>
  </r>
  <r>
    <x v="7"/>
    <x v="13"/>
    <x v="296"/>
    <x v="425"/>
    <x v="244"/>
    <x v="423"/>
    <x v="221"/>
    <x v="528"/>
    <x v="555"/>
    <x v="2"/>
  </r>
  <r>
    <x v="11"/>
    <x v="10"/>
    <x v="271"/>
    <x v="361"/>
    <x v="157"/>
    <x v="448"/>
    <x v="285"/>
    <x v="544"/>
    <x v="554"/>
    <x v="2"/>
  </r>
  <r>
    <x v="9"/>
    <x v="10"/>
    <x v="322"/>
    <x v="481"/>
    <x v="300"/>
    <x v="397"/>
    <x v="165"/>
    <x v="521"/>
    <x v="553"/>
    <x v="2"/>
  </r>
  <r>
    <x v="25"/>
    <x v="7"/>
    <x v="487"/>
    <x v="587"/>
    <x v="228"/>
    <x v="232"/>
    <x v="59"/>
    <x v="481"/>
    <x v="552"/>
    <x v="2"/>
  </r>
  <r>
    <x v="10"/>
    <x v="13"/>
    <x v="230"/>
    <x v="301"/>
    <x v="284"/>
    <x v="489"/>
    <x v="345"/>
    <x v="550"/>
    <x v="551"/>
    <x v="2"/>
  </r>
  <r>
    <x v="26"/>
    <x v="12"/>
    <x v="310"/>
    <x v="461"/>
    <x v="470"/>
    <x v="409"/>
    <x v="185"/>
    <x v="520"/>
    <x v="550"/>
    <x v="2"/>
  </r>
  <r>
    <x v="25"/>
    <x v="6"/>
    <x v="513"/>
    <x v="595"/>
    <x v="133"/>
    <x v="206"/>
    <x v="51"/>
    <x v="468"/>
    <x v="549"/>
    <x v="2"/>
  </r>
  <r>
    <x v="4"/>
    <x v="19"/>
    <x v="62"/>
    <x v="122"/>
    <x v="30"/>
    <x v="657"/>
    <x v="524"/>
    <x v="623"/>
    <x v="548"/>
    <x v="2"/>
  </r>
  <r>
    <x v="10"/>
    <x v="12"/>
    <x v="320"/>
    <x v="472"/>
    <x v="335"/>
    <x v="399"/>
    <x v="174"/>
    <x v="519"/>
    <x v="547"/>
    <x v="2"/>
  </r>
  <r>
    <x v="22"/>
    <x v="17"/>
    <x v="101"/>
    <x v="168"/>
    <x v="62"/>
    <x v="618"/>
    <x v="478"/>
    <x v="599"/>
    <x v="546"/>
    <x v="2"/>
  </r>
  <r>
    <x v="8"/>
    <x v="12"/>
    <x v="328"/>
    <x v="480"/>
    <x v="344"/>
    <x v="391"/>
    <x v="166"/>
    <x v="516"/>
    <x v="545"/>
    <x v="2"/>
  </r>
  <r>
    <x v="9"/>
    <x v="15"/>
    <x v="183"/>
    <x v="251"/>
    <x v="140"/>
    <x v="536"/>
    <x v="395"/>
    <x v="557"/>
    <x v="544"/>
    <x v="2"/>
  </r>
  <r>
    <x v="8"/>
    <x v="17"/>
    <x v="131"/>
    <x v="183"/>
    <x v="64"/>
    <x v="588"/>
    <x v="463"/>
    <x v="586"/>
    <x v="543"/>
    <x v="2"/>
  </r>
  <r>
    <x v="8"/>
    <x v="21"/>
    <x v="29"/>
    <x v="87"/>
    <x v="25"/>
    <x v="690"/>
    <x v="559"/>
    <x v="636"/>
    <x v="542"/>
    <x v="2"/>
  </r>
  <r>
    <x v="21"/>
    <x v="8"/>
    <x v="407"/>
    <x v="536"/>
    <x v="299"/>
    <x v="312"/>
    <x v="110"/>
    <x v="499"/>
    <x v="541"/>
    <x v="2"/>
  </r>
  <r>
    <x v="18"/>
    <x v="7"/>
    <x v="649"/>
    <x v="338"/>
    <x v="662"/>
    <x v="70"/>
    <x v="308"/>
    <x v="526"/>
    <x v="540"/>
    <x v="2"/>
  </r>
  <r>
    <x v="17"/>
    <x v="8"/>
    <x v="498"/>
    <x v="159"/>
    <x v="675"/>
    <x v="221"/>
    <x v="487"/>
    <x v="597"/>
    <x v="539"/>
    <x v="2"/>
  </r>
  <r>
    <x v="26"/>
    <x v="17"/>
    <x v="185"/>
    <x v="246"/>
    <x v="127"/>
    <x v="534"/>
    <x v="400"/>
    <x v="554"/>
    <x v="538"/>
    <x v="2"/>
  </r>
  <r>
    <x v="13"/>
    <x v="17"/>
    <x v="635"/>
    <x v="304"/>
    <x v="680"/>
    <x v="84"/>
    <x v="342"/>
    <x v="536"/>
    <x v="537"/>
    <x v="2"/>
  </r>
  <r>
    <x v="3"/>
    <x v="4"/>
    <x v="507"/>
    <x v="592"/>
    <x v="97"/>
    <x v="212"/>
    <x v="54"/>
    <x v="460"/>
    <x v="536"/>
    <x v="2"/>
  </r>
  <r>
    <x v="10"/>
    <x v="11"/>
    <x v="337"/>
    <x v="486"/>
    <x v="345"/>
    <x v="382"/>
    <x v="160"/>
    <x v="508"/>
    <x v="535"/>
    <x v="2"/>
  </r>
  <r>
    <x v="23"/>
    <x v="15"/>
    <x v="120"/>
    <x v="178"/>
    <x v="186"/>
    <x v="599"/>
    <x v="468"/>
    <x v="584"/>
    <x v="534"/>
    <x v="2"/>
  </r>
  <r>
    <x v="4"/>
    <x v="20"/>
    <x v="35"/>
    <x v="93"/>
    <x v="27"/>
    <x v="684"/>
    <x v="553"/>
    <x v="627"/>
    <x v="533"/>
    <x v="2"/>
  </r>
  <r>
    <x v="28"/>
    <x v="8"/>
    <x v="341"/>
    <x v="484"/>
    <x v="250"/>
    <x v="378"/>
    <x v="162"/>
    <x v="504"/>
    <x v="532"/>
    <x v="2"/>
  </r>
  <r>
    <x v="4"/>
    <x v="0"/>
    <x v="410"/>
    <x v="534"/>
    <x v="88"/>
    <x v="309"/>
    <x v="112"/>
    <x v="484"/>
    <x v="531"/>
    <x v="2"/>
  </r>
  <r>
    <x v="19"/>
    <x v="16"/>
    <x v="319"/>
    <x v="452"/>
    <x v="363"/>
    <x v="400"/>
    <x v="194"/>
    <x v="507"/>
    <x v="530"/>
    <x v="2"/>
  </r>
  <r>
    <x v="12"/>
    <x v="9"/>
    <x v="656"/>
    <x v="358"/>
    <x v="688"/>
    <x v="63"/>
    <x v="288"/>
    <x v="518"/>
    <x v="529"/>
    <x v="2"/>
  </r>
  <r>
    <x v="10"/>
    <x v="3"/>
    <x v="390"/>
    <x v="522"/>
    <x v="84"/>
    <x v="329"/>
    <x v="124"/>
    <x v="490"/>
    <x v="528"/>
    <x v="2"/>
  </r>
  <r>
    <x v="17"/>
    <x v="14"/>
    <x v="212"/>
    <x v="267"/>
    <x v="209"/>
    <x v="507"/>
    <x v="379"/>
    <x v="532"/>
    <x v="527"/>
    <x v="2"/>
  </r>
  <r>
    <x v="0"/>
    <x v="5"/>
    <x v="689"/>
    <x v="531"/>
    <x v="607"/>
    <x v="30"/>
    <x v="115"/>
    <x v="475"/>
    <x v="526"/>
    <x v="2"/>
  </r>
  <r>
    <x v="7"/>
    <x v="7"/>
    <x v="661"/>
    <x v="397"/>
    <x v="660"/>
    <x v="58"/>
    <x v="249"/>
    <x v="506"/>
    <x v="525"/>
    <x v="2"/>
  </r>
  <r>
    <x v="5"/>
    <x v="8"/>
    <x v="674"/>
    <x v="469"/>
    <x v="683"/>
    <x v="45"/>
    <x v="177"/>
    <x v="500"/>
    <x v="524"/>
    <x v="2"/>
  </r>
  <r>
    <x v="22"/>
    <x v="8"/>
    <x v="334"/>
    <x v="465"/>
    <x v="257"/>
    <x v="385"/>
    <x v="181"/>
    <x v="501"/>
    <x v="523"/>
    <x v="2"/>
  </r>
  <r>
    <x v="3"/>
    <x v="11"/>
    <x v="444"/>
    <x v="553"/>
    <x v="381"/>
    <x v="275"/>
    <x v="93"/>
    <x v="463"/>
    <x v="522"/>
    <x v="2"/>
  </r>
  <r>
    <x v="23"/>
    <x v="18"/>
    <x v="61"/>
    <x v="113"/>
    <x v="41"/>
    <x v="658"/>
    <x v="533"/>
    <x v="602"/>
    <x v="521"/>
    <x v="2"/>
  </r>
  <r>
    <x v="26"/>
    <x v="11"/>
    <x v="348"/>
    <x v="474"/>
    <x v="535"/>
    <x v="371"/>
    <x v="172"/>
    <x v="486"/>
    <x v="520"/>
    <x v="2"/>
  </r>
  <r>
    <x v="6"/>
    <x v="13"/>
    <x v="659"/>
    <x v="406"/>
    <x v="694"/>
    <x v="60"/>
    <x v="240"/>
    <x v="496"/>
    <x v="519"/>
    <x v="2"/>
  </r>
  <r>
    <x v="14"/>
    <x v="0"/>
    <x v="620"/>
    <x v="292"/>
    <x v="616"/>
    <x v="99"/>
    <x v="354"/>
    <x v="514"/>
    <x v="518"/>
    <x v="2"/>
  </r>
  <r>
    <x v="29"/>
    <x v="7"/>
    <x v="482"/>
    <x v="571"/>
    <x v="199"/>
    <x v="237"/>
    <x v="75"/>
    <x v="444"/>
    <x v="517"/>
    <x v="2"/>
  </r>
  <r>
    <x v="20"/>
    <x v="11"/>
    <x v="675"/>
    <x v="496"/>
    <x v="702"/>
    <x v="44"/>
    <x v="150"/>
    <x v="476"/>
    <x v="516"/>
    <x v="2"/>
  </r>
  <r>
    <x v="11"/>
    <x v="18"/>
    <x v="275"/>
    <x v="80"/>
    <x v="654"/>
    <x v="444"/>
    <x v="566"/>
    <x v="617"/>
    <x v="515"/>
    <x v="2"/>
  </r>
  <r>
    <x v="24"/>
    <x v="15"/>
    <x v="126"/>
    <x v="176"/>
    <x v="315"/>
    <x v="593"/>
    <x v="470"/>
    <x v="555"/>
    <x v="514"/>
    <x v="2"/>
  </r>
  <r>
    <x v="4"/>
    <x v="14"/>
    <x v="324"/>
    <x v="428"/>
    <x v="403"/>
    <x v="395"/>
    <x v="218"/>
    <x v="487"/>
    <x v="513"/>
    <x v="2"/>
  </r>
  <r>
    <x v="9"/>
    <x v="19"/>
    <x v="17"/>
    <x v="64"/>
    <x v="28"/>
    <x v="702"/>
    <x v="582"/>
    <x v="624"/>
    <x v="512"/>
    <x v="2"/>
  </r>
  <r>
    <x v="11"/>
    <x v="15"/>
    <x v="174"/>
    <x v="218"/>
    <x v="156"/>
    <x v="545"/>
    <x v="428"/>
    <x v="530"/>
    <x v="511"/>
    <x v="2"/>
  </r>
  <r>
    <x v="4"/>
    <x v="15"/>
    <x v="333"/>
    <x v="441"/>
    <x v="350"/>
    <x v="386"/>
    <x v="205"/>
    <x v="483"/>
    <x v="510"/>
    <x v="2"/>
  </r>
  <r>
    <x v="10"/>
    <x v="4"/>
    <x v="389"/>
    <x v="516"/>
    <x v="94"/>
    <x v="330"/>
    <x v="130"/>
    <x v="466"/>
    <x v="509"/>
    <x v="2"/>
  </r>
  <r>
    <x v="13"/>
    <x v="18"/>
    <x v="555"/>
    <x v="210"/>
    <x v="651"/>
    <x v="164"/>
    <x v="436"/>
    <x v="527"/>
    <x v="508"/>
    <x v="2"/>
  </r>
  <r>
    <x v="21"/>
    <x v="7"/>
    <x v="642"/>
    <x v="634"/>
    <x v="347"/>
    <x v="77"/>
    <x v="12"/>
    <x v="384"/>
    <x v="507"/>
    <x v="2"/>
  </r>
  <r>
    <x v="8"/>
    <x v="19"/>
    <x v="25"/>
    <x v="74"/>
    <x v="33"/>
    <x v="694"/>
    <x v="572"/>
    <x v="614"/>
    <x v="506"/>
    <x v="2"/>
  </r>
  <r>
    <x v="7"/>
    <x v="11"/>
    <x v="323"/>
    <x v="419"/>
    <x v="349"/>
    <x v="396"/>
    <x v="227"/>
    <x v="478"/>
    <x v="505"/>
    <x v="2"/>
  </r>
  <r>
    <x v="28"/>
    <x v="7"/>
    <x v="594"/>
    <x v="613"/>
    <x v="332"/>
    <x v="125"/>
    <x v="33"/>
    <x v="408"/>
    <x v="504"/>
    <x v="2"/>
  </r>
  <r>
    <x v="4"/>
    <x v="1"/>
    <x v="452"/>
    <x v="550"/>
    <x v="107"/>
    <x v="267"/>
    <x v="96"/>
    <x v="443"/>
    <x v="503"/>
    <x v="2"/>
  </r>
  <r>
    <x v="16"/>
    <x v="17"/>
    <x v="358"/>
    <x v="108"/>
    <x v="663"/>
    <x v="361"/>
    <x v="538"/>
    <x v="591"/>
    <x v="502"/>
    <x v="2"/>
  </r>
  <r>
    <x v="16"/>
    <x v="18"/>
    <x v="195"/>
    <x v="48"/>
    <x v="656"/>
    <x v="524"/>
    <x v="598"/>
    <x v="625"/>
    <x v="501"/>
    <x v="2"/>
  </r>
  <r>
    <x v="12"/>
    <x v="10"/>
    <x v="644"/>
    <x v="367"/>
    <x v="693"/>
    <x v="75"/>
    <x v="279"/>
    <x v="482"/>
    <x v="500"/>
    <x v="2"/>
  </r>
  <r>
    <x v="10"/>
    <x v="10"/>
    <x v="365"/>
    <x v="485"/>
    <x v="399"/>
    <x v="354"/>
    <x v="161"/>
    <x v="464"/>
    <x v="499"/>
    <x v="2"/>
  </r>
  <r>
    <x v="24"/>
    <x v="14"/>
    <x v="141"/>
    <x v="179"/>
    <x v="375"/>
    <x v="578"/>
    <x v="467"/>
    <x v="535"/>
    <x v="498"/>
    <x v="2"/>
  </r>
  <r>
    <x v="16"/>
    <x v="19"/>
    <x v="100"/>
    <x v="9"/>
    <x v="659"/>
    <x v="619"/>
    <x v="637"/>
    <x v="649"/>
    <x v="497"/>
    <x v="2"/>
  </r>
  <r>
    <x v="27"/>
    <x v="10"/>
    <x v="662"/>
    <x v="454"/>
    <x v="699"/>
    <x v="57"/>
    <x v="192"/>
    <x v="465"/>
    <x v="496"/>
    <x v="2"/>
  </r>
  <r>
    <x v="0"/>
    <x v="6"/>
    <x v="699"/>
    <x v="590"/>
    <x v="614"/>
    <x v="20"/>
    <x v="56"/>
    <x v="418"/>
    <x v="495"/>
    <x v="2"/>
  </r>
  <r>
    <x v="9"/>
    <x v="23"/>
    <x v="175"/>
    <x v="215"/>
    <x v="70"/>
    <x v="544"/>
    <x v="431"/>
    <x v="515"/>
    <x v="494"/>
    <x v="2"/>
  </r>
  <r>
    <x v="14"/>
    <x v="18"/>
    <x v="237"/>
    <x v="68"/>
    <x v="655"/>
    <x v="482"/>
    <x v="578"/>
    <x v="606"/>
    <x v="493"/>
    <x v="2"/>
  </r>
  <r>
    <x v="28"/>
    <x v="15"/>
    <x v="79"/>
    <x v="126"/>
    <x v="171"/>
    <x v="640"/>
    <x v="520"/>
    <x v="559"/>
    <x v="492"/>
    <x v="2"/>
  </r>
  <r>
    <x v="1"/>
    <x v="6"/>
    <x v="554"/>
    <x v="600"/>
    <x v="128"/>
    <x v="165"/>
    <x v="46"/>
    <x v="411"/>
    <x v="491"/>
    <x v="2"/>
  </r>
  <r>
    <x v="7"/>
    <x v="3"/>
    <x v="632"/>
    <x v="350"/>
    <x v="596"/>
    <x v="87"/>
    <x v="296"/>
    <x v="472"/>
    <x v="490"/>
    <x v="2"/>
  </r>
  <r>
    <x v="24"/>
    <x v="16"/>
    <x v="125"/>
    <x v="169"/>
    <x v="238"/>
    <x v="594"/>
    <x v="477"/>
    <x v="529"/>
    <x v="489"/>
    <x v="2"/>
  </r>
  <r>
    <x v="25"/>
    <x v="17"/>
    <x v="108"/>
    <x v="157"/>
    <x v="178"/>
    <x v="611"/>
    <x v="489"/>
    <x v="541"/>
    <x v="488"/>
    <x v="2"/>
  </r>
  <r>
    <x v="22"/>
    <x v="7"/>
    <x v="564"/>
    <x v="604"/>
    <x v="274"/>
    <x v="155"/>
    <x v="42"/>
    <x v="400"/>
    <x v="487"/>
    <x v="2"/>
  </r>
  <r>
    <x v="18"/>
    <x v="11"/>
    <x v="330"/>
    <x v="405"/>
    <x v="514"/>
    <x v="389"/>
    <x v="241"/>
    <x v="453"/>
    <x v="486"/>
    <x v="2"/>
  </r>
  <r>
    <x v="4"/>
    <x v="2"/>
    <x v="509"/>
    <x v="576"/>
    <x v="123"/>
    <x v="210"/>
    <x v="70"/>
    <x v="414"/>
    <x v="485"/>
    <x v="2"/>
  </r>
  <r>
    <x v="6"/>
    <x v="14"/>
    <x v="646"/>
    <x v="397"/>
    <x v="690"/>
    <x v="73"/>
    <x v="249"/>
    <x v="452"/>
    <x v="484"/>
    <x v="2"/>
  </r>
  <r>
    <x v="29"/>
    <x v="18"/>
    <x v="16"/>
    <x v="56"/>
    <x v="39"/>
    <x v="703"/>
    <x v="590"/>
    <x v="600"/>
    <x v="483"/>
    <x v="2"/>
  </r>
  <r>
    <x v="8"/>
    <x v="20"/>
    <x v="19"/>
    <x v="60"/>
    <x v="40"/>
    <x v="700"/>
    <x v="586"/>
    <x v="594"/>
    <x v="482"/>
    <x v="2"/>
  </r>
  <r>
    <x v="8"/>
    <x v="18"/>
    <x v="89"/>
    <x v="127"/>
    <x v="65"/>
    <x v="630"/>
    <x v="519"/>
    <x v="539"/>
    <x v="481"/>
    <x v="2"/>
  </r>
  <r>
    <x v="3"/>
    <x v="1"/>
    <x v="505"/>
    <x v="570"/>
    <x v="124"/>
    <x v="214"/>
    <x v="76"/>
    <x v="410"/>
    <x v="480"/>
    <x v="2"/>
  </r>
  <r>
    <x v="9"/>
    <x v="22"/>
    <x v="76"/>
    <x v="118"/>
    <x v="56"/>
    <x v="643"/>
    <x v="528"/>
    <x v="545"/>
    <x v="479"/>
    <x v="2"/>
  </r>
  <r>
    <x v="29"/>
    <x v="4"/>
    <x v="254"/>
    <x v="281"/>
    <x v="93"/>
    <x v="465"/>
    <x v="365"/>
    <x v="467"/>
    <x v="478"/>
    <x v="2"/>
  </r>
  <r>
    <x v="6"/>
    <x v="15"/>
    <x v="639"/>
    <x v="396"/>
    <x v="681"/>
    <x v="80"/>
    <x v="250"/>
    <x v="442"/>
    <x v="477"/>
    <x v="2"/>
  </r>
  <r>
    <x v="20"/>
    <x v="12"/>
    <x v="660"/>
    <x v="491"/>
    <x v="695"/>
    <x v="59"/>
    <x v="155"/>
    <x v="437"/>
    <x v="476"/>
    <x v="2"/>
  </r>
  <r>
    <x v="18"/>
    <x v="12"/>
    <x v="339"/>
    <x v="400"/>
    <x v="517"/>
    <x v="380"/>
    <x v="246"/>
    <x v="441"/>
    <x v="475"/>
    <x v="2"/>
  </r>
  <r>
    <x v="2"/>
    <x v="15"/>
    <x v="272"/>
    <x v="297"/>
    <x v="285"/>
    <x v="447"/>
    <x v="349"/>
    <x v="456"/>
    <x v="474"/>
    <x v="2"/>
  </r>
  <r>
    <x v="7"/>
    <x v="12"/>
    <x v="357"/>
    <x v="420"/>
    <x v="371"/>
    <x v="362"/>
    <x v="226"/>
    <x v="439"/>
    <x v="473"/>
    <x v="2"/>
  </r>
  <r>
    <x v="7"/>
    <x v="21"/>
    <x v="24"/>
    <x v="63"/>
    <x v="49"/>
    <x v="695"/>
    <x v="583"/>
    <x v="571"/>
    <x v="472"/>
    <x v="2"/>
  </r>
  <r>
    <x v="7"/>
    <x v="17"/>
    <x v="188"/>
    <x v="214"/>
    <x v="152"/>
    <x v="531"/>
    <x v="432"/>
    <x v="473"/>
    <x v="471"/>
    <x v="2"/>
  </r>
  <r>
    <x v="14"/>
    <x v="12"/>
    <x v="347"/>
    <x v="400"/>
    <x v="499"/>
    <x v="372"/>
    <x v="246"/>
    <x v="432"/>
    <x v="470"/>
    <x v="2"/>
  </r>
  <r>
    <x v="3"/>
    <x v="17"/>
    <x v="218"/>
    <x v="241"/>
    <x v="125"/>
    <x v="501"/>
    <x v="405"/>
    <x v="461"/>
    <x v="469"/>
    <x v="2"/>
  </r>
  <r>
    <x v="29"/>
    <x v="3"/>
    <x v="247"/>
    <x v="272"/>
    <x v="103"/>
    <x v="472"/>
    <x v="374"/>
    <x v="450"/>
    <x v="468"/>
    <x v="2"/>
  </r>
  <r>
    <x v="0"/>
    <x v="7"/>
    <x v="695"/>
    <x v="578"/>
    <x v="633"/>
    <x v="24"/>
    <x v="68"/>
    <x v="386"/>
    <x v="467"/>
    <x v="2"/>
  </r>
  <r>
    <x v="29"/>
    <x v="2"/>
    <x v="259"/>
    <x v="280"/>
    <x v="104"/>
    <x v="460"/>
    <x v="366"/>
    <x v="447"/>
    <x v="466"/>
    <x v="2"/>
  </r>
  <r>
    <x v="3"/>
    <x v="18"/>
    <x v="166"/>
    <x v="189"/>
    <x v="91"/>
    <x v="553"/>
    <x v="457"/>
    <x v="479"/>
    <x v="465"/>
    <x v="2"/>
  </r>
  <r>
    <x v="21"/>
    <x v="17"/>
    <x v="191"/>
    <x v="213"/>
    <x v="267"/>
    <x v="528"/>
    <x v="433"/>
    <x v="469"/>
    <x v="464"/>
    <x v="2"/>
  </r>
  <r>
    <x v="9"/>
    <x v="0"/>
    <x v="325"/>
    <x v="368"/>
    <x v="112"/>
    <x v="394"/>
    <x v="278"/>
    <x v="436"/>
    <x v="463"/>
    <x v="2"/>
  </r>
  <r>
    <x v="9"/>
    <x v="21"/>
    <x v="15"/>
    <x v="50"/>
    <x v="48"/>
    <x v="704"/>
    <x v="596"/>
    <x v="573"/>
    <x v="462"/>
    <x v="2"/>
  </r>
  <r>
    <x v="7"/>
    <x v="22"/>
    <x v="99"/>
    <x v="138"/>
    <x v="73"/>
    <x v="620"/>
    <x v="508"/>
    <x v="509"/>
    <x v="461"/>
    <x v="2"/>
  </r>
  <r>
    <x v="4"/>
    <x v="22"/>
    <x v="179"/>
    <x v="200"/>
    <x v="92"/>
    <x v="540"/>
    <x v="446"/>
    <x v="471"/>
    <x v="460"/>
    <x v="2"/>
  </r>
  <r>
    <x v="17"/>
    <x v="6"/>
    <x v="638"/>
    <x v="418"/>
    <x v="588"/>
    <x v="81"/>
    <x v="228"/>
    <x v="428"/>
    <x v="459"/>
    <x v="2"/>
  </r>
  <r>
    <x v="4"/>
    <x v="4"/>
    <x v="539"/>
    <x v="582"/>
    <x v="151"/>
    <x v="180"/>
    <x v="64"/>
    <x v="369"/>
    <x v="458"/>
    <x v="2"/>
  </r>
  <r>
    <x v="5"/>
    <x v="1"/>
    <x v="481"/>
    <x v="549"/>
    <x v="139"/>
    <x v="238"/>
    <x v="97"/>
    <x v="388"/>
    <x v="457"/>
    <x v="2"/>
  </r>
  <r>
    <x v="12"/>
    <x v="0"/>
    <x v="362"/>
    <x v="412"/>
    <x v="118"/>
    <x v="357"/>
    <x v="234"/>
    <x v="423"/>
    <x v="456"/>
    <x v="2"/>
  </r>
  <r>
    <x v="17"/>
    <x v="15"/>
    <x v="210"/>
    <x v="221"/>
    <x v="291"/>
    <x v="509"/>
    <x v="425"/>
    <x v="454"/>
    <x v="455"/>
    <x v="2"/>
  </r>
  <r>
    <x v="11"/>
    <x v="19"/>
    <x v="112"/>
    <x v="31"/>
    <x v="646"/>
    <x v="607"/>
    <x v="615"/>
    <x v="593"/>
    <x v="454"/>
    <x v="2"/>
  </r>
  <r>
    <x v="7"/>
    <x v="5"/>
    <x v="688"/>
    <x v="568"/>
    <x v="568"/>
    <x v="31"/>
    <x v="78"/>
    <x v="379"/>
    <x v="453"/>
    <x v="2"/>
  </r>
  <r>
    <x v="13"/>
    <x v="22"/>
    <x v="423"/>
    <x v="158"/>
    <x v="605"/>
    <x v="296"/>
    <x v="488"/>
    <x v="494"/>
    <x v="452"/>
    <x v="2"/>
  </r>
  <r>
    <x v="17"/>
    <x v="1"/>
    <x v="437"/>
    <x v="164"/>
    <x v="602"/>
    <x v="282"/>
    <x v="482"/>
    <x v="485"/>
    <x v="451"/>
    <x v="2"/>
  </r>
  <r>
    <x v="12"/>
    <x v="11"/>
    <x v="626"/>
    <x v="372"/>
    <x v="678"/>
    <x v="93"/>
    <x v="274"/>
    <x v="426"/>
    <x v="450"/>
    <x v="2"/>
  </r>
  <r>
    <x v="13"/>
    <x v="19"/>
    <x v="317"/>
    <x v="115"/>
    <x v="622"/>
    <x v="402"/>
    <x v="531"/>
    <x v="513"/>
    <x v="449"/>
    <x v="2"/>
  </r>
  <r>
    <x v="13"/>
    <x v="23"/>
    <x v="585"/>
    <x v="283"/>
    <x v="584"/>
    <x v="134"/>
    <x v="363"/>
    <x v="438"/>
    <x v="448"/>
    <x v="2"/>
  </r>
  <r>
    <x v="8"/>
    <x v="7"/>
    <x v="622"/>
    <x v="365"/>
    <x v="626"/>
    <x v="97"/>
    <x v="281"/>
    <x v="420"/>
    <x v="447"/>
    <x v="2"/>
  </r>
  <r>
    <x v="15"/>
    <x v="11"/>
    <x v="398"/>
    <x v="490"/>
    <x v="526"/>
    <x v="321"/>
    <x v="156"/>
    <x v="405"/>
    <x v="446"/>
    <x v="2"/>
  </r>
  <r>
    <x v="18"/>
    <x v="13"/>
    <x v="350"/>
    <x v="389"/>
    <x v="532"/>
    <x v="369"/>
    <x v="257"/>
    <x v="415"/>
    <x v="445"/>
    <x v="2"/>
  </r>
  <r>
    <x v="9"/>
    <x v="1"/>
    <x v="326"/>
    <x v="357"/>
    <x v="121"/>
    <x v="393"/>
    <x v="289"/>
    <x v="417"/>
    <x v="444"/>
    <x v="2"/>
  </r>
  <r>
    <x v="27"/>
    <x v="11"/>
    <x v="641"/>
    <x v="449"/>
    <x v="697"/>
    <x v="78"/>
    <x v="197"/>
    <x v="406"/>
    <x v="443"/>
    <x v="2"/>
  </r>
  <r>
    <x v="28"/>
    <x v="19"/>
    <x v="3"/>
    <x v="24"/>
    <x v="44"/>
    <x v="716"/>
    <x v="622"/>
    <x v="585"/>
    <x v="442"/>
    <x v="2"/>
  </r>
  <r>
    <x v="16"/>
    <x v="20"/>
    <x v="59"/>
    <x v="0"/>
    <x v="649"/>
    <x v="660"/>
    <x v="646"/>
    <x v="608"/>
    <x v="441"/>
    <x v="2"/>
  </r>
  <r>
    <x v="10"/>
    <x v="14"/>
    <x v="260"/>
    <x v="270"/>
    <x v="421"/>
    <x v="459"/>
    <x v="376"/>
    <x v="434"/>
    <x v="440"/>
    <x v="2"/>
  </r>
  <r>
    <x v="1"/>
    <x v="22"/>
    <x v="180"/>
    <x v="194"/>
    <x v="105"/>
    <x v="539"/>
    <x v="452"/>
    <x v="445"/>
    <x v="439"/>
    <x v="2"/>
  </r>
  <r>
    <x v="4"/>
    <x v="21"/>
    <x v="68"/>
    <x v="98"/>
    <x v="75"/>
    <x v="651"/>
    <x v="548"/>
    <x v="505"/>
    <x v="438"/>
    <x v="2"/>
  </r>
  <r>
    <x v="11"/>
    <x v="1"/>
    <x v="331"/>
    <x v="356"/>
    <x v="126"/>
    <x v="388"/>
    <x v="290"/>
    <x v="409"/>
    <x v="437"/>
    <x v="2"/>
  </r>
  <r>
    <x v="10"/>
    <x v="8"/>
    <x v="385"/>
    <x v="453"/>
    <x v="279"/>
    <x v="334"/>
    <x v="193"/>
    <x v="394"/>
    <x v="436"/>
    <x v="2"/>
  </r>
  <r>
    <x v="15"/>
    <x v="23"/>
    <x v="332"/>
    <x v="124"/>
    <x v="603"/>
    <x v="387"/>
    <x v="522"/>
    <x v="491"/>
    <x v="435"/>
    <x v="2"/>
  </r>
  <r>
    <x v="0"/>
    <x v="3"/>
    <x v="654"/>
    <x v="506"/>
    <x v="564"/>
    <x v="65"/>
    <x v="140"/>
    <x v="387"/>
    <x v="434"/>
    <x v="2"/>
  </r>
  <r>
    <x v="5"/>
    <x v="0"/>
    <x v="458"/>
    <x v="529"/>
    <x v="149"/>
    <x v="261"/>
    <x v="117"/>
    <x v="372"/>
    <x v="433"/>
    <x v="2"/>
  </r>
  <r>
    <x v="2"/>
    <x v="18"/>
    <x v="167"/>
    <x v="182"/>
    <x v="113"/>
    <x v="552"/>
    <x v="464"/>
    <x v="449"/>
    <x v="432"/>
    <x v="2"/>
  </r>
  <r>
    <x v="4"/>
    <x v="8"/>
    <x v="588"/>
    <x v="601"/>
    <x v="397"/>
    <x v="131"/>
    <x v="45"/>
    <x v="340"/>
    <x v="431"/>
    <x v="2"/>
  </r>
  <r>
    <x v="18"/>
    <x v="10"/>
    <x v="370"/>
    <x v="404"/>
    <x v="530"/>
    <x v="349"/>
    <x v="242"/>
    <x v="399"/>
    <x v="430"/>
    <x v="2"/>
  </r>
  <r>
    <x v="27"/>
    <x v="12"/>
    <x v="631"/>
    <x v="422"/>
    <x v="696"/>
    <x v="88"/>
    <x v="224"/>
    <x v="393"/>
    <x v="429"/>
    <x v="2"/>
  </r>
  <r>
    <x v="0"/>
    <x v="2"/>
    <x v="651"/>
    <x v="501"/>
    <x v="563"/>
    <x v="68"/>
    <x v="145"/>
    <x v="383"/>
    <x v="428"/>
    <x v="2"/>
  </r>
  <r>
    <x v="1"/>
    <x v="23"/>
    <x v="345"/>
    <x v="366"/>
    <x v="132"/>
    <x v="374"/>
    <x v="280"/>
    <x v="403"/>
    <x v="427"/>
    <x v="2"/>
  </r>
  <r>
    <x v="6"/>
    <x v="16"/>
    <x v="625"/>
    <x v="389"/>
    <x v="664"/>
    <x v="94"/>
    <x v="257"/>
    <x v="396"/>
    <x v="426"/>
    <x v="2"/>
  </r>
  <r>
    <x v="7"/>
    <x v="9"/>
    <x v="371"/>
    <x v="407"/>
    <x v="354"/>
    <x v="348"/>
    <x v="239"/>
    <x v="389"/>
    <x v="425"/>
    <x v="2"/>
  </r>
  <r>
    <x v="7"/>
    <x v="23"/>
    <x v="222"/>
    <x v="225"/>
    <x v="114"/>
    <x v="497"/>
    <x v="421"/>
    <x v="431"/>
    <x v="424"/>
    <x v="2"/>
  </r>
  <r>
    <x v="0"/>
    <x v="4"/>
    <x v="653"/>
    <x v="509"/>
    <x v="561"/>
    <x v="66"/>
    <x v="137"/>
    <x v="378"/>
    <x v="423"/>
    <x v="2"/>
  </r>
  <r>
    <x v="9"/>
    <x v="16"/>
    <x v="215"/>
    <x v="218"/>
    <x v="219"/>
    <x v="504"/>
    <x v="428"/>
    <x v="435"/>
    <x v="422"/>
    <x v="2"/>
  </r>
  <r>
    <x v="12"/>
    <x v="5"/>
    <x v="546"/>
    <x v="256"/>
    <x v="579"/>
    <x v="173"/>
    <x v="390"/>
    <x v="425"/>
    <x v="421"/>
    <x v="2"/>
  </r>
  <r>
    <x v="4"/>
    <x v="3"/>
    <x v="531"/>
    <x v="568"/>
    <x v="164"/>
    <x v="188"/>
    <x v="78"/>
    <x v="354"/>
    <x v="420"/>
    <x v="2"/>
  </r>
  <r>
    <x v="17"/>
    <x v="0"/>
    <x v="383"/>
    <x v="151"/>
    <x v="590"/>
    <x v="336"/>
    <x v="495"/>
    <x v="458"/>
    <x v="419"/>
    <x v="2"/>
  </r>
  <r>
    <x v="11"/>
    <x v="5"/>
    <x v="387"/>
    <x v="437"/>
    <x v="144"/>
    <x v="332"/>
    <x v="209"/>
    <x v="381"/>
    <x v="418"/>
    <x v="2"/>
  </r>
  <r>
    <x v="22"/>
    <x v="14"/>
    <x v="229"/>
    <x v="231"/>
    <x v="337"/>
    <x v="490"/>
    <x v="415"/>
    <x v="427"/>
    <x v="417"/>
    <x v="2"/>
  </r>
  <r>
    <x v="20"/>
    <x v="18"/>
    <x v="391"/>
    <x v="441"/>
    <x v="243"/>
    <x v="328"/>
    <x v="205"/>
    <x v="380"/>
    <x v="416"/>
    <x v="2"/>
  </r>
  <r>
    <x v="21"/>
    <x v="22"/>
    <x v="152"/>
    <x v="47"/>
    <x v="621"/>
    <x v="567"/>
    <x v="599"/>
    <x v="523"/>
    <x v="415"/>
    <x v="2"/>
  </r>
  <r>
    <x v="19"/>
    <x v="15"/>
    <x v="392"/>
    <x v="447"/>
    <x v="457"/>
    <x v="327"/>
    <x v="199"/>
    <x v="376"/>
    <x v="414"/>
    <x v="2"/>
  </r>
  <r>
    <x v="9"/>
    <x v="20"/>
    <x v="8"/>
    <x v="39"/>
    <x v="57"/>
    <x v="711"/>
    <x v="607"/>
    <x v="543"/>
    <x v="413"/>
    <x v="2"/>
  </r>
  <r>
    <x v="3"/>
    <x v="22"/>
    <x v="158"/>
    <x v="173"/>
    <x v="111"/>
    <x v="561"/>
    <x v="473"/>
    <x v="440"/>
    <x v="412"/>
    <x v="2"/>
  </r>
  <r>
    <x v="18"/>
    <x v="8"/>
    <x v="516"/>
    <x v="219"/>
    <x v="661"/>
    <x v="203"/>
    <x v="427"/>
    <x v="421"/>
    <x v="411"/>
    <x v="2"/>
  </r>
  <r>
    <x v="2"/>
    <x v="21"/>
    <x v="64"/>
    <x v="91"/>
    <x v="86"/>
    <x v="655"/>
    <x v="555"/>
    <x v="488"/>
    <x v="410"/>
    <x v="2"/>
  </r>
  <r>
    <x v="19"/>
    <x v="8"/>
    <x v="640"/>
    <x v="623"/>
    <x v="583"/>
    <x v="79"/>
    <x v="23"/>
    <x v="295"/>
    <x v="409"/>
    <x v="2"/>
  </r>
  <r>
    <x v="4"/>
    <x v="17"/>
    <x v="255"/>
    <x v="252"/>
    <x v="256"/>
    <x v="464"/>
    <x v="394"/>
    <x v="407"/>
    <x v="408"/>
    <x v="2"/>
  </r>
  <r>
    <x v="18"/>
    <x v="14"/>
    <x v="277"/>
    <x v="276"/>
    <x v="480"/>
    <x v="442"/>
    <x v="370"/>
    <x v="401"/>
    <x v="407"/>
    <x v="2"/>
  </r>
  <r>
    <x v="1"/>
    <x v="8"/>
    <x v="584"/>
    <x v="598"/>
    <x v="390"/>
    <x v="135"/>
    <x v="48"/>
    <x v="324"/>
    <x v="406"/>
    <x v="2"/>
  </r>
  <r>
    <x v="4"/>
    <x v="5"/>
    <x v="612"/>
    <x v="608"/>
    <x v="192"/>
    <x v="107"/>
    <x v="38"/>
    <x v="308"/>
    <x v="405"/>
    <x v="2"/>
  </r>
  <r>
    <x v="24"/>
    <x v="0"/>
    <x v="303"/>
    <x v="306"/>
    <x v="142"/>
    <x v="416"/>
    <x v="340"/>
    <x v="385"/>
    <x v="404"/>
    <x v="2"/>
  </r>
  <r>
    <x v="4"/>
    <x v="18"/>
    <x v="207"/>
    <x v="205"/>
    <x v="155"/>
    <x v="512"/>
    <x v="441"/>
    <x v="413"/>
    <x v="403"/>
    <x v="2"/>
  </r>
  <r>
    <x v="0"/>
    <x v="0"/>
    <x v="627"/>
    <x v="430"/>
    <x v="556"/>
    <x v="92"/>
    <x v="216"/>
    <x v="364"/>
    <x v="402"/>
    <x v="2"/>
  </r>
  <r>
    <x v="4"/>
    <x v="23"/>
    <x v="336"/>
    <x v="344"/>
    <x v="150"/>
    <x v="383"/>
    <x v="302"/>
    <x v="370"/>
    <x v="401"/>
    <x v="2"/>
  </r>
  <r>
    <x v="12"/>
    <x v="12"/>
    <x v="617"/>
    <x v="380"/>
    <x v="673"/>
    <x v="102"/>
    <x v="266"/>
    <x v="367"/>
    <x v="400"/>
    <x v="2"/>
  </r>
  <r>
    <x v="20"/>
    <x v="13"/>
    <x v="636"/>
    <x v="484"/>
    <x v="686"/>
    <x v="83"/>
    <x v="162"/>
    <x v="359"/>
    <x v="399"/>
    <x v="2"/>
  </r>
  <r>
    <x v="3"/>
    <x v="16"/>
    <x v="327"/>
    <x v="333"/>
    <x v="278"/>
    <x v="392"/>
    <x v="313"/>
    <x v="373"/>
    <x v="398"/>
    <x v="2"/>
  </r>
  <r>
    <x v="13"/>
    <x v="20"/>
    <x v="221"/>
    <x v="83"/>
    <x v="599"/>
    <x v="498"/>
    <x v="563"/>
    <x v="474"/>
    <x v="397"/>
    <x v="2"/>
  </r>
  <r>
    <x v="15"/>
    <x v="12"/>
    <x v="421"/>
    <x v="487"/>
    <x v="516"/>
    <x v="298"/>
    <x v="159"/>
    <x v="356"/>
    <x v="396"/>
    <x v="2"/>
  </r>
  <r>
    <x v="25"/>
    <x v="4"/>
    <x v="309"/>
    <x v="309"/>
    <x v="147"/>
    <x v="410"/>
    <x v="337"/>
    <x v="375"/>
    <x v="395"/>
    <x v="2"/>
  </r>
  <r>
    <x v="10"/>
    <x v="18"/>
    <x v="75"/>
    <x v="99"/>
    <x v="106"/>
    <x v="644"/>
    <x v="547"/>
    <x v="457"/>
    <x v="394"/>
    <x v="2"/>
  </r>
  <r>
    <x v="14"/>
    <x v="17"/>
    <x v="290"/>
    <x v="116"/>
    <x v="650"/>
    <x v="429"/>
    <x v="530"/>
    <x v="446"/>
    <x v="393"/>
    <x v="2"/>
  </r>
  <r>
    <x v="2"/>
    <x v="8"/>
    <x v="543"/>
    <x v="574"/>
    <x v="392"/>
    <x v="176"/>
    <x v="72"/>
    <x v="321"/>
    <x v="392"/>
    <x v="2"/>
  </r>
  <r>
    <x v="27"/>
    <x v="15"/>
    <x v="606"/>
    <x v="363"/>
    <x v="687"/>
    <x v="113"/>
    <x v="283"/>
    <x v="362"/>
    <x v="391"/>
    <x v="2"/>
  </r>
  <r>
    <x v="9"/>
    <x v="2"/>
    <x v="380"/>
    <x v="398"/>
    <x v="159"/>
    <x v="339"/>
    <x v="248"/>
    <x v="360"/>
    <x v="390"/>
    <x v="2"/>
  </r>
  <r>
    <x v="8"/>
    <x v="0"/>
    <x v="289"/>
    <x v="288"/>
    <x v="145"/>
    <x v="430"/>
    <x v="358"/>
    <x v="377"/>
    <x v="389"/>
    <x v="2"/>
  </r>
  <r>
    <x v="16"/>
    <x v="7"/>
    <x v="652"/>
    <x v="517"/>
    <x v="638"/>
    <x v="67"/>
    <x v="129"/>
    <x v="342"/>
    <x v="388"/>
    <x v="2"/>
  </r>
  <r>
    <x v="21"/>
    <x v="16"/>
    <x v="203"/>
    <x v="199"/>
    <x v="352"/>
    <x v="516"/>
    <x v="447"/>
    <x v="404"/>
    <x v="387"/>
    <x v="2"/>
  </r>
  <r>
    <x v="15"/>
    <x v="22"/>
    <x v="177"/>
    <x v="69"/>
    <x v="600"/>
    <x v="542"/>
    <x v="577"/>
    <x v="477"/>
    <x v="386"/>
    <x v="2"/>
  </r>
  <r>
    <x v="0"/>
    <x v="1"/>
    <x v="634"/>
    <x v="483"/>
    <x v="547"/>
    <x v="85"/>
    <x v="163"/>
    <x v="344"/>
    <x v="385"/>
    <x v="2"/>
  </r>
  <r>
    <x v="3"/>
    <x v="0"/>
    <x v="536"/>
    <x v="565"/>
    <x v="185"/>
    <x v="183"/>
    <x v="81"/>
    <x v="314"/>
    <x v="384"/>
    <x v="2"/>
  </r>
  <r>
    <x v="26"/>
    <x v="10"/>
    <x v="431"/>
    <x v="489"/>
    <x v="597"/>
    <x v="288"/>
    <x v="157"/>
    <x v="338"/>
    <x v="383"/>
    <x v="2"/>
  </r>
  <r>
    <x v="28"/>
    <x v="18"/>
    <x v="38"/>
    <x v="67"/>
    <x v="102"/>
    <x v="681"/>
    <x v="579"/>
    <x v="470"/>
    <x v="382"/>
    <x v="2"/>
  </r>
  <r>
    <x v="27"/>
    <x v="14"/>
    <x v="608"/>
    <x v="374"/>
    <x v="691"/>
    <x v="111"/>
    <x v="272"/>
    <x v="350"/>
    <x v="381"/>
    <x v="2"/>
  </r>
  <r>
    <x v="9"/>
    <x v="7"/>
    <x v="599"/>
    <x v="358"/>
    <x v="592"/>
    <x v="120"/>
    <x v="288"/>
    <x v="355"/>
    <x v="380"/>
    <x v="2"/>
  </r>
  <r>
    <x v="14"/>
    <x v="23"/>
    <x v="291"/>
    <x v="119"/>
    <x v="582"/>
    <x v="428"/>
    <x v="527"/>
    <x v="433"/>
    <x v="379"/>
    <x v="2"/>
  </r>
  <r>
    <x v="15"/>
    <x v="21"/>
    <x v="81"/>
    <x v="23"/>
    <x v="615"/>
    <x v="638"/>
    <x v="623"/>
    <x v="510"/>
    <x v="378"/>
    <x v="2"/>
  </r>
  <r>
    <x v="28"/>
    <x v="6"/>
    <x v="655"/>
    <x v="626"/>
    <x v="277"/>
    <x v="64"/>
    <x v="20"/>
    <x v="274"/>
    <x v="377"/>
    <x v="2"/>
  </r>
  <r>
    <x v="5"/>
    <x v="2"/>
    <x v="550"/>
    <x v="577"/>
    <x v="189"/>
    <x v="169"/>
    <x v="69"/>
    <x v="299"/>
    <x v="376"/>
    <x v="2"/>
  </r>
  <r>
    <x v="28"/>
    <x v="20"/>
    <x v="1"/>
    <x v="2"/>
    <x v="67"/>
    <x v="718"/>
    <x v="644"/>
    <x v="522"/>
    <x v="375"/>
    <x v="2"/>
  </r>
  <r>
    <x v="25"/>
    <x v="16"/>
    <x v="136"/>
    <x v="147"/>
    <x v="419"/>
    <x v="583"/>
    <x v="499"/>
    <x v="412"/>
    <x v="374"/>
    <x v="2"/>
  </r>
  <r>
    <x v="3"/>
    <x v="20"/>
    <x v="44"/>
    <x v="75"/>
    <x v="101"/>
    <x v="675"/>
    <x v="571"/>
    <x v="451"/>
    <x v="373"/>
    <x v="2"/>
  </r>
  <r>
    <x v="12"/>
    <x v="14"/>
    <x v="609"/>
    <x v="387"/>
    <x v="669"/>
    <x v="110"/>
    <x v="259"/>
    <x v="341"/>
    <x v="372"/>
    <x v="2"/>
  </r>
  <r>
    <x v="14"/>
    <x v="14"/>
    <x v="265"/>
    <x v="249"/>
    <x v="545"/>
    <x v="454"/>
    <x v="397"/>
    <x v="365"/>
    <x v="371"/>
    <x v="2"/>
  </r>
  <r>
    <x v="25"/>
    <x v="5"/>
    <x v="386"/>
    <x v="395"/>
    <x v="174"/>
    <x v="333"/>
    <x v="251"/>
    <x v="336"/>
    <x v="370"/>
    <x v="2"/>
  </r>
  <r>
    <x v="12"/>
    <x v="13"/>
    <x v="607"/>
    <x v="388"/>
    <x v="672"/>
    <x v="112"/>
    <x v="258"/>
    <x v="335"/>
    <x v="369"/>
    <x v="2"/>
  </r>
  <r>
    <x v="9"/>
    <x v="18"/>
    <x v="90"/>
    <x v="107"/>
    <x v="131"/>
    <x v="629"/>
    <x v="539"/>
    <x v="430"/>
    <x v="368"/>
    <x v="2"/>
  </r>
  <r>
    <x v="28"/>
    <x v="23"/>
    <x v="107"/>
    <x v="125"/>
    <x v="122"/>
    <x v="612"/>
    <x v="521"/>
    <x v="416"/>
    <x v="367"/>
    <x v="2"/>
  </r>
  <r>
    <x v="14"/>
    <x v="11"/>
    <x v="403"/>
    <x v="416"/>
    <x v="575"/>
    <x v="316"/>
    <x v="230"/>
    <x v="331"/>
    <x v="366"/>
    <x v="2"/>
  </r>
  <r>
    <x v="27"/>
    <x v="18"/>
    <x v="360"/>
    <x v="347"/>
    <x v="273"/>
    <x v="359"/>
    <x v="299"/>
    <x v="337"/>
    <x v="365"/>
    <x v="2"/>
  </r>
  <r>
    <x v="15"/>
    <x v="19"/>
    <x v="77"/>
    <x v="21"/>
    <x v="608"/>
    <x v="642"/>
    <x v="625"/>
    <x v="495"/>
    <x v="364"/>
    <x v="2"/>
  </r>
  <r>
    <x v="15"/>
    <x v="20"/>
    <x v="60"/>
    <x v="8"/>
    <x v="610"/>
    <x v="659"/>
    <x v="638"/>
    <x v="502"/>
    <x v="363"/>
    <x v="1"/>
  </r>
  <r>
    <x v="28"/>
    <x v="21"/>
    <x v="4"/>
    <x v="15"/>
    <x v="82"/>
    <x v="715"/>
    <x v="631"/>
    <x v="497"/>
    <x v="362"/>
    <x v="1"/>
  </r>
  <r>
    <x v="14"/>
    <x v="13"/>
    <x v="273"/>
    <x v="253"/>
    <x v="553"/>
    <x v="446"/>
    <x v="393"/>
    <x v="352"/>
    <x v="361"/>
    <x v="1"/>
  </r>
  <r>
    <x v="7"/>
    <x v="20"/>
    <x v="18"/>
    <x v="43"/>
    <x v="98"/>
    <x v="701"/>
    <x v="603"/>
    <x v="459"/>
    <x v="360"/>
    <x v="1"/>
  </r>
  <r>
    <x v="4"/>
    <x v="13"/>
    <x v="415"/>
    <x v="423"/>
    <x v="560"/>
    <x v="304"/>
    <x v="223"/>
    <x v="316"/>
    <x v="359"/>
    <x v="1"/>
  </r>
  <r>
    <x v="27"/>
    <x v="13"/>
    <x v="605"/>
    <x v="399"/>
    <x v="692"/>
    <x v="114"/>
    <x v="247"/>
    <x v="323"/>
    <x v="358"/>
    <x v="1"/>
  </r>
  <r>
    <x v="11"/>
    <x v="20"/>
    <x v="63"/>
    <x v="10"/>
    <x v="604"/>
    <x v="656"/>
    <x v="636"/>
    <x v="493"/>
    <x v="357"/>
    <x v="1"/>
  </r>
  <r>
    <x v="20"/>
    <x v="14"/>
    <x v="624"/>
    <x v="473"/>
    <x v="679"/>
    <x v="95"/>
    <x v="173"/>
    <x v="310"/>
    <x v="356"/>
    <x v="1"/>
  </r>
  <r>
    <x v="27"/>
    <x v="22"/>
    <x v="251"/>
    <x v="222"/>
    <x v="165"/>
    <x v="468"/>
    <x v="424"/>
    <x v="353"/>
    <x v="355"/>
    <x v="1"/>
  </r>
  <r>
    <x v="29"/>
    <x v="1"/>
    <x v="226"/>
    <x v="206"/>
    <x v="161"/>
    <x v="493"/>
    <x v="440"/>
    <x v="357"/>
    <x v="354"/>
    <x v="1"/>
  </r>
  <r>
    <x v="0"/>
    <x v="16"/>
    <x v="338"/>
    <x v="315"/>
    <x v="378"/>
    <x v="381"/>
    <x v="331"/>
    <x v="329"/>
    <x v="353"/>
    <x v="1"/>
  </r>
  <r>
    <x v="3"/>
    <x v="21"/>
    <x v="66"/>
    <x v="83"/>
    <x v="119"/>
    <x v="653"/>
    <x v="563"/>
    <x v="422"/>
    <x v="352"/>
    <x v="1"/>
  </r>
  <r>
    <x v="19"/>
    <x v="21"/>
    <x v="96"/>
    <x v="40"/>
    <x v="589"/>
    <x v="623"/>
    <x v="606"/>
    <x v="455"/>
    <x v="351"/>
    <x v="1"/>
  </r>
  <r>
    <x v="26"/>
    <x v="6"/>
    <x v="658"/>
    <x v="624"/>
    <x v="301"/>
    <x v="61"/>
    <x v="22"/>
    <x v="251"/>
    <x v="350"/>
    <x v="1"/>
  </r>
  <r>
    <x v="11"/>
    <x v="17"/>
    <x v="269"/>
    <x v="114"/>
    <x v="593"/>
    <x v="450"/>
    <x v="532"/>
    <x v="398"/>
    <x v="349"/>
    <x v="1"/>
  </r>
  <r>
    <x v="17"/>
    <x v="2"/>
    <x v="467"/>
    <x v="212"/>
    <x v="548"/>
    <x v="252"/>
    <x v="434"/>
    <x v="351"/>
    <x v="348"/>
    <x v="1"/>
  </r>
  <r>
    <x v="16"/>
    <x v="21"/>
    <x v="56"/>
    <x v="7"/>
    <x v="601"/>
    <x v="663"/>
    <x v="639"/>
    <x v="480"/>
    <x v="347"/>
    <x v="1"/>
  </r>
  <r>
    <x v="25"/>
    <x v="0"/>
    <x v="257"/>
    <x v="226"/>
    <x v="169"/>
    <x v="462"/>
    <x v="420"/>
    <x v="345"/>
    <x v="346"/>
    <x v="1"/>
  </r>
  <r>
    <x v="27"/>
    <x v="16"/>
    <x v="593"/>
    <x v="593"/>
    <x v="611"/>
    <x v="126"/>
    <x v="53"/>
    <x v="271"/>
    <x v="345"/>
    <x v="1"/>
  </r>
  <r>
    <x v="24"/>
    <x v="1"/>
    <x v="349"/>
    <x v="324"/>
    <x v="183"/>
    <x v="370"/>
    <x v="322"/>
    <x v="319"/>
    <x v="344"/>
    <x v="1"/>
  </r>
  <r>
    <x v="2"/>
    <x v="20"/>
    <x v="52"/>
    <x v="77"/>
    <x v="117"/>
    <x v="667"/>
    <x v="569"/>
    <x v="424"/>
    <x v="343"/>
    <x v="1"/>
  </r>
  <r>
    <x v="12"/>
    <x v="8"/>
    <x v="648"/>
    <x v="618"/>
    <x v="543"/>
    <x v="71"/>
    <x v="28"/>
    <x v="250"/>
    <x v="342"/>
    <x v="1"/>
  </r>
  <r>
    <x v="16"/>
    <x v="9"/>
    <x v="528"/>
    <x v="259"/>
    <x v="658"/>
    <x v="191"/>
    <x v="387"/>
    <x v="334"/>
    <x v="341"/>
    <x v="1"/>
  </r>
  <r>
    <x v="19"/>
    <x v="18"/>
    <x v="231"/>
    <x v="207"/>
    <x v="245"/>
    <x v="488"/>
    <x v="439"/>
    <x v="348"/>
    <x v="340"/>
    <x v="1"/>
  </r>
  <r>
    <x v="11"/>
    <x v="0"/>
    <x v="298"/>
    <x v="275"/>
    <x v="175"/>
    <x v="421"/>
    <x v="371"/>
    <x v="330"/>
    <x v="339"/>
    <x v="1"/>
  </r>
  <r>
    <x v="0"/>
    <x v="14"/>
    <x v="344"/>
    <x v="313"/>
    <x v="536"/>
    <x v="375"/>
    <x v="333"/>
    <x v="318"/>
    <x v="338"/>
    <x v="1"/>
  </r>
  <r>
    <x v="21"/>
    <x v="1"/>
    <x v="604"/>
    <x v="408"/>
    <x v="528"/>
    <x v="115"/>
    <x v="238"/>
    <x v="301"/>
    <x v="337"/>
    <x v="1"/>
  </r>
  <r>
    <x v="13"/>
    <x v="21"/>
    <x v="245"/>
    <x v="103"/>
    <x v="569"/>
    <x v="474"/>
    <x v="543"/>
    <x v="395"/>
    <x v="336"/>
    <x v="1"/>
  </r>
  <r>
    <x v="27"/>
    <x v="4"/>
    <x v="611"/>
    <x v="421"/>
    <x v="524"/>
    <x v="108"/>
    <x v="225"/>
    <x v="296"/>
    <x v="335"/>
    <x v="1"/>
  </r>
  <r>
    <x v="5"/>
    <x v="15"/>
    <x v="428"/>
    <x v="438"/>
    <x v="483"/>
    <x v="291"/>
    <x v="208"/>
    <x v="293"/>
    <x v="334"/>
    <x v="1"/>
  </r>
  <r>
    <x v="25"/>
    <x v="3"/>
    <x v="321"/>
    <x v="295"/>
    <x v="182"/>
    <x v="398"/>
    <x v="351"/>
    <x v="320"/>
    <x v="333"/>
    <x v="1"/>
  </r>
  <r>
    <x v="9"/>
    <x v="9"/>
    <x v="301"/>
    <x v="278"/>
    <x v="383"/>
    <x v="418"/>
    <x v="368"/>
    <x v="322"/>
    <x v="332"/>
    <x v="1"/>
  </r>
  <r>
    <x v="25"/>
    <x v="1"/>
    <x v="281"/>
    <x v="255"/>
    <x v="180"/>
    <x v="438"/>
    <x v="391"/>
    <x v="326"/>
    <x v="331"/>
    <x v="1"/>
  </r>
  <r>
    <x v="29"/>
    <x v="23"/>
    <x v="110"/>
    <x v="123"/>
    <x v="148"/>
    <x v="609"/>
    <x v="523"/>
    <x v="374"/>
    <x v="330"/>
    <x v="1"/>
  </r>
  <r>
    <x v="25"/>
    <x v="2"/>
    <x v="342"/>
    <x v="308"/>
    <x v="187"/>
    <x v="377"/>
    <x v="338"/>
    <x v="312"/>
    <x v="329"/>
    <x v="1"/>
  </r>
  <r>
    <x v="29"/>
    <x v="0"/>
    <x v="213"/>
    <x v="190"/>
    <x v="170"/>
    <x v="506"/>
    <x v="456"/>
    <x v="343"/>
    <x v="328"/>
    <x v="1"/>
  </r>
  <r>
    <x v="21"/>
    <x v="21"/>
    <x v="50"/>
    <x v="5"/>
    <x v="591"/>
    <x v="669"/>
    <x v="641"/>
    <x v="462"/>
    <x v="327"/>
    <x v="1"/>
  </r>
  <r>
    <x v="14"/>
    <x v="10"/>
    <x v="426"/>
    <x v="427"/>
    <x v="578"/>
    <x v="293"/>
    <x v="219"/>
    <x v="290"/>
    <x v="326"/>
    <x v="1"/>
  </r>
  <r>
    <x v="27"/>
    <x v="19"/>
    <x v="165"/>
    <x v="163"/>
    <x v="179"/>
    <x v="554"/>
    <x v="483"/>
    <x v="349"/>
    <x v="325"/>
    <x v="1"/>
  </r>
  <r>
    <x v="18"/>
    <x v="6"/>
    <x v="668"/>
    <x v="560"/>
    <x v="562"/>
    <x v="51"/>
    <x v="86"/>
    <x v="266"/>
    <x v="324"/>
    <x v="1"/>
  </r>
  <r>
    <x v="1"/>
    <x v="21"/>
    <x v="82"/>
    <x v="96"/>
    <x v="143"/>
    <x v="637"/>
    <x v="550"/>
    <x v="382"/>
    <x v="323"/>
    <x v="1"/>
  </r>
  <r>
    <x v="11"/>
    <x v="22"/>
    <x v="169"/>
    <x v="78"/>
    <x v="565"/>
    <x v="550"/>
    <x v="568"/>
    <x v="390"/>
    <x v="322"/>
    <x v="1"/>
  </r>
  <r>
    <x v="28"/>
    <x v="22"/>
    <x v="47"/>
    <x v="71"/>
    <x v="136"/>
    <x v="672"/>
    <x v="575"/>
    <x v="392"/>
    <x v="321"/>
    <x v="1"/>
  </r>
  <r>
    <x v="14"/>
    <x v="22"/>
    <x v="138"/>
    <x v="57"/>
    <x v="573"/>
    <x v="581"/>
    <x v="589"/>
    <x v="402"/>
    <x v="320"/>
    <x v="1"/>
  </r>
  <r>
    <x v="14"/>
    <x v="15"/>
    <x v="243"/>
    <x v="210"/>
    <x v="467"/>
    <x v="476"/>
    <x v="436"/>
    <x v="315"/>
    <x v="319"/>
    <x v="1"/>
  </r>
  <r>
    <x v="5"/>
    <x v="10"/>
    <x v="613"/>
    <x v="458"/>
    <x v="682"/>
    <x v="106"/>
    <x v="188"/>
    <x v="279"/>
    <x v="318"/>
    <x v="1"/>
  </r>
  <r>
    <x v="22"/>
    <x v="15"/>
    <x v="182"/>
    <x v="172"/>
    <x v="460"/>
    <x v="537"/>
    <x v="474"/>
    <x v="332"/>
    <x v="317"/>
    <x v="1"/>
  </r>
  <r>
    <x v="23"/>
    <x v="20"/>
    <x v="14"/>
    <x v="36"/>
    <x v="120"/>
    <x v="705"/>
    <x v="610"/>
    <x v="419"/>
    <x v="316"/>
    <x v="1"/>
  </r>
  <r>
    <x v="2"/>
    <x v="7"/>
    <x v="664"/>
    <x v="625"/>
    <x v="446"/>
    <x v="55"/>
    <x v="21"/>
    <x v="216"/>
    <x v="315"/>
    <x v="1"/>
  </r>
  <r>
    <x v="27"/>
    <x v="21"/>
    <x v="132"/>
    <x v="130"/>
    <x v="168"/>
    <x v="587"/>
    <x v="516"/>
    <x v="347"/>
    <x v="314"/>
    <x v="1"/>
  </r>
  <r>
    <x v="5"/>
    <x v="3"/>
    <x v="544"/>
    <x v="561"/>
    <x v="210"/>
    <x v="175"/>
    <x v="85"/>
    <x v="255"/>
    <x v="313"/>
    <x v="1"/>
  </r>
  <r>
    <x v="2"/>
    <x v="22"/>
    <x v="168"/>
    <x v="160"/>
    <x v="173"/>
    <x v="551"/>
    <x v="486"/>
    <x v="333"/>
    <x v="312"/>
    <x v="1"/>
  </r>
  <r>
    <x v="11"/>
    <x v="3"/>
    <x v="363"/>
    <x v="321"/>
    <x v="198"/>
    <x v="356"/>
    <x v="325"/>
    <x v="285"/>
    <x v="311"/>
    <x v="1"/>
  </r>
  <r>
    <x v="11"/>
    <x v="14"/>
    <x v="267"/>
    <x v="223"/>
    <x v="343"/>
    <x v="452"/>
    <x v="423"/>
    <x v="294"/>
    <x v="310"/>
    <x v="1"/>
  </r>
  <r>
    <x v="20"/>
    <x v="20"/>
    <x v="189"/>
    <x v="86"/>
    <x v="555"/>
    <x v="530"/>
    <x v="560"/>
    <x v="363"/>
    <x v="309"/>
    <x v="1"/>
  </r>
  <r>
    <x v="27"/>
    <x v="3"/>
    <x v="602"/>
    <x v="437"/>
    <x v="509"/>
    <x v="117"/>
    <x v="209"/>
    <x v="270"/>
    <x v="308"/>
    <x v="1"/>
  </r>
  <r>
    <x v="0"/>
    <x v="13"/>
    <x v="372"/>
    <x v="329"/>
    <x v="572"/>
    <x v="347"/>
    <x v="317"/>
    <x v="281"/>
    <x v="307"/>
    <x v="1"/>
  </r>
  <r>
    <x v="23"/>
    <x v="22"/>
    <x v="85"/>
    <x v="94"/>
    <x v="160"/>
    <x v="634"/>
    <x v="552"/>
    <x v="358"/>
    <x v="306"/>
    <x v="1"/>
  </r>
  <r>
    <x v="16"/>
    <x v="6"/>
    <x v="630"/>
    <x v="519"/>
    <x v="541"/>
    <x v="89"/>
    <x v="127"/>
    <x v="259"/>
    <x v="305"/>
    <x v="1"/>
  </r>
  <r>
    <x v="18"/>
    <x v="15"/>
    <x v="227"/>
    <x v="192"/>
    <x v="497"/>
    <x v="492"/>
    <x v="454"/>
    <x v="303"/>
    <x v="304"/>
    <x v="1"/>
  </r>
  <r>
    <x v="11"/>
    <x v="13"/>
    <x v="300"/>
    <x v="261"/>
    <x v="388"/>
    <x v="419"/>
    <x v="385"/>
    <x v="289"/>
    <x v="303"/>
    <x v="1"/>
  </r>
  <r>
    <x v="14"/>
    <x v="20"/>
    <x v="40"/>
    <x v="4"/>
    <x v="581"/>
    <x v="679"/>
    <x v="642"/>
    <x v="429"/>
    <x v="302"/>
    <x v="1"/>
  </r>
  <r>
    <x v="24"/>
    <x v="17"/>
    <x v="148"/>
    <x v="143"/>
    <x v="310"/>
    <x v="571"/>
    <x v="503"/>
    <x v="328"/>
    <x v="301"/>
    <x v="1"/>
  </r>
  <r>
    <x v="0"/>
    <x v="8"/>
    <x v="562"/>
    <x v="351"/>
    <x v="628"/>
    <x v="157"/>
    <x v="295"/>
    <x v="275"/>
    <x v="300"/>
    <x v="1"/>
  </r>
  <r>
    <x v="19"/>
    <x v="7"/>
    <x v="692"/>
    <x v="637"/>
    <x v="567"/>
    <x v="27"/>
    <x v="9"/>
    <x v="191"/>
    <x v="299"/>
    <x v="1"/>
  </r>
  <r>
    <x v="15"/>
    <x v="6"/>
    <x v="663"/>
    <x v="563"/>
    <x v="539"/>
    <x v="56"/>
    <x v="83"/>
    <x v="236"/>
    <x v="298"/>
    <x v="1"/>
  </r>
  <r>
    <x v="19"/>
    <x v="22"/>
    <x v="228"/>
    <x v="104"/>
    <x v="544"/>
    <x v="491"/>
    <x v="542"/>
    <x v="339"/>
    <x v="297"/>
    <x v="1"/>
  </r>
  <r>
    <x v="23"/>
    <x v="19"/>
    <x v="32"/>
    <x v="52"/>
    <x v="154"/>
    <x v="687"/>
    <x v="594"/>
    <x v="371"/>
    <x v="296"/>
    <x v="1"/>
  </r>
  <r>
    <x v="21"/>
    <x v="0"/>
    <x v="589"/>
    <x v="401"/>
    <x v="502"/>
    <x v="130"/>
    <x v="245"/>
    <x v="262"/>
    <x v="295"/>
    <x v="1"/>
  </r>
  <r>
    <x v="8"/>
    <x v="9"/>
    <x v="369"/>
    <x v="317"/>
    <x v="478"/>
    <x v="350"/>
    <x v="329"/>
    <x v="272"/>
    <x v="294"/>
    <x v="1"/>
  </r>
  <r>
    <x v="11"/>
    <x v="16"/>
    <x v="178"/>
    <x v="166"/>
    <x v="229"/>
    <x v="541"/>
    <x v="480"/>
    <x v="307"/>
    <x v="293"/>
    <x v="1"/>
  </r>
  <r>
    <x v="28"/>
    <x v="11"/>
    <x v="181"/>
    <x v="168"/>
    <x v="554"/>
    <x v="538"/>
    <x v="478"/>
    <x v="302"/>
    <x v="292"/>
    <x v="1"/>
  </r>
  <r>
    <x v="1"/>
    <x v="17"/>
    <x v="353"/>
    <x v="301"/>
    <x v="327"/>
    <x v="366"/>
    <x v="345"/>
    <x v="276"/>
    <x v="291"/>
    <x v="1"/>
  </r>
  <r>
    <x v="11"/>
    <x v="21"/>
    <x v="67"/>
    <x v="25"/>
    <x v="570"/>
    <x v="652"/>
    <x v="621"/>
    <x v="397"/>
    <x v="290"/>
    <x v="1"/>
  </r>
  <r>
    <x v="8"/>
    <x v="4"/>
    <x v="404"/>
    <x v="364"/>
    <x v="204"/>
    <x v="315"/>
    <x v="282"/>
    <x v="264"/>
    <x v="289"/>
    <x v="1"/>
  </r>
  <r>
    <x v="14"/>
    <x v="19"/>
    <x v="72"/>
    <x v="28"/>
    <x v="571"/>
    <x v="647"/>
    <x v="618"/>
    <x v="391"/>
    <x v="288"/>
    <x v="1"/>
  </r>
  <r>
    <x v="29"/>
    <x v="22"/>
    <x v="49"/>
    <x v="65"/>
    <x v="158"/>
    <x v="670"/>
    <x v="581"/>
    <x v="361"/>
    <x v="287"/>
    <x v="1"/>
  </r>
  <r>
    <x v="16"/>
    <x v="22"/>
    <x v="111"/>
    <x v="49"/>
    <x v="557"/>
    <x v="608"/>
    <x v="597"/>
    <x v="366"/>
    <x v="286"/>
    <x v="1"/>
  </r>
  <r>
    <x v="24"/>
    <x v="4"/>
    <x v="411"/>
    <x v="369"/>
    <x v="206"/>
    <x v="308"/>
    <x v="277"/>
    <x v="261"/>
    <x v="285"/>
    <x v="1"/>
  </r>
  <r>
    <x v="11"/>
    <x v="23"/>
    <x v="284"/>
    <x v="133"/>
    <x v="537"/>
    <x v="435"/>
    <x v="513"/>
    <x v="313"/>
    <x v="284"/>
    <x v="1"/>
  </r>
  <r>
    <x v="15"/>
    <x v="10"/>
    <x v="468"/>
    <x v="486"/>
    <x v="587"/>
    <x v="251"/>
    <x v="160"/>
    <x v="248"/>
    <x v="283"/>
    <x v="1"/>
  </r>
  <r>
    <x v="26"/>
    <x v="9"/>
    <x v="472"/>
    <x v="494"/>
    <x v="594"/>
    <x v="247"/>
    <x v="152"/>
    <x v="240"/>
    <x v="282"/>
    <x v="1"/>
  </r>
  <r>
    <x v="3"/>
    <x v="12"/>
    <x v="473"/>
    <x v="495"/>
    <x v="523"/>
    <x v="246"/>
    <x v="151"/>
    <x v="239"/>
    <x v="281"/>
    <x v="1"/>
  </r>
  <r>
    <x v="16"/>
    <x v="16"/>
    <x v="204"/>
    <x v="177"/>
    <x v="262"/>
    <x v="515"/>
    <x v="469"/>
    <x v="287"/>
    <x v="280"/>
    <x v="1"/>
  </r>
  <r>
    <x v="15"/>
    <x v="18"/>
    <x v="130"/>
    <x v="61"/>
    <x v="551"/>
    <x v="589"/>
    <x v="585"/>
    <x v="346"/>
    <x v="279"/>
    <x v="1"/>
  </r>
  <r>
    <x v="27"/>
    <x v="23"/>
    <x v="424"/>
    <x v="386"/>
    <x v="215"/>
    <x v="295"/>
    <x v="260"/>
    <x v="245"/>
    <x v="278"/>
    <x v="1"/>
  </r>
  <r>
    <x v="12"/>
    <x v="15"/>
    <x v="578"/>
    <x v="385"/>
    <x v="648"/>
    <x v="141"/>
    <x v="261"/>
    <x v="244"/>
    <x v="277"/>
    <x v="1"/>
  </r>
  <r>
    <x v="15"/>
    <x v="9"/>
    <x v="378"/>
    <x v="327"/>
    <x v="522"/>
    <x v="341"/>
    <x v="319"/>
    <x v="252"/>
    <x v="276"/>
    <x v="1"/>
  </r>
  <r>
    <x v="5"/>
    <x v="4"/>
    <x v="561"/>
    <x v="564"/>
    <x v="235"/>
    <x v="158"/>
    <x v="82"/>
    <x v="214"/>
    <x v="275"/>
    <x v="1"/>
  </r>
  <r>
    <x v="3"/>
    <x v="19"/>
    <x v="91"/>
    <x v="95"/>
    <x v="184"/>
    <x v="628"/>
    <x v="551"/>
    <x v="317"/>
    <x v="274"/>
    <x v="1"/>
  </r>
  <r>
    <x v="9"/>
    <x v="4"/>
    <x v="420"/>
    <x v="377"/>
    <x v="216"/>
    <x v="299"/>
    <x v="269"/>
    <x v="243"/>
    <x v="273"/>
    <x v="1"/>
  </r>
  <r>
    <x v="16"/>
    <x v="23"/>
    <x v="234"/>
    <x v="111"/>
    <x v="531"/>
    <x v="485"/>
    <x v="535"/>
    <x v="306"/>
    <x v="272"/>
    <x v="1"/>
  </r>
  <r>
    <x v="6"/>
    <x v="18"/>
    <x v="416"/>
    <x v="363"/>
    <x v="304"/>
    <x v="303"/>
    <x v="283"/>
    <x v="242"/>
    <x v="271"/>
    <x v="1"/>
  </r>
  <r>
    <x v="20"/>
    <x v="21"/>
    <x v="220"/>
    <x v="105"/>
    <x v="533"/>
    <x v="499"/>
    <x v="541"/>
    <x v="309"/>
    <x v="270"/>
    <x v="1"/>
  </r>
  <r>
    <x v="10"/>
    <x v="15"/>
    <x v="244"/>
    <x v="198"/>
    <x v="485"/>
    <x v="475"/>
    <x v="448"/>
    <x v="277"/>
    <x v="269"/>
    <x v="1"/>
  </r>
  <r>
    <x v="27"/>
    <x v="2"/>
    <x v="597"/>
    <x v="457"/>
    <x v="494"/>
    <x v="122"/>
    <x v="189"/>
    <x v="230"/>
    <x v="268"/>
    <x v="1"/>
  </r>
  <r>
    <x v="27"/>
    <x v="5"/>
    <x v="676"/>
    <x v="583"/>
    <x v="487"/>
    <x v="43"/>
    <x v="63"/>
    <x v="206"/>
    <x v="267"/>
    <x v="1"/>
  </r>
  <r>
    <x v="3"/>
    <x v="23"/>
    <x v="312"/>
    <x v="265"/>
    <x v="208"/>
    <x v="407"/>
    <x v="381"/>
    <x v="257"/>
    <x v="266"/>
    <x v="1"/>
  </r>
  <r>
    <x v="6"/>
    <x v="17"/>
    <x v="575"/>
    <x v="379"/>
    <x v="619"/>
    <x v="144"/>
    <x v="267"/>
    <x v="235"/>
    <x v="265"/>
    <x v="1"/>
  </r>
  <r>
    <x v="14"/>
    <x v="21"/>
    <x v="46"/>
    <x v="16"/>
    <x v="558"/>
    <x v="673"/>
    <x v="630"/>
    <x v="368"/>
    <x v="264"/>
    <x v="1"/>
  </r>
  <r>
    <x v="27"/>
    <x v="20"/>
    <x v="115"/>
    <x v="112"/>
    <x v="193"/>
    <x v="604"/>
    <x v="534"/>
    <x v="292"/>
    <x v="263"/>
    <x v="1"/>
  </r>
  <r>
    <x v="9"/>
    <x v="3"/>
    <x v="417"/>
    <x v="359"/>
    <x v="224"/>
    <x v="302"/>
    <x v="287"/>
    <x v="233"/>
    <x v="262"/>
    <x v="1"/>
  </r>
  <r>
    <x v="28"/>
    <x v="13"/>
    <x v="160"/>
    <x v="146"/>
    <x v="511"/>
    <x v="559"/>
    <x v="500"/>
    <x v="286"/>
    <x v="261"/>
    <x v="1"/>
  </r>
  <r>
    <x v="20"/>
    <x v="0"/>
    <x v="486"/>
    <x v="505"/>
    <x v="233"/>
    <x v="233"/>
    <x v="141"/>
    <x v="220"/>
    <x v="260"/>
    <x v="1"/>
  </r>
  <r>
    <x v="7"/>
    <x v="18"/>
    <x v="154"/>
    <x v="140"/>
    <x v="203"/>
    <x v="565"/>
    <x v="506"/>
    <x v="284"/>
    <x v="259"/>
    <x v="1"/>
  </r>
  <r>
    <x v="9"/>
    <x v="17"/>
    <x v="156"/>
    <x v="141"/>
    <x v="246"/>
    <x v="563"/>
    <x v="505"/>
    <x v="282"/>
    <x v="258"/>
    <x v="1"/>
  </r>
  <r>
    <x v="24"/>
    <x v="3"/>
    <x v="400"/>
    <x v="349"/>
    <x v="226"/>
    <x v="319"/>
    <x v="297"/>
    <x v="232"/>
    <x v="257"/>
    <x v="1"/>
  </r>
  <r>
    <x v="8"/>
    <x v="1"/>
    <x v="366"/>
    <x v="298"/>
    <x v="223"/>
    <x v="353"/>
    <x v="348"/>
    <x v="237"/>
    <x v="256"/>
    <x v="1"/>
  </r>
  <r>
    <x v="12"/>
    <x v="19"/>
    <x v="159"/>
    <x v="82"/>
    <x v="538"/>
    <x v="560"/>
    <x v="564"/>
    <x v="305"/>
    <x v="255"/>
    <x v="1"/>
  </r>
  <r>
    <x v="7"/>
    <x v="8"/>
    <x v="446"/>
    <x v="416"/>
    <x v="424"/>
    <x v="273"/>
    <x v="230"/>
    <x v="215"/>
    <x v="254"/>
    <x v="1"/>
  </r>
  <r>
    <x v="10"/>
    <x v="17"/>
    <x v="153"/>
    <x v="135"/>
    <x v="265"/>
    <x v="566"/>
    <x v="511"/>
    <x v="278"/>
    <x v="253"/>
    <x v="1"/>
  </r>
  <r>
    <x v="18"/>
    <x v="5"/>
    <x v="596"/>
    <x v="472"/>
    <x v="492"/>
    <x v="123"/>
    <x v="174"/>
    <x v="211"/>
    <x v="252"/>
    <x v="1"/>
  </r>
  <r>
    <x v="23"/>
    <x v="21"/>
    <x v="27"/>
    <x v="42"/>
    <x v="176"/>
    <x v="692"/>
    <x v="604"/>
    <x v="327"/>
    <x v="251"/>
    <x v="1"/>
  </r>
  <r>
    <x v="17"/>
    <x v="22"/>
    <x v="119"/>
    <x v="59"/>
    <x v="534"/>
    <x v="600"/>
    <x v="587"/>
    <x v="311"/>
    <x v="250"/>
    <x v="1"/>
  </r>
  <r>
    <x v="16"/>
    <x v="14"/>
    <x v="235"/>
    <x v="185"/>
    <x v="479"/>
    <x v="484"/>
    <x v="461"/>
    <x v="254"/>
    <x v="249"/>
    <x v="1"/>
  </r>
  <r>
    <x v="18"/>
    <x v="22"/>
    <x v="149"/>
    <x v="76"/>
    <x v="521"/>
    <x v="570"/>
    <x v="570"/>
    <x v="291"/>
    <x v="248"/>
    <x v="1"/>
  </r>
  <r>
    <x v="21"/>
    <x v="23"/>
    <x v="264"/>
    <x v="129"/>
    <x v="510"/>
    <x v="455"/>
    <x v="517"/>
    <x v="273"/>
    <x v="247"/>
    <x v="1"/>
  </r>
  <r>
    <x v="19"/>
    <x v="23"/>
    <x v="399"/>
    <x v="196"/>
    <x v="498"/>
    <x v="320"/>
    <x v="450"/>
    <x v="246"/>
    <x v="246"/>
    <x v="1"/>
  </r>
  <r>
    <x v="0"/>
    <x v="15"/>
    <x v="376"/>
    <x v="308"/>
    <x v="549"/>
    <x v="343"/>
    <x v="338"/>
    <x v="223"/>
    <x v="245"/>
    <x v="1"/>
  </r>
  <r>
    <x v="7"/>
    <x v="19"/>
    <x v="53"/>
    <x v="62"/>
    <x v="191"/>
    <x v="666"/>
    <x v="584"/>
    <x v="297"/>
    <x v="244"/>
    <x v="1"/>
  </r>
  <r>
    <x v="5"/>
    <x v="6"/>
    <x v="703"/>
    <x v="631"/>
    <x v="518"/>
    <x v="16"/>
    <x v="15"/>
    <x v="159"/>
    <x v="243"/>
    <x v="1"/>
  </r>
  <r>
    <x v="15"/>
    <x v="4"/>
    <x v="519"/>
    <x v="294"/>
    <x v="489"/>
    <x v="200"/>
    <x v="352"/>
    <x v="226"/>
    <x v="242"/>
    <x v="1"/>
  </r>
  <r>
    <x v="3"/>
    <x v="13"/>
    <x v="367"/>
    <x v="293"/>
    <x v="482"/>
    <x v="352"/>
    <x v="353"/>
    <x v="225"/>
    <x v="241"/>
    <x v="1"/>
  </r>
  <r>
    <x v="2"/>
    <x v="1"/>
    <x v="463"/>
    <x v="444"/>
    <x v="239"/>
    <x v="256"/>
    <x v="202"/>
    <x v="208"/>
    <x v="240"/>
    <x v="1"/>
  </r>
  <r>
    <x v="12"/>
    <x v="20"/>
    <x v="102"/>
    <x v="53"/>
    <x v="529"/>
    <x v="617"/>
    <x v="593"/>
    <x v="304"/>
    <x v="239"/>
    <x v="1"/>
  </r>
  <r>
    <x v="4"/>
    <x v="16"/>
    <x v="355"/>
    <x v="284"/>
    <x v="477"/>
    <x v="364"/>
    <x v="362"/>
    <x v="221"/>
    <x v="238"/>
    <x v="1"/>
  </r>
  <r>
    <x v="12"/>
    <x v="23"/>
    <x v="475"/>
    <x v="260"/>
    <x v="490"/>
    <x v="244"/>
    <x v="386"/>
    <x v="228"/>
    <x v="237"/>
    <x v="1"/>
  </r>
  <r>
    <x v="5"/>
    <x v="9"/>
    <x v="629"/>
    <x v="535"/>
    <x v="665"/>
    <x v="90"/>
    <x v="111"/>
    <x v="190"/>
    <x v="236"/>
    <x v="1"/>
  </r>
  <r>
    <x v="22"/>
    <x v="18"/>
    <x v="94"/>
    <x v="89"/>
    <x v="225"/>
    <x v="625"/>
    <x v="557"/>
    <x v="280"/>
    <x v="235"/>
    <x v="1"/>
  </r>
  <r>
    <x v="29"/>
    <x v="19"/>
    <x v="13"/>
    <x v="26"/>
    <x v="181"/>
    <x v="706"/>
    <x v="620"/>
    <x v="325"/>
    <x v="234"/>
    <x v="1"/>
  </r>
  <r>
    <x v="6"/>
    <x v="2"/>
    <x v="565"/>
    <x v="557"/>
    <x v="251"/>
    <x v="154"/>
    <x v="89"/>
    <x v="184"/>
    <x v="233"/>
    <x v="1"/>
  </r>
  <r>
    <x v="12"/>
    <x v="16"/>
    <x v="560"/>
    <x v="384"/>
    <x v="635"/>
    <x v="159"/>
    <x v="262"/>
    <x v="205"/>
    <x v="232"/>
    <x v="1"/>
  </r>
  <r>
    <x v="24"/>
    <x v="8"/>
    <x v="401"/>
    <x v="335"/>
    <x v="495"/>
    <x v="318"/>
    <x v="311"/>
    <x v="209"/>
    <x v="231"/>
    <x v="1"/>
  </r>
  <r>
    <x v="26"/>
    <x v="18"/>
    <x v="170"/>
    <x v="150"/>
    <x v="270"/>
    <x v="549"/>
    <x v="496"/>
    <x v="247"/>
    <x v="230"/>
    <x v="1"/>
  </r>
  <r>
    <x v="8"/>
    <x v="8"/>
    <x v="442"/>
    <x v="236"/>
    <x v="585"/>
    <x v="277"/>
    <x v="410"/>
    <x v="219"/>
    <x v="229"/>
    <x v="1"/>
  </r>
  <r>
    <x v="16"/>
    <x v="10"/>
    <x v="501"/>
    <x v="507"/>
    <x v="609"/>
    <x v="218"/>
    <x v="139"/>
    <x v="189"/>
    <x v="228"/>
    <x v="1"/>
  </r>
  <r>
    <x v="24"/>
    <x v="7"/>
    <x v="563"/>
    <x v="554"/>
    <x v="491"/>
    <x v="156"/>
    <x v="92"/>
    <x v="179"/>
    <x v="227"/>
    <x v="1"/>
  </r>
  <r>
    <x v="5"/>
    <x v="21"/>
    <x v="106"/>
    <x v="101"/>
    <x v="205"/>
    <x v="613"/>
    <x v="545"/>
    <x v="263"/>
    <x v="226"/>
    <x v="1"/>
  </r>
  <r>
    <x v="1"/>
    <x v="2"/>
    <x v="581"/>
    <x v="435"/>
    <x v="472"/>
    <x v="138"/>
    <x v="211"/>
    <x v="196"/>
    <x v="225"/>
    <x v="1"/>
  </r>
  <r>
    <x v="26"/>
    <x v="1"/>
    <x v="451"/>
    <x v="243"/>
    <x v="484"/>
    <x v="268"/>
    <x v="403"/>
    <x v="213"/>
    <x v="224"/>
    <x v="1"/>
  </r>
  <r>
    <x v="2"/>
    <x v="19"/>
    <x v="98"/>
    <x v="97"/>
    <x v="207"/>
    <x v="621"/>
    <x v="549"/>
    <x v="265"/>
    <x v="223"/>
    <x v="1"/>
  </r>
  <r>
    <x v="11"/>
    <x v="4"/>
    <x v="364"/>
    <x v="287"/>
    <x v="240"/>
    <x v="355"/>
    <x v="359"/>
    <x v="207"/>
    <x v="222"/>
    <x v="1"/>
  </r>
  <r>
    <x v="24"/>
    <x v="21"/>
    <x v="12"/>
    <x v="22"/>
    <x v="188"/>
    <x v="707"/>
    <x v="624"/>
    <x v="300"/>
    <x v="221"/>
    <x v="1"/>
  </r>
  <r>
    <x v="13"/>
    <x v="0"/>
    <x v="533"/>
    <x v="523"/>
    <x v="254"/>
    <x v="186"/>
    <x v="123"/>
    <x v="180"/>
    <x v="220"/>
    <x v="1"/>
  </r>
  <r>
    <x v="17"/>
    <x v="5"/>
    <x v="532"/>
    <x v="325"/>
    <x v="481"/>
    <x v="187"/>
    <x v="321"/>
    <x v="199"/>
    <x v="219"/>
    <x v="1"/>
  </r>
  <r>
    <x v="20"/>
    <x v="6"/>
    <x v="712"/>
    <x v="641"/>
    <x v="410"/>
    <x v="7"/>
    <x v="5"/>
    <x v="119"/>
    <x v="218"/>
    <x v="1"/>
  </r>
  <r>
    <x v="24"/>
    <x v="2"/>
    <x v="405"/>
    <x v="328"/>
    <x v="247"/>
    <x v="314"/>
    <x v="318"/>
    <x v="195"/>
    <x v="217"/>
    <x v="1"/>
  </r>
  <r>
    <x v="23"/>
    <x v="7"/>
    <x v="592"/>
    <x v="470"/>
    <x v="586"/>
    <x v="127"/>
    <x v="176"/>
    <x v="181"/>
    <x v="216"/>
    <x v="1"/>
  </r>
  <r>
    <x v="14"/>
    <x v="8"/>
    <x v="530"/>
    <x v="324"/>
    <x v="613"/>
    <x v="189"/>
    <x v="322"/>
    <x v="194"/>
    <x v="215"/>
    <x v="1"/>
  </r>
  <r>
    <x v="12"/>
    <x v="21"/>
    <x v="109"/>
    <x v="58"/>
    <x v="506"/>
    <x v="610"/>
    <x v="588"/>
    <x v="267"/>
    <x v="214"/>
    <x v="1"/>
  </r>
  <r>
    <x v="21"/>
    <x v="20"/>
    <x v="28"/>
    <x v="3"/>
    <x v="525"/>
    <x v="691"/>
    <x v="643"/>
    <x v="298"/>
    <x v="213"/>
    <x v="1"/>
  </r>
  <r>
    <x v="21"/>
    <x v="18"/>
    <x v="140"/>
    <x v="121"/>
    <x v="272"/>
    <x v="579"/>
    <x v="525"/>
    <x v="234"/>
    <x v="212"/>
    <x v="1"/>
  </r>
  <r>
    <x v="16"/>
    <x v="5"/>
    <x v="548"/>
    <x v="371"/>
    <x v="474"/>
    <x v="171"/>
    <x v="275"/>
    <x v="183"/>
    <x v="211"/>
    <x v="1"/>
  </r>
  <r>
    <x v="16"/>
    <x v="13"/>
    <x v="375"/>
    <x v="191"/>
    <x v="653"/>
    <x v="344"/>
    <x v="455"/>
    <x v="210"/>
    <x v="210"/>
    <x v="1"/>
  </r>
  <r>
    <x v="7"/>
    <x v="4"/>
    <x v="637"/>
    <x v="548"/>
    <x v="459"/>
    <x v="82"/>
    <x v="98"/>
    <x v="165"/>
    <x v="209"/>
    <x v="1"/>
  </r>
  <r>
    <x v="15"/>
    <x v="14"/>
    <x v="294"/>
    <x v="227"/>
    <x v="559"/>
    <x v="425"/>
    <x v="419"/>
    <x v="203"/>
    <x v="208"/>
    <x v="1"/>
  </r>
  <r>
    <x v="17"/>
    <x v="17"/>
    <x v="163"/>
    <x v="142"/>
    <x v="364"/>
    <x v="556"/>
    <x v="504"/>
    <x v="227"/>
    <x v="207"/>
    <x v="1"/>
  </r>
  <r>
    <x v="14"/>
    <x v="9"/>
    <x v="356"/>
    <x v="274"/>
    <x v="566"/>
    <x v="363"/>
    <x v="372"/>
    <x v="192"/>
    <x v="206"/>
    <x v="1"/>
  </r>
  <r>
    <x v="5"/>
    <x v="20"/>
    <x v="95"/>
    <x v="92"/>
    <x v="218"/>
    <x v="624"/>
    <x v="554"/>
    <x v="241"/>
    <x v="205"/>
    <x v="1"/>
  </r>
  <r>
    <x v="24"/>
    <x v="5"/>
    <x v="499"/>
    <x v="494"/>
    <x v="266"/>
    <x v="220"/>
    <x v="152"/>
    <x v="174"/>
    <x v="204"/>
    <x v="1"/>
  </r>
  <r>
    <x v="15"/>
    <x v="15"/>
    <x v="302"/>
    <x v="235"/>
    <x v="546"/>
    <x v="417"/>
    <x v="411"/>
    <x v="198"/>
    <x v="203"/>
    <x v="1"/>
  </r>
  <r>
    <x v="17"/>
    <x v="23"/>
    <x v="280"/>
    <x v="149"/>
    <x v="488"/>
    <x v="439"/>
    <x v="497"/>
    <x v="217"/>
    <x v="202"/>
    <x v="0"/>
  </r>
  <r>
    <x v="10"/>
    <x v="16"/>
    <x v="201"/>
    <x v="165"/>
    <x v="463"/>
    <x v="518"/>
    <x v="481"/>
    <x v="212"/>
    <x v="201"/>
    <x v="0"/>
  </r>
  <r>
    <x v="13"/>
    <x v="1"/>
    <x v="552"/>
    <x v="542"/>
    <x v="263"/>
    <x v="167"/>
    <x v="104"/>
    <x v="161"/>
    <x v="200"/>
    <x v="0"/>
  </r>
  <r>
    <x v="19"/>
    <x v="2"/>
    <x v="471"/>
    <x v="433"/>
    <x v="258"/>
    <x v="248"/>
    <x v="213"/>
    <x v="176"/>
    <x v="199"/>
    <x v="0"/>
  </r>
  <r>
    <x v="20"/>
    <x v="19"/>
    <x v="274"/>
    <x v="144"/>
    <x v="503"/>
    <x v="445"/>
    <x v="502"/>
    <x v="218"/>
    <x v="198"/>
    <x v="0"/>
  </r>
  <r>
    <x v="17"/>
    <x v="20"/>
    <x v="30"/>
    <x v="6"/>
    <x v="519"/>
    <x v="689"/>
    <x v="640"/>
    <x v="288"/>
    <x v="197"/>
    <x v="0"/>
  </r>
  <r>
    <x v="9"/>
    <x v="5"/>
    <x v="518"/>
    <x v="513"/>
    <x v="264"/>
    <x v="201"/>
    <x v="133"/>
    <x v="168"/>
    <x v="196"/>
    <x v="0"/>
  </r>
  <r>
    <x v="22"/>
    <x v="22"/>
    <x v="103"/>
    <x v="55"/>
    <x v="501"/>
    <x v="616"/>
    <x v="591"/>
    <x v="258"/>
    <x v="195"/>
    <x v="0"/>
  </r>
  <r>
    <x v="12"/>
    <x v="2"/>
    <x v="438"/>
    <x v="238"/>
    <x v="471"/>
    <x v="281"/>
    <x v="408"/>
    <x v="193"/>
    <x v="194"/>
    <x v="0"/>
  </r>
  <r>
    <x v="18"/>
    <x v="20"/>
    <x v="37"/>
    <x v="13"/>
    <x v="515"/>
    <x v="682"/>
    <x v="633"/>
    <x v="283"/>
    <x v="193"/>
    <x v="0"/>
  </r>
  <r>
    <x v="21"/>
    <x v="3"/>
    <x v="619"/>
    <x v="528"/>
    <x v="455"/>
    <x v="100"/>
    <x v="118"/>
    <x v="160"/>
    <x v="192"/>
    <x v="0"/>
  </r>
  <r>
    <x v="19"/>
    <x v="20"/>
    <x v="69"/>
    <x v="38"/>
    <x v="508"/>
    <x v="650"/>
    <x v="608"/>
    <x v="269"/>
    <x v="191"/>
    <x v="0"/>
  </r>
  <r>
    <x v="1"/>
    <x v="20"/>
    <x v="78"/>
    <x v="81"/>
    <x v="220"/>
    <x v="641"/>
    <x v="565"/>
    <x v="238"/>
    <x v="190"/>
    <x v="0"/>
  </r>
  <r>
    <x v="2"/>
    <x v="23"/>
    <x v="335"/>
    <x v="257"/>
    <x v="249"/>
    <x v="384"/>
    <x v="389"/>
    <x v="186"/>
    <x v="189"/>
    <x v="0"/>
  </r>
  <r>
    <x v="21"/>
    <x v="6"/>
    <x v="693"/>
    <x v="636"/>
    <x v="389"/>
    <x v="26"/>
    <x v="10"/>
    <x v="121"/>
    <x v="188"/>
    <x v="0"/>
  </r>
  <r>
    <x v="25"/>
    <x v="21"/>
    <x v="57"/>
    <x v="32"/>
    <x v="507"/>
    <x v="662"/>
    <x v="614"/>
    <x v="268"/>
    <x v="187"/>
    <x v="0"/>
  </r>
  <r>
    <x v="16"/>
    <x v="0"/>
    <x v="381"/>
    <x v="196"/>
    <x v="473"/>
    <x v="338"/>
    <x v="450"/>
    <x v="197"/>
    <x v="186"/>
    <x v="0"/>
  </r>
  <r>
    <x v="8"/>
    <x v="6"/>
    <x v="618"/>
    <x v="530"/>
    <x v="476"/>
    <x v="101"/>
    <x v="116"/>
    <x v="152"/>
    <x v="185"/>
    <x v="0"/>
  </r>
  <r>
    <x v="14"/>
    <x v="16"/>
    <x v="313"/>
    <x v="171"/>
    <x v="598"/>
    <x v="406"/>
    <x v="475"/>
    <x v="201"/>
    <x v="184"/>
    <x v="0"/>
  </r>
  <r>
    <x v="7"/>
    <x v="2"/>
    <x v="628"/>
    <x v="540"/>
    <x v="451"/>
    <x v="91"/>
    <x v="106"/>
    <x v="150"/>
    <x v="183"/>
    <x v="0"/>
  </r>
  <r>
    <x v="2"/>
    <x v="0"/>
    <x v="445"/>
    <x v="375"/>
    <x v="261"/>
    <x v="274"/>
    <x v="271"/>
    <x v="166"/>
    <x v="182"/>
    <x v="0"/>
  </r>
  <r>
    <x v="8"/>
    <x v="2"/>
    <x v="422"/>
    <x v="342"/>
    <x v="260"/>
    <x v="297"/>
    <x v="304"/>
    <x v="172"/>
    <x v="181"/>
    <x v="0"/>
  </r>
  <r>
    <x v="20"/>
    <x v="5"/>
    <x v="650"/>
    <x v="609"/>
    <x v="290"/>
    <x v="69"/>
    <x v="37"/>
    <x v="131"/>
    <x v="180"/>
    <x v="0"/>
  </r>
  <r>
    <x v="9"/>
    <x v="8"/>
    <x v="408"/>
    <x v="216"/>
    <x v="576"/>
    <x v="311"/>
    <x v="430"/>
    <x v="185"/>
    <x v="179"/>
    <x v="0"/>
  </r>
  <r>
    <x v="17"/>
    <x v="9"/>
    <x v="379"/>
    <x v="197"/>
    <x v="636"/>
    <x v="340"/>
    <x v="449"/>
    <x v="187"/>
    <x v="178"/>
    <x v="0"/>
  </r>
  <r>
    <x v="16"/>
    <x v="8"/>
    <x v="520"/>
    <x v="319"/>
    <x v="618"/>
    <x v="199"/>
    <x v="327"/>
    <x v="173"/>
    <x v="177"/>
    <x v="0"/>
  </r>
  <r>
    <x v="21"/>
    <x v="19"/>
    <x v="55"/>
    <x v="29"/>
    <x v="505"/>
    <x v="664"/>
    <x v="617"/>
    <x v="260"/>
    <x v="176"/>
    <x v="0"/>
  </r>
  <r>
    <x v="5"/>
    <x v="7"/>
    <x v="708"/>
    <x v="638"/>
    <x v="612"/>
    <x v="11"/>
    <x v="8"/>
    <x v="114"/>
    <x v="175"/>
    <x v="0"/>
  </r>
  <r>
    <x v="12"/>
    <x v="3"/>
    <x v="436"/>
    <x v="242"/>
    <x v="465"/>
    <x v="283"/>
    <x v="404"/>
    <x v="178"/>
    <x v="174"/>
    <x v="0"/>
  </r>
  <r>
    <x v="21"/>
    <x v="2"/>
    <x v="615"/>
    <x v="521"/>
    <x v="450"/>
    <x v="104"/>
    <x v="125"/>
    <x v="149"/>
    <x v="173"/>
    <x v="0"/>
  </r>
  <r>
    <x v="24"/>
    <x v="19"/>
    <x v="20"/>
    <x v="33"/>
    <x v="213"/>
    <x v="699"/>
    <x v="613"/>
    <x v="256"/>
    <x v="172"/>
    <x v="0"/>
  </r>
  <r>
    <x v="22"/>
    <x v="3"/>
    <x v="504"/>
    <x v="303"/>
    <x v="461"/>
    <x v="215"/>
    <x v="343"/>
    <x v="167"/>
    <x v="171"/>
    <x v="0"/>
  </r>
  <r>
    <x v="26"/>
    <x v="20"/>
    <x v="26"/>
    <x v="37"/>
    <x v="214"/>
    <x v="693"/>
    <x v="609"/>
    <x v="249"/>
    <x v="170"/>
    <x v="0"/>
  </r>
  <r>
    <x v="19"/>
    <x v="5"/>
    <x v="551"/>
    <x v="536"/>
    <x v="282"/>
    <x v="168"/>
    <x v="110"/>
    <x v="144"/>
    <x v="169"/>
    <x v="0"/>
  </r>
  <r>
    <x v="5"/>
    <x v="19"/>
    <x v="143"/>
    <x v="117"/>
    <x v="248"/>
    <x v="576"/>
    <x v="529"/>
    <x v="204"/>
    <x v="168"/>
    <x v="0"/>
  </r>
  <r>
    <x v="12"/>
    <x v="18"/>
    <x v="374"/>
    <x v="195"/>
    <x v="520"/>
    <x v="345"/>
    <x v="451"/>
    <x v="177"/>
    <x v="167"/>
    <x v="0"/>
  </r>
  <r>
    <x v="29"/>
    <x v="21"/>
    <x v="10"/>
    <x v="12"/>
    <x v="211"/>
    <x v="709"/>
    <x v="634"/>
    <x v="253"/>
    <x v="166"/>
    <x v="0"/>
  </r>
  <r>
    <x v="2"/>
    <x v="14"/>
    <x v="329"/>
    <x v="247"/>
    <x v="577"/>
    <x v="390"/>
    <x v="399"/>
    <x v="163"/>
    <x v="165"/>
    <x v="0"/>
  </r>
  <r>
    <x v="23"/>
    <x v="6"/>
    <x v="633"/>
    <x v="599"/>
    <x v="339"/>
    <x v="86"/>
    <x v="47"/>
    <x v="123"/>
    <x v="164"/>
    <x v="0"/>
  </r>
  <r>
    <x v="5"/>
    <x v="11"/>
    <x v="574"/>
    <x v="453"/>
    <x v="670"/>
    <x v="145"/>
    <x v="193"/>
    <x v="146"/>
    <x v="163"/>
    <x v="0"/>
  </r>
  <r>
    <x v="17"/>
    <x v="19"/>
    <x v="58"/>
    <x v="35"/>
    <x v="500"/>
    <x v="661"/>
    <x v="611"/>
    <x v="231"/>
    <x v="162"/>
    <x v="0"/>
  </r>
  <r>
    <x v="10"/>
    <x v="19"/>
    <x v="36"/>
    <x v="44"/>
    <x v="234"/>
    <x v="683"/>
    <x v="602"/>
    <x v="224"/>
    <x v="161"/>
    <x v="0"/>
  </r>
  <r>
    <x v="26"/>
    <x v="21"/>
    <x v="41"/>
    <x v="45"/>
    <x v="232"/>
    <x v="678"/>
    <x v="601"/>
    <x v="222"/>
    <x v="160"/>
    <x v="0"/>
  </r>
  <r>
    <x v="6"/>
    <x v="3"/>
    <x v="573"/>
    <x v="547"/>
    <x v="281"/>
    <x v="146"/>
    <x v="99"/>
    <x v="128"/>
    <x v="159"/>
    <x v="0"/>
  </r>
  <r>
    <x v="1"/>
    <x v="0"/>
    <x v="461"/>
    <x v="393"/>
    <x v="275"/>
    <x v="258"/>
    <x v="253"/>
    <x v="148"/>
    <x v="158"/>
    <x v="0"/>
  </r>
  <r>
    <x v="16"/>
    <x v="2"/>
    <x v="427"/>
    <x v="234"/>
    <x v="454"/>
    <x v="292"/>
    <x v="412"/>
    <x v="158"/>
    <x v="157"/>
    <x v="0"/>
  </r>
  <r>
    <x v="17"/>
    <x v="16"/>
    <x v="262"/>
    <x v="187"/>
    <x v="513"/>
    <x v="457"/>
    <x v="459"/>
    <x v="170"/>
    <x v="156"/>
    <x v="0"/>
  </r>
  <r>
    <x v="18"/>
    <x v="21"/>
    <x v="48"/>
    <x v="27"/>
    <x v="493"/>
    <x v="671"/>
    <x v="619"/>
    <x v="229"/>
    <x v="155"/>
    <x v="0"/>
  </r>
  <r>
    <x v="7"/>
    <x v="1"/>
    <x v="623"/>
    <x v="538"/>
    <x v="435"/>
    <x v="96"/>
    <x v="108"/>
    <x v="127"/>
    <x v="154"/>
    <x v="0"/>
  </r>
  <r>
    <x v="2"/>
    <x v="13"/>
    <x v="352"/>
    <x v="258"/>
    <x v="574"/>
    <x v="367"/>
    <x v="388"/>
    <x v="153"/>
    <x v="153"/>
    <x v="0"/>
  </r>
  <r>
    <x v="23"/>
    <x v="23"/>
    <x v="216"/>
    <x v="167"/>
    <x v="259"/>
    <x v="503"/>
    <x v="479"/>
    <x v="175"/>
    <x v="152"/>
    <x v="0"/>
  </r>
  <r>
    <x v="21"/>
    <x v="4"/>
    <x v="621"/>
    <x v="537"/>
    <x v="434"/>
    <x v="98"/>
    <x v="109"/>
    <x v="126"/>
    <x v="151"/>
    <x v="0"/>
  </r>
  <r>
    <x v="16"/>
    <x v="1"/>
    <x v="388"/>
    <x v="208"/>
    <x v="456"/>
    <x v="331"/>
    <x v="438"/>
    <x v="162"/>
    <x v="150"/>
    <x v="0"/>
  </r>
  <r>
    <x v="20"/>
    <x v="22"/>
    <x v="396"/>
    <x v="217"/>
    <x v="452"/>
    <x v="323"/>
    <x v="429"/>
    <x v="156"/>
    <x v="149"/>
    <x v="0"/>
  </r>
  <r>
    <x v="23"/>
    <x v="0"/>
    <x v="308"/>
    <x v="229"/>
    <x v="269"/>
    <x v="411"/>
    <x v="417"/>
    <x v="154"/>
    <x v="148"/>
    <x v="0"/>
  </r>
  <r>
    <x v="24"/>
    <x v="22"/>
    <x v="71"/>
    <x v="70"/>
    <x v="242"/>
    <x v="648"/>
    <x v="576"/>
    <x v="202"/>
    <x v="147"/>
    <x v="0"/>
  </r>
  <r>
    <x v="5"/>
    <x v="14"/>
    <x v="484"/>
    <x v="436"/>
    <x v="629"/>
    <x v="235"/>
    <x v="210"/>
    <x v="137"/>
    <x v="146"/>
    <x v="0"/>
  </r>
  <r>
    <x v="15"/>
    <x v="8"/>
    <x v="443"/>
    <x v="360"/>
    <x v="504"/>
    <x v="276"/>
    <x v="286"/>
    <x v="141"/>
    <x v="145"/>
    <x v="0"/>
  </r>
  <r>
    <x v="15"/>
    <x v="2"/>
    <x v="478"/>
    <x v="289"/>
    <x v="448"/>
    <x v="241"/>
    <x v="357"/>
    <x v="147"/>
    <x v="144"/>
    <x v="0"/>
  </r>
  <r>
    <x v="22"/>
    <x v="5"/>
    <x v="567"/>
    <x v="453"/>
    <x v="449"/>
    <x v="152"/>
    <x v="193"/>
    <x v="130"/>
    <x v="143"/>
    <x v="0"/>
  </r>
  <r>
    <x v="2"/>
    <x v="4"/>
    <x v="483"/>
    <x v="433"/>
    <x v="280"/>
    <x v="236"/>
    <x v="213"/>
    <x v="129"/>
    <x v="142"/>
    <x v="0"/>
  </r>
  <r>
    <x v="18"/>
    <x v="17"/>
    <x v="184"/>
    <x v="148"/>
    <x v="405"/>
    <x v="535"/>
    <x v="498"/>
    <x v="169"/>
    <x v="141"/>
    <x v="0"/>
  </r>
  <r>
    <x v="1"/>
    <x v="4"/>
    <x v="572"/>
    <x v="462"/>
    <x v="433"/>
    <x v="147"/>
    <x v="184"/>
    <x v="125"/>
    <x v="140"/>
    <x v="0"/>
  </r>
  <r>
    <x v="18"/>
    <x v="23"/>
    <x v="285"/>
    <x v="161"/>
    <x v="453"/>
    <x v="434"/>
    <x v="485"/>
    <x v="157"/>
    <x v="139"/>
    <x v="0"/>
  </r>
  <r>
    <x v="18"/>
    <x v="4"/>
    <x v="500"/>
    <x v="311"/>
    <x v="439"/>
    <x v="219"/>
    <x v="335"/>
    <x v="135"/>
    <x v="138"/>
    <x v="0"/>
  </r>
  <r>
    <x v="17"/>
    <x v="3"/>
    <x v="448"/>
    <x v="263"/>
    <x v="442"/>
    <x v="271"/>
    <x v="383"/>
    <x v="139"/>
    <x v="137"/>
    <x v="0"/>
  </r>
  <r>
    <x v="24"/>
    <x v="6"/>
    <x v="603"/>
    <x v="573"/>
    <x v="367"/>
    <x v="116"/>
    <x v="73"/>
    <x v="112"/>
    <x v="136"/>
    <x v="0"/>
  </r>
  <r>
    <x v="6"/>
    <x v="0"/>
    <x v="549"/>
    <x v="527"/>
    <x v="288"/>
    <x v="170"/>
    <x v="119"/>
    <x v="117"/>
    <x v="135"/>
    <x v="0"/>
  </r>
  <r>
    <x v="6"/>
    <x v="4"/>
    <x v="590"/>
    <x v="556"/>
    <x v="292"/>
    <x v="129"/>
    <x v="90"/>
    <x v="113"/>
    <x v="134"/>
    <x v="0"/>
  </r>
  <r>
    <x v="24"/>
    <x v="23"/>
    <x v="172"/>
    <x v="132"/>
    <x v="268"/>
    <x v="547"/>
    <x v="514"/>
    <x v="155"/>
    <x v="133"/>
    <x v="0"/>
  </r>
  <r>
    <x v="4"/>
    <x v="6"/>
    <x v="686"/>
    <x v="630"/>
    <x v="366"/>
    <x v="33"/>
    <x v="16"/>
    <x v="90"/>
    <x v="132"/>
    <x v="0"/>
  </r>
  <r>
    <x v="11"/>
    <x v="2"/>
    <x v="435"/>
    <x v="339"/>
    <x v="286"/>
    <x v="284"/>
    <x v="307"/>
    <x v="124"/>
    <x v="131"/>
    <x v="0"/>
  </r>
  <r>
    <x v="18"/>
    <x v="0"/>
    <x v="413"/>
    <x v="228"/>
    <x v="440"/>
    <x v="306"/>
    <x v="418"/>
    <x v="136"/>
    <x v="130"/>
    <x v="0"/>
  </r>
  <r>
    <x v="6"/>
    <x v="19"/>
    <x v="250"/>
    <x v="180"/>
    <x v="287"/>
    <x v="469"/>
    <x v="466"/>
    <x v="145"/>
    <x v="129"/>
    <x v="0"/>
  </r>
  <r>
    <x v="15"/>
    <x v="0"/>
    <x v="373"/>
    <x v="204"/>
    <x v="443"/>
    <x v="346"/>
    <x v="442"/>
    <x v="140"/>
    <x v="128"/>
    <x v="0"/>
  </r>
  <r>
    <x v="4"/>
    <x v="11"/>
    <x v="493"/>
    <x v="435"/>
    <x v="624"/>
    <x v="226"/>
    <x v="211"/>
    <x v="118"/>
    <x v="127"/>
    <x v="0"/>
  </r>
  <r>
    <x v="17"/>
    <x v="21"/>
    <x v="34"/>
    <x v="18"/>
    <x v="475"/>
    <x v="685"/>
    <x v="628"/>
    <x v="200"/>
    <x v="126"/>
    <x v="0"/>
  </r>
  <r>
    <x v="13"/>
    <x v="2"/>
    <x v="570"/>
    <x v="541"/>
    <x v="295"/>
    <x v="149"/>
    <x v="105"/>
    <x v="107"/>
    <x v="125"/>
    <x v="0"/>
  </r>
  <r>
    <x v="22"/>
    <x v="0"/>
    <x v="409"/>
    <x v="224"/>
    <x v="437"/>
    <x v="310"/>
    <x v="422"/>
    <x v="133"/>
    <x v="124"/>
    <x v="0"/>
  </r>
  <r>
    <x v="6"/>
    <x v="1"/>
    <x v="568"/>
    <x v="539"/>
    <x v="296"/>
    <x v="151"/>
    <x v="107"/>
    <x v="106"/>
    <x v="123"/>
    <x v="0"/>
  </r>
  <r>
    <x v="22"/>
    <x v="2"/>
    <x v="497"/>
    <x v="310"/>
    <x v="428"/>
    <x v="222"/>
    <x v="336"/>
    <x v="120"/>
    <x v="122"/>
    <x v="0"/>
  </r>
  <r>
    <x v="25"/>
    <x v="20"/>
    <x v="31"/>
    <x v="17"/>
    <x v="469"/>
    <x v="688"/>
    <x v="629"/>
    <x v="188"/>
    <x v="121"/>
    <x v="0"/>
  </r>
  <r>
    <x v="18"/>
    <x v="16"/>
    <x v="242"/>
    <x v="175"/>
    <x v="496"/>
    <x v="477"/>
    <x v="471"/>
    <x v="138"/>
    <x v="120"/>
    <x v="0"/>
  </r>
  <r>
    <x v="27"/>
    <x v="6"/>
    <x v="713"/>
    <x v="640"/>
    <x v="415"/>
    <x v="6"/>
    <x v="6"/>
    <x v="70"/>
    <x v="119"/>
    <x v="0"/>
  </r>
  <r>
    <x v="26"/>
    <x v="5"/>
    <x v="571"/>
    <x v="478"/>
    <x v="427"/>
    <x v="148"/>
    <x v="168"/>
    <x v="109"/>
    <x v="118"/>
    <x v="0"/>
  </r>
  <r>
    <x v="4"/>
    <x v="12"/>
    <x v="492"/>
    <x v="426"/>
    <x v="617"/>
    <x v="227"/>
    <x v="220"/>
    <x v="111"/>
    <x v="117"/>
    <x v="0"/>
  </r>
  <r>
    <x v="15"/>
    <x v="5"/>
    <x v="579"/>
    <x v="499"/>
    <x v="423"/>
    <x v="140"/>
    <x v="147"/>
    <x v="104"/>
    <x v="116"/>
    <x v="0"/>
  </r>
  <r>
    <x v="1"/>
    <x v="5"/>
    <x v="595"/>
    <x v="518"/>
    <x v="418"/>
    <x v="124"/>
    <x v="128"/>
    <x v="103"/>
    <x v="115"/>
    <x v="0"/>
  </r>
  <r>
    <x v="6"/>
    <x v="5"/>
    <x v="670"/>
    <x v="597"/>
    <x v="420"/>
    <x v="49"/>
    <x v="49"/>
    <x v="93"/>
    <x v="114"/>
    <x v="0"/>
  </r>
  <r>
    <x v="22"/>
    <x v="20"/>
    <x v="11"/>
    <x v="11"/>
    <x v="252"/>
    <x v="708"/>
    <x v="635"/>
    <x v="182"/>
    <x v="113"/>
    <x v="0"/>
  </r>
  <r>
    <x v="6"/>
    <x v="21"/>
    <x v="266"/>
    <x v="153"/>
    <x v="438"/>
    <x v="453"/>
    <x v="493"/>
    <x v="134"/>
    <x v="112"/>
    <x v="0"/>
  </r>
  <r>
    <x v="25"/>
    <x v="23"/>
    <x v="268"/>
    <x v="154"/>
    <x v="436"/>
    <x v="451"/>
    <x v="492"/>
    <x v="132"/>
    <x v="111"/>
    <x v="0"/>
  </r>
  <r>
    <x v="26"/>
    <x v="23"/>
    <x v="346"/>
    <x v="188"/>
    <x v="429"/>
    <x v="373"/>
    <x v="458"/>
    <x v="122"/>
    <x v="110"/>
    <x v="0"/>
  </r>
  <r>
    <x v="5"/>
    <x v="17"/>
    <x v="515"/>
    <x v="476"/>
    <x v="540"/>
    <x v="204"/>
    <x v="170"/>
    <x v="100"/>
    <x v="109"/>
    <x v="0"/>
  </r>
  <r>
    <x v="18"/>
    <x v="19"/>
    <x v="51"/>
    <x v="34"/>
    <x v="464"/>
    <x v="668"/>
    <x v="612"/>
    <x v="171"/>
    <x v="108"/>
    <x v="0"/>
  </r>
  <r>
    <x v="16"/>
    <x v="11"/>
    <x v="439"/>
    <x v="340"/>
    <x v="627"/>
    <x v="280"/>
    <x v="306"/>
    <x v="105"/>
    <x v="107"/>
    <x v="0"/>
  </r>
  <r>
    <x v="27"/>
    <x v="1"/>
    <x v="559"/>
    <x v="466"/>
    <x v="413"/>
    <x v="160"/>
    <x v="180"/>
    <x v="97"/>
    <x v="106"/>
    <x v="0"/>
  </r>
  <r>
    <x v="19"/>
    <x v="4"/>
    <x v="512"/>
    <x v="348"/>
    <x v="416"/>
    <x v="207"/>
    <x v="298"/>
    <x v="101"/>
    <x v="105"/>
    <x v="0"/>
  </r>
  <r>
    <x v="25"/>
    <x v="22"/>
    <x v="142"/>
    <x v="84"/>
    <x v="444"/>
    <x v="577"/>
    <x v="562"/>
    <x v="142"/>
    <x v="104"/>
    <x v="0"/>
  </r>
  <r>
    <x v="10"/>
    <x v="21"/>
    <x v="33"/>
    <x v="20"/>
    <x v="458"/>
    <x v="686"/>
    <x v="626"/>
    <x v="164"/>
    <x v="103"/>
    <x v="0"/>
  </r>
  <r>
    <x v="16"/>
    <x v="4"/>
    <x v="440"/>
    <x v="269"/>
    <x v="417"/>
    <x v="279"/>
    <x v="377"/>
    <x v="102"/>
    <x v="102"/>
    <x v="0"/>
  </r>
  <r>
    <x v="22"/>
    <x v="19"/>
    <x v="42"/>
    <x v="30"/>
    <x v="466"/>
    <x v="677"/>
    <x v="616"/>
    <x v="151"/>
    <x v="101"/>
    <x v="0"/>
  </r>
  <r>
    <x v="20"/>
    <x v="15"/>
    <x v="553"/>
    <x v="445"/>
    <x v="645"/>
    <x v="166"/>
    <x v="201"/>
    <x v="91"/>
    <x v="100"/>
    <x v="0"/>
  </r>
  <r>
    <x v="23"/>
    <x v="1"/>
    <x v="361"/>
    <x v="250"/>
    <x v="302"/>
    <x v="358"/>
    <x v="396"/>
    <x v="99"/>
    <x v="99"/>
    <x v="0"/>
  </r>
  <r>
    <x v="23"/>
    <x v="2"/>
    <x v="457"/>
    <x v="285"/>
    <x v="411"/>
    <x v="262"/>
    <x v="361"/>
    <x v="95"/>
    <x v="98"/>
    <x v="0"/>
  </r>
  <r>
    <x v="12"/>
    <x v="17"/>
    <x v="476"/>
    <x v="392"/>
    <x v="512"/>
    <x v="243"/>
    <x v="254"/>
    <x v="87"/>
    <x v="97"/>
    <x v="0"/>
  </r>
  <r>
    <x v="9"/>
    <x v="6"/>
    <x v="610"/>
    <x v="569"/>
    <x v="334"/>
    <x v="109"/>
    <x v="77"/>
    <x v="75"/>
    <x v="96"/>
    <x v="0"/>
  </r>
  <r>
    <x v="8"/>
    <x v="3"/>
    <x v="433"/>
    <x v="318"/>
    <x v="305"/>
    <x v="286"/>
    <x v="328"/>
    <x v="94"/>
    <x v="95"/>
    <x v="0"/>
  </r>
  <r>
    <x v="26"/>
    <x v="0"/>
    <x v="402"/>
    <x v="233"/>
    <x v="412"/>
    <x v="317"/>
    <x v="413"/>
    <x v="96"/>
    <x v="94"/>
    <x v="0"/>
  </r>
  <r>
    <x v="28"/>
    <x v="0"/>
    <x v="489"/>
    <x v="320"/>
    <x v="409"/>
    <x v="230"/>
    <x v="326"/>
    <x v="89"/>
    <x v="93"/>
    <x v="0"/>
  </r>
  <r>
    <x v="20"/>
    <x v="4"/>
    <x v="583"/>
    <x v="514"/>
    <x v="401"/>
    <x v="136"/>
    <x v="132"/>
    <x v="79"/>
    <x v="92"/>
    <x v="0"/>
  </r>
  <r>
    <x v="18"/>
    <x v="2"/>
    <x v="477"/>
    <x v="305"/>
    <x v="408"/>
    <x v="242"/>
    <x v="341"/>
    <x v="88"/>
    <x v="91"/>
    <x v="0"/>
  </r>
  <r>
    <x v="27"/>
    <x v="17"/>
    <x v="524"/>
    <x v="354"/>
    <x v="630"/>
    <x v="195"/>
    <x v="292"/>
    <x v="84"/>
    <x v="90"/>
    <x v="0"/>
  </r>
  <r>
    <x v="2"/>
    <x v="11"/>
    <x v="466"/>
    <x v="291"/>
    <x v="647"/>
    <x v="253"/>
    <x v="355"/>
    <x v="86"/>
    <x v="89"/>
    <x v="0"/>
  </r>
  <r>
    <x v="6"/>
    <x v="22"/>
    <x v="464"/>
    <x v="290"/>
    <x v="407"/>
    <x v="255"/>
    <x v="356"/>
    <x v="85"/>
    <x v="88"/>
    <x v="0"/>
  </r>
  <r>
    <x v="18"/>
    <x v="18"/>
    <x v="146"/>
    <x v="110"/>
    <x v="328"/>
    <x v="573"/>
    <x v="536"/>
    <x v="110"/>
    <x v="87"/>
    <x v="0"/>
  </r>
  <r>
    <x v="1"/>
    <x v="19"/>
    <x v="113"/>
    <x v="90"/>
    <x v="293"/>
    <x v="606"/>
    <x v="556"/>
    <x v="115"/>
    <x v="86"/>
    <x v="0"/>
  </r>
  <r>
    <x v="20"/>
    <x v="23"/>
    <x v="525"/>
    <x v="359"/>
    <x v="402"/>
    <x v="194"/>
    <x v="287"/>
    <x v="80"/>
    <x v="85"/>
    <x v="0"/>
  </r>
  <r>
    <x v="15"/>
    <x v="3"/>
    <x v="474"/>
    <x v="300"/>
    <x v="406"/>
    <x v="245"/>
    <x v="346"/>
    <x v="83"/>
    <x v="84"/>
    <x v="0"/>
  </r>
  <r>
    <x v="26"/>
    <x v="4"/>
    <x v="510"/>
    <x v="448"/>
    <x v="312"/>
    <x v="209"/>
    <x v="198"/>
    <x v="74"/>
    <x v="83"/>
    <x v="0"/>
  </r>
  <r>
    <x v="5"/>
    <x v="22"/>
    <x v="293"/>
    <x v="203"/>
    <x v="306"/>
    <x v="426"/>
    <x v="443"/>
    <x v="92"/>
    <x v="82"/>
    <x v="0"/>
  </r>
  <r>
    <x v="29"/>
    <x v="20"/>
    <x v="6"/>
    <x v="1"/>
    <x v="276"/>
    <x v="713"/>
    <x v="645"/>
    <x v="143"/>
    <x v="81"/>
    <x v="0"/>
  </r>
  <r>
    <x v="12"/>
    <x v="22"/>
    <x v="256"/>
    <x v="152"/>
    <x v="414"/>
    <x v="463"/>
    <x v="494"/>
    <x v="98"/>
    <x v="80"/>
    <x v="0"/>
  </r>
  <r>
    <x v="0"/>
    <x v="20"/>
    <x v="54"/>
    <x v="46"/>
    <x v="289"/>
    <x v="665"/>
    <x v="600"/>
    <x v="116"/>
    <x v="79"/>
    <x v="0"/>
  </r>
  <r>
    <x v="10"/>
    <x v="22"/>
    <x v="92"/>
    <x v="79"/>
    <x v="294"/>
    <x v="627"/>
    <x v="567"/>
    <x v="108"/>
    <x v="78"/>
    <x v="0"/>
  </r>
  <r>
    <x v="12"/>
    <x v="4"/>
    <x v="414"/>
    <x v="245"/>
    <x v="400"/>
    <x v="305"/>
    <x v="401"/>
    <x v="78"/>
    <x v="77"/>
    <x v="0"/>
  </r>
  <r>
    <x v="13"/>
    <x v="3"/>
    <x v="587"/>
    <x v="545"/>
    <x v="316"/>
    <x v="132"/>
    <x v="101"/>
    <x v="67"/>
    <x v="76"/>
    <x v="0"/>
  </r>
  <r>
    <x v="13"/>
    <x v="4"/>
    <x v="598"/>
    <x v="558"/>
    <x v="317"/>
    <x v="121"/>
    <x v="88"/>
    <x v="66"/>
    <x v="75"/>
    <x v="0"/>
  </r>
  <r>
    <x v="2"/>
    <x v="3"/>
    <x v="514"/>
    <x v="453"/>
    <x v="314"/>
    <x v="205"/>
    <x v="193"/>
    <x v="69"/>
    <x v="74"/>
    <x v="0"/>
  </r>
  <r>
    <x v="19"/>
    <x v="1"/>
    <x v="384"/>
    <x v="271"/>
    <x v="313"/>
    <x v="335"/>
    <x v="375"/>
    <x v="73"/>
    <x v="73"/>
    <x v="0"/>
  </r>
  <r>
    <x v="2"/>
    <x v="5"/>
    <x v="586"/>
    <x v="544"/>
    <x v="331"/>
    <x v="133"/>
    <x v="102"/>
    <x v="63"/>
    <x v="72"/>
    <x v="0"/>
  </r>
  <r>
    <x v="0"/>
    <x v="17"/>
    <x v="297"/>
    <x v="201"/>
    <x v="422"/>
    <x v="422"/>
    <x v="445"/>
    <x v="77"/>
    <x v="71"/>
    <x v="0"/>
  </r>
  <r>
    <x v="2"/>
    <x v="6"/>
    <x v="678"/>
    <x v="607"/>
    <x v="445"/>
    <x v="41"/>
    <x v="39"/>
    <x v="47"/>
    <x v="70"/>
    <x v="0"/>
  </r>
  <r>
    <x v="23"/>
    <x v="5"/>
    <x v="545"/>
    <x v="455"/>
    <x v="395"/>
    <x v="174"/>
    <x v="191"/>
    <x v="61"/>
    <x v="69"/>
    <x v="0"/>
  </r>
  <r>
    <x v="0"/>
    <x v="22"/>
    <x v="190"/>
    <x v="120"/>
    <x v="404"/>
    <x v="529"/>
    <x v="526"/>
    <x v="81"/>
    <x v="68"/>
    <x v="0"/>
  </r>
  <r>
    <x v="0"/>
    <x v="23"/>
    <x v="318"/>
    <x v="187"/>
    <x v="396"/>
    <x v="401"/>
    <x v="459"/>
    <x v="72"/>
    <x v="67"/>
    <x v="0"/>
  </r>
  <r>
    <x v="26"/>
    <x v="3"/>
    <x v="503"/>
    <x v="415"/>
    <x v="319"/>
    <x v="216"/>
    <x v="231"/>
    <x v="62"/>
    <x v="66"/>
    <x v="0"/>
  </r>
  <r>
    <x v="16"/>
    <x v="12"/>
    <x v="454"/>
    <x v="346"/>
    <x v="631"/>
    <x v="265"/>
    <x v="300"/>
    <x v="64"/>
    <x v="65"/>
    <x v="0"/>
  </r>
  <r>
    <x v="22"/>
    <x v="4"/>
    <x v="488"/>
    <x v="329"/>
    <x v="393"/>
    <x v="231"/>
    <x v="317"/>
    <x v="65"/>
    <x v="64"/>
    <x v="0"/>
  </r>
  <r>
    <x v="1"/>
    <x v="3"/>
    <x v="541"/>
    <x v="431"/>
    <x v="391"/>
    <x v="178"/>
    <x v="215"/>
    <x v="60"/>
    <x v="63"/>
    <x v="0"/>
  </r>
  <r>
    <x v="28"/>
    <x v="5"/>
    <x v="601"/>
    <x v="559"/>
    <x v="336"/>
    <x v="118"/>
    <x v="87"/>
    <x v="49"/>
    <x v="62"/>
    <x v="0"/>
  </r>
  <r>
    <x v="1"/>
    <x v="18"/>
    <x v="258"/>
    <x v="174"/>
    <x v="324"/>
    <x v="461"/>
    <x v="472"/>
    <x v="71"/>
    <x v="61"/>
    <x v="0"/>
  </r>
  <r>
    <x v="6"/>
    <x v="23"/>
    <x v="577"/>
    <x v="511"/>
    <x v="384"/>
    <x v="142"/>
    <x v="135"/>
    <x v="52"/>
    <x v="60"/>
    <x v="0"/>
  </r>
  <r>
    <x v="28"/>
    <x v="2"/>
    <x v="534"/>
    <x v="490"/>
    <x v="320"/>
    <x v="185"/>
    <x v="156"/>
    <x v="54"/>
    <x v="59"/>
    <x v="0"/>
  </r>
  <r>
    <x v="26"/>
    <x v="22"/>
    <x v="145"/>
    <x v="106"/>
    <x v="311"/>
    <x v="574"/>
    <x v="540"/>
    <x v="76"/>
    <x v="58"/>
    <x v="0"/>
  </r>
  <r>
    <x v="0"/>
    <x v="11"/>
    <x v="465"/>
    <x v="352"/>
    <x v="637"/>
    <x v="254"/>
    <x v="294"/>
    <x v="57"/>
    <x v="57"/>
    <x v="0"/>
  </r>
  <r>
    <x v="20"/>
    <x v="1"/>
    <x v="542"/>
    <x v="508"/>
    <x v="325"/>
    <x v="177"/>
    <x v="138"/>
    <x v="48"/>
    <x v="56"/>
    <x v="0"/>
  </r>
  <r>
    <x v="17"/>
    <x v="4"/>
    <x v="449"/>
    <x v="334"/>
    <x v="321"/>
    <x v="270"/>
    <x v="312"/>
    <x v="53"/>
    <x v="55"/>
    <x v="0"/>
  </r>
  <r>
    <x v="0"/>
    <x v="21"/>
    <x v="70"/>
    <x v="54"/>
    <x v="309"/>
    <x v="649"/>
    <x v="592"/>
    <x v="82"/>
    <x v="54"/>
    <x v="0"/>
  </r>
  <r>
    <x v="23"/>
    <x v="4"/>
    <x v="469"/>
    <x v="302"/>
    <x v="385"/>
    <x v="250"/>
    <x v="344"/>
    <x v="55"/>
    <x v="53"/>
    <x v="0"/>
  </r>
  <r>
    <x v="16"/>
    <x v="3"/>
    <x v="430"/>
    <x v="265"/>
    <x v="386"/>
    <x v="289"/>
    <x v="381"/>
    <x v="58"/>
    <x v="52"/>
    <x v="0"/>
  </r>
  <r>
    <x v="28"/>
    <x v="1"/>
    <x v="529"/>
    <x v="459"/>
    <x v="326"/>
    <x v="190"/>
    <x v="187"/>
    <x v="46"/>
    <x v="51"/>
    <x v="0"/>
  </r>
  <r>
    <x v="22"/>
    <x v="1"/>
    <x v="418"/>
    <x v="254"/>
    <x v="387"/>
    <x v="301"/>
    <x v="392"/>
    <x v="59"/>
    <x v="50"/>
    <x v="0"/>
  </r>
  <r>
    <x v="2"/>
    <x v="2"/>
    <x v="535"/>
    <x v="486"/>
    <x v="329"/>
    <x v="184"/>
    <x v="160"/>
    <x v="45"/>
    <x v="49"/>
    <x v="0"/>
  </r>
  <r>
    <x v="19"/>
    <x v="6"/>
    <x v="680"/>
    <x v="617"/>
    <x v="431"/>
    <x v="39"/>
    <x v="29"/>
    <x v="36"/>
    <x v="48"/>
    <x v="0"/>
  </r>
  <r>
    <x v="5"/>
    <x v="13"/>
    <x v="523"/>
    <x v="442"/>
    <x v="652"/>
    <x v="196"/>
    <x v="204"/>
    <x v="43"/>
    <x v="47"/>
    <x v="0"/>
  </r>
  <r>
    <x v="15"/>
    <x v="13"/>
    <x v="359"/>
    <x v="237"/>
    <x v="606"/>
    <x v="360"/>
    <x v="409"/>
    <x v="56"/>
    <x v="46"/>
    <x v="0"/>
  </r>
  <r>
    <x v="8"/>
    <x v="5"/>
    <x v="526"/>
    <x v="383"/>
    <x v="382"/>
    <x v="193"/>
    <x v="263"/>
    <x v="42"/>
    <x v="45"/>
    <x v="0"/>
  </r>
  <r>
    <x v="0"/>
    <x v="18"/>
    <x v="224"/>
    <x v="156"/>
    <x v="357"/>
    <x v="495"/>
    <x v="490"/>
    <x v="50"/>
    <x v="44"/>
    <x v="0"/>
  </r>
  <r>
    <x v="10"/>
    <x v="23"/>
    <x v="211"/>
    <x v="145"/>
    <x v="322"/>
    <x v="508"/>
    <x v="501"/>
    <x v="51"/>
    <x v="43"/>
    <x v="0"/>
  </r>
  <r>
    <x v="18"/>
    <x v="1"/>
    <x v="455"/>
    <x v="296"/>
    <x v="380"/>
    <x v="264"/>
    <x v="350"/>
    <x v="41"/>
    <x v="42"/>
    <x v="0"/>
  </r>
  <r>
    <x v="5"/>
    <x v="23"/>
    <x v="490"/>
    <x v="341"/>
    <x v="379"/>
    <x v="229"/>
    <x v="305"/>
    <x v="38"/>
    <x v="41"/>
    <x v="0"/>
  </r>
  <r>
    <x v="26"/>
    <x v="19"/>
    <x v="65"/>
    <x v="51"/>
    <x v="323"/>
    <x v="654"/>
    <x v="595"/>
    <x v="68"/>
    <x v="40"/>
    <x v="0"/>
  </r>
  <r>
    <x v="2"/>
    <x v="12"/>
    <x v="406"/>
    <x v="279"/>
    <x v="623"/>
    <x v="313"/>
    <x v="367"/>
    <x v="39"/>
    <x v="39"/>
    <x v="0"/>
  </r>
  <r>
    <x v="12"/>
    <x v="1"/>
    <x v="354"/>
    <x v="232"/>
    <x v="333"/>
    <x v="365"/>
    <x v="414"/>
    <x v="40"/>
    <x v="38"/>
    <x v="0"/>
  </r>
  <r>
    <x v="5"/>
    <x v="18"/>
    <x v="377"/>
    <x v="230"/>
    <x v="486"/>
    <x v="342"/>
    <x v="416"/>
    <x v="37"/>
    <x v="37"/>
    <x v="0"/>
  </r>
  <r>
    <x v="1"/>
    <x v="1"/>
    <x v="522"/>
    <x v="381"/>
    <x v="376"/>
    <x v="197"/>
    <x v="265"/>
    <x v="33"/>
    <x v="36"/>
    <x v="0"/>
  </r>
  <r>
    <x v="17"/>
    <x v="18"/>
    <x v="128"/>
    <x v="85"/>
    <x v="426"/>
    <x v="591"/>
    <x v="561"/>
    <x v="44"/>
    <x v="35"/>
    <x v="0"/>
  </r>
  <r>
    <x v="15"/>
    <x v="1"/>
    <x v="394"/>
    <x v="244"/>
    <x v="377"/>
    <x v="325"/>
    <x v="402"/>
    <x v="35"/>
    <x v="34"/>
    <x v="0"/>
  </r>
  <r>
    <x v="18"/>
    <x v="9"/>
    <x v="368"/>
    <x v="240"/>
    <x v="620"/>
    <x v="351"/>
    <x v="406"/>
    <x v="34"/>
    <x v="33"/>
    <x v="0"/>
  </r>
  <r>
    <x v="28"/>
    <x v="3"/>
    <x v="557"/>
    <x v="500"/>
    <x v="373"/>
    <x v="162"/>
    <x v="146"/>
    <x v="26"/>
    <x v="32"/>
    <x v="0"/>
  </r>
  <r>
    <x v="0"/>
    <x v="10"/>
    <x v="495"/>
    <x v="349"/>
    <x v="639"/>
    <x v="224"/>
    <x v="297"/>
    <x v="31"/>
    <x v="31"/>
    <x v="0"/>
  </r>
  <r>
    <x v="0"/>
    <x v="9"/>
    <x v="494"/>
    <x v="349"/>
    <x v="595"/>
    <x v="225"/>
    <x v="297"/>
    <x v="30"/>
    <x v="30"/>
    <x v="0"/>
  </r>
  <r>
    <x v="19"/>
    <x v="3"/>
    <x v="485"/>
    <x v="343"/>
    <x v="374"/>
    <x v="234"/>
    <x v="303"/>
    <x v="29"/>
    <x v="29"/>
    <x v="0"/>
  </r>
  <r>
    <x v="5"/>
    <x v="12"/>
    <x v="540"/>
    <x v="442"/>
    <x v="657"/>
    <x v="179"/>
    <x v="204"/>
    <x v="23"/>
    <x v="28"/>
    <x v="0"/>
  </r>
  <r>
    <x v="28"/>
    <x v="12"/>
    <x v="196"/>
    <x v="137"/>
    <x v="634"/>
    <x v="523"/>
    <x v="509"/>
    <x v="32"/>
    <x v="27"/>
    <x v="0"/>
  </r>
  <r>
    <x v="19"/>
    <x v="0"/>
    <x v="395"/>
    <x v="262"/>
    <x v="340"/>
    <x v="324"/>
    <x v="384"/>
    <x v="25"/>
    <x v="26"/>
    <x v="0"/>
  </r>
  <r>
    <x v="22"/>
    <x v="23"/>
    <x v="199"/>
    <x v="139"/>
    <x v="338"/>
    <x v="520"/>
    <x v="507"/>
    <x v="27"/>
    <x v="25"/>
    <x v="0"/>
  </r>
  <r>
    <x v="19"/>
    <x v="19"/>
    <x v="93"/>
    <x v="72"/>
    <x v="346"/>
    <x v="626"/>
    <x v="574"/>
    <x v="28"/>
    <x v="24"/>
    <x v="0"/>
  </r>
  <r>
    <x v="15"/>
    <x v="17"/>
    <x v="161"/>
    <x v="109"/>
    <x v="462"/>
    <x v="558"/>
    <x v="537"/>
    <x v="22"/>
    <x v="23"/>
    <x v="0"/>
  </r>
  <r>
    <x v="15"/>
    <x v="7"/>
    <x v="616"/>
    <x v="552"/>
    <x v="552"/>
    <x v="103"/>
    <x v="94"/>
    <x v="18"/>
    <x v="22"/>
    <x v="0"/>
  </r>
  <r>
    <x v="0"/>
    <x v="19"/>
    <x v="87"/>
    <x v="66"/>
    <x v="341"/>
    <x v="632"/>
    <x v="580"/>
    <x v="24"/>
    <x v="21"/>
    <x v="0"/>
  </r>
  <r>
    <x v="24"/>
    <x v="18"/>
    <x v="97"/>
    <x v="73"/>
    <x v="394"/>
    <x v="622"/>
    <x v="573"/>
    <x v="21"/>
    <x v="20"/>
    <x v="0"/>
  </r>
  <r>
    <x v="22"/>
    <x v="6"/>
    <x v="643"/>
    <x v="584"/>
    <x v="432"/>
    <x v="76"/>
    <x v="62"/>
    <x v="16"/>
    <x v="19"/>
    <x v="0"/>
  </r>
  <r>
    <x v="22"/>
    <x v="21"/>
    <x v="23"/>
    <x v="19"/>
    <x v="342"/>
    <x v="696"/>
    <x v="627"/>
    <x v="20"/>
    <x v="18"/>
    <x v="0"/>
  </r>
  <r>
    <x v="18"/>
    <x v="3"/>
    <x v="460"/>
    <x v="314"/>
    <x v="361"/>
    <x v="259"/>
    <x v="332"/>
    <x v="15"/>
    <x v="17"/>
    <x v="0"/>
  </r>
  <r>
    <x v="23"/>
    <x v="3"/>
    <x v="434"/>
    <x v="282"/>
    <x v="360"/>
    <x v="285"/>
    <x v="364"/>
    <x v="14"/>
    <x v="16"/>
    <x v="0"/>
  </r>
  <r>
    <x v="10"/>
    <x v="20"/>
    <x v="22"/>
    <x v="14"/>
    <x v="368"/>
    <x v="697"/>
    <x v="632"/>
    <x v="19"/>
    <x v="15"/>
    <x v="0"/>
  </r>
  <r>
    <x v="28"/>
    <x v="14"/>
    <x v="151"/>
    <x v="102"/>
    <x v="580"/>
    <x v="568"/>
    <x v="544"/>
    <x v="17"/>
    <x v="14"/>
    <x v="0"/>
  </r>
  <r>
    <x v="2"/>
    <x v="10"/>
    <x v="450"/>
    <x v="304"/>
    <x v="625"/>
    <x v="269"/>
    <x v="342"/>
    <x v="13"/>
    <x v="13"/>
    <x v="0"/>
  </r>
  <r>
    <x v="28"/>
    <x v="4"/>
    <x v="547"/>
    <x v="497"/>
    <x v="359"/>
    <x v="172"/>
    <x v="149"/>
    <x v="11"/>
    <x v="12"/>
    <x v="0"/>
  </r>
  <r>
    <x v="27"/>
    <x v="0"/>
    <x v="537"/>
    <x v="439"/>
    <x v="358"/>
    <x v="182"/>
    <x v="207"/>
    <x v="10"/>
    <x v="11"/>
    <x v="0"/>
  </r>
  <r>
    <x v="0"/>
    <x v="12"/>
    <x v="479"/>
    <x v="345"/>
    <x v="644"/>
    <x v="240"/>
    <x v="301"/>
    <x v="9"/>
    <x v="10"/>
    <x v="0"/>
  </r>
  <r>
    <x v="25"/>
    <x v="19"/>
    <x v="45"/>
    <x v="41"/>
    <x v="372"/>
    <x v="674"/>
    <x v="605"/>
    <x v="12"/>
    <x v="9"/>
    <x v="0"/>
  </r>
  <r>
    <x v="7"/>
    <x v="0"/>
    <x v="600"/>
    <x v="543"/>
    <x v="355"/>
    <x v="119"/>
    <x v="103"/>
    <x v="6"/>
    <x v="8"/>
    <x v="0"/>
  </r>
  <r>
    <x v="26"/>
    <x v="2"/>
    <x v="521"/>
    <x v="402"/>
    <x v="356"/>
    <x v="198"/>
    <x v="244"/>
    <x v="7"/>
    <x v="7"/>
    <x v="0"/>
  </r>
  <r>
    <x v="15"/>
    <x v="16"/>
    <x v="246"/>
    <x v="162"/>
    <x v="542"/>
    <x v="473"/>
    <x v="484"/>
    <x v="8"/>
    <x v="6"/>
    <x v="0"/>
  </r>
  <r>
    <x v="25"/>
    <x v="18"/>
    <x v="129"/>
    <x v="88"/>
    <x v="430"/>
    <x v="590"/>
    <x v="558"/>
    <x v="5"/>
    <x v="5"/>
    <x v="0"/>
  </r>
  <r>
    <x v="20"/>
    <x v="3"/>
    <x v="558"/>
    <x v="512"/>
    <x v="353"/>
    <x v="161"/>
    <x v="134"/>
    <x v="4"/>
    <x v="4"/>
    <x v="0"/>
  </r>
  <r>
    <x v="21"/>
    <x v="5"/>
    <x v="665"/>
    <x v="602"/>
    <x v="369"/>
    <x v="54"/>
    <x v="44"/>
    <x v="3"/>
    <x v="3"/>
    <x v="0"/>
  </r>
  <r>
    <x v="20"/>
    <x v="2"/>
    <x v="556"/>
    <x v="510"/>
    <x v="351"/>
    <x v="163"/>
    <x v="136"/>
    <x v="1"/>
    <x v="2"/>
    <x v="0"/>
  </r>
  <r>
    <x v="6"/>
    <x v="20"/>
    <x v="192"/>
    <x v="128"/>
    <x v="348"/>
    <x v="527"/>
    <x v="518"/>
    <x v="2"/>
    <x v="1"/>
    <x v="0"/>
  </r>
  <r>
    <x v="5"/>
    <x v="5"/>
    <x v="197"/>
    <x v="131"/>
    <x v="362"/>
    <x v="522"/>
    <x v="515"/>
    <x v="0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00">
  <r>
    <x v="27"/>
    <x v="1"/>
    <x v="290"/>
    <x v="267"/>
    <x v="105"/>
    <x v="9"/>
    <x v="1"/>
    <x v="240"/>
    <x v="299"/>
    <x v="6"/>
  </r>
  <r>
    <x v="20"/>
    <x v="9"/>
    <x v="209"/>
    <x v="265"/>
    <x v="18"/>
    <x v="90"/>
    <x v="3"/>
    <x v="284"/>
    <x v="298"/>
    <x v="6"/>
  </r>
  <r>
    <x v="29"/>
    <x v="9"/>
    <x v="0"/>
    <x v="3"/>
    <x v="0"/>
    <x v="299"/>
    <x v="265"/>
    <x v="299"/>
    <x v="297"/>
    <x v="6"/>
  </r>
  <r>
    <x v="23"/>
    <x v="6"/>
    <x v="6"/>
    <x v="210"/>
    <x v="4"/>
    <x v="293"/>
    <x v="58"/>
    <x v="296"/>
    <x v="296"/>
    <x v="6"/>
  </r>
  <r>
    <x v="29"/>
    <x v="8"/>
    <x v="2"/>
    <x v="35"/>
    <x v="1"/>
    <x v="297"/>
    <x v="233"/>
    <x v="298"/>
    <x v="295"/>
    <x v="6"/>
  </r>
  <r>
    <x v="29"/>
    <x v="7"/>
    <x v="3"/>
    <x v="32"/>
    <x v="2"/>
    <x v="296"/>
    <x v="236"/>
    <x v="297"/>
    <x v="294"/>
    <x v="6"/>
  </r>
  <r>
    <x v="21"/>
    <x v="5"/>
    <x v="13"/>
    <x v="213"/>
    <x v="5"/>
    <x v="286"/>
    <x v="55"/>
    <x v="294"/>
    <x v="293"/>
    <x v="6"/>
  </r>
  <r>
    <x v="21"/>
    <x v="4"/>
    <x v="25"/>
    <x v="217"/>
    <x v="8"/>
    <x v="274"/>
    <x v="51"/>
    <x v="293"/>
    <x v="292"/>
    <x v="6"/>
  </r>
  <r>
    <x v="20"/>
    <x v="1"/>
    <x v="295"/>
    <x v="268"/>
    <x v="152"/>
    <x v="4"/>
    <x v="0"/>
    <x v="198"/>
    <x v="291"/>
    <x v="6"/>
  </r>
  <r>
    <x v="3"/>
    <x v="0"/>
    <x v="114"/>
    <x v="252"/>
    <x v="7"/>
    <x v="185"/>
    <x v="16"/>
    <x v="285"/>
    <x v="290"/>
    <x v="6"/>
  </r>
  <r>
    <x v="29"/>
    <x v="6"/>
    <x v="4"/>
    <x v="33"/>
    <x v="3"/>
    <x v="295"/>
    <x v="235"/>
    <x v="295"/>
    <x v="289"/>
    <x v="6"/>
  </r>
  <r>
    <x v="1"/>
    <x v="7"/>
    <x v="137"/>
    <x v="247"/>
    <x v="31"/>
    <x v="162"/>
    <x v="21"/>
    <x v="273"/>
    <x v="288"/>
    <x v="5"/>
  </r>
  <r>
    <x v="2"/>
    <x v="9"/>
    <x v="87"/>
    <x v="233"/>
    <x v="13"/>
    <x v="212"/>
    <x v="35"/>
    <x v="282"/>
    <x v="287"/>
    <x v="5"/>
  </r>
  <r>
    <x v="21"/>
    <x v="7"/>
    <x v="11"/>
    <x v="84"/>
    <x v="11"/>
    <x v="288"/>
    <x v="184"/>
    <x v="292"/>
    <x v="286"/>
    <x v="5"/>
  </r>
  <r>
    <x v="23"/>
    <x v="3"/>
    <x v="99"/>
    <x v="235"/>
    <x v="47"/>
    <x v="200"/>
    <x v="33"/>
    <x v="277"/>
    <x v="285"/>
    <x v="5"/>
  </r>
  <r>
    <x v="21"/>
    <x v="6"/>
    <x v="28"/>
    <x v="184"/>
    <x v="16"/>
    <x v="271"/>
    <x v="84"/>
    <x v="290"/>
    <x v="284"/>
    <x v="5"/>
  </r>
  <r>
    <x v="23"/>
    <x v="7"/>
    <x v="7"/>
    <x v="68"/>
    <x v="6"/>
    <x v="292"/>
    <x v="200"/>
    <x v="291"/>
    <x v="283"/>
    <x v="5"/>
  </r>
  <r>
    <x v="24"/>
    <x v="5"/>
    <x v="31"/>
    <x v="179"/>
    <x v="23"/>
    <x v="268"/>
    <x v="89"/>
    <x v="288"/>
    <x v="282"/>
    <x v="5"/>
  </r>
  <r>
    <x v="13"/>
    <x v="0"/>
    <x v="299"/>
    <x v="132"/>
    <x v="298"/>
    <x v="0"/>
    <x v="136"/>
    <x v="287"/>
    <x v="281"/>
    <x v="5"/>
  </r>
  <r>
    <x v="25"/>
    <x v="6"/>
    <x v="20"/>
    <x v="114"/>
    <x v="35"/>
    <x v="279"/>
    <x v="154"/>
    <x v="286"/>
    <x v="280"/>
    <x v="5"/>
  </r>
  <r>
    <x v="21"/>
    <x v="3"/>
    <x v="86"/>
    <x v="223"/>
    <x v="49"/>
    <x v="213"/>
    <x v="45"/>
    <x v="271"/>
    <x v="279"/>
    <x v="5"/>
  </r>
  <r>
    <x v="1"/>
    <x v="6"/>
    <x v="177"/>
    <x v="253"/>
    <x v="50"/>
    <x v="122"/>
    <x v="15"/>
    <x v="250"/>
    <x v="278"/>
    <x v="5"/>
  </r>
  <r>
    <x v="1"/>
    <x v="5"/>
    <x v="188"/>
    <x v="258"/>
    <x v="54"/>
    <x v="111"/>
    <x v="10"/>
    <x v="247"/>
    <x v="277"/>
    <x v="5"/>
  </r>
  <r>
    <x v="13"/>
    <x v="1"/>
    <x v="298"/>
    <x v="150"/>
    <x v="299"/>
    <x v="1"/>
    <x v="118"/>
    <x v="280"/>
    <x v="276"/>
    <x v="4"/>
  </r>
  <r>
    <x v="25"/>
    <x v="5"/>
    <x v="30"/>
    <x v="115"/>
    <x v="28"/>
    <x v="269"/>
    <x v="153"/>
    <x v="281"/>
    <x v="275"/>
    <x v="4"/>
  </r>
  <r>
    <x v="20"/>
    <x v="0"/>
    <x v="297"/>
    <x v="266"/>
    <x v="146"/>
    <x v="2"/>
    <x v="2"/>
    <x v="143"/>
    <x v="274"/>
    <x v="4"/>
  </r>
  <r>
    <x v="11"/>
    <x v="0"/>
    <x v="50"/>
    <x v="206"/>
    <x v="10"/>
    <x v="249"/>
    <x v="62"/>
    <x v="272"/>
    <x v="273"/>
    <x v="4"/>
  </r>
  <r>
    <x v="27"/>
    <x v="0"/>
    <x v="296"/>
    <x v="149"/>
    <x v="290"/>
    <x v="3"/>
    <x v="119"/>
    <x v="278"/>
    <x v="272"/>
    <x v="4"/>
  </r>
  <r>
    <x v="23"/>
    <x v="5"/>
    <x v="40"/>
    <x v="161"/>
    <x v="34"/>
    <x v="259"/>
    <x v="107"/>
    <x v="276"/>
    <x v="271"/>
    <x v="4"/>
  </r>
  <r>
    <x v="24"/>
    <x v="4"/>
    <x v="42"/>
    <x v="179"/>
    <x v="39"/>
    <x v="257"/>
    <x v="89"/>
    <x v="274"/>
    <x v="270"/>
    <x v="4"/>
  </r>
  <r>
    <x v="8"/>
    <x v="9"/>
    <x v="45"/>
    <x v="186"/>
    <x v="17"/>
    <x v="254"/>
    <x v="82"/>
    <x v="269"/>
    <x v="269"/>
    <x v="4"/>
  </r>
  <r>
    <x v="24"/>
    <x v="3"/>
    <x v="43"/>
    <x v="178"/>
    <x v="33"/>
    <x v="256"/>
    <x v="90"/>
    <x v="270"/>
    <x v="268"/>
    <x v="4"/>
  </r>
  <r>
    <x v="25"/>
    <x v="4"/>
    <x v="37"/>
    <x v="122"/>
    <x v="29"/>
    <x v="262"/>
    <x v="146"/>
    <x v="275"/>
    <x v="267"/>
    <x v="4"/>
  </r>
  <r>
    <x v="11"/>
    <x v="1"/>
    <x v="12"/>
    <x v="50"/>
    <x v="9"/>
    <x v="287"/>
    <x v="218"/>
    <x v="283"/>
    <x v="266"/>
    <x v="4"/>
  </r>
  <r>
    <x v="26"/>
    <x v="1"/>
    <x v="229"/>
    <x v="263"/>
    <x v="109"/>
    <x v="70"/>
    <x v="5"/>
    <x v="216"/>
    <x v="265"/>
    <x v="4"/>
  </r>
  <r>
    <x v="7"/>
    <x v="8"/>
    <x v="75"/>
    <x v="211"/>
    <x v="25"/>
    <x v="224"/>
    <x v="57"/>
    <x v="260"/>
    <x v="264"/>
    <x v="4"/>
  </r>
  <r>
    <x v="6"/>
    <x v="0"/>
    <x v="294"/>
    <x v="177"/>
    <x v="284"/>
    <x v="5"/>
    <x v="91"/>
    <x v="265"/>
    <x v="263"/>
    <x v="4"/>
  </r>
  <r>
    <x v="28"/>
    <x v="9"/>
    <x v="5"/>
    <x v="13"/>
    <x v="12"/>
    <x v="294"/>
    <x v="255"/>
    <x v="289"/>
    <x v="262"/>
    <x v="4"/>
  </r>
  <r>
    <x v="22"/>
    <x v="5"/>
    <x v="52"/>
    <x v="184"/>
    <x v="36"/>
    <x v="247"/>
    <x v="84"/>
    <x v="261"/>
    <x v="261"/>
    <x v="4"/>
  </r>
  <r>
    <x v="7"/>
    <x v="3"/>
    <x v="121"/>
    <x v="229"/>
    <x v="53"/>
    <x v="178"/>
    <x v="39"/>
    <x v="244"/>
    <x v="260"/>
    <x v="4"/>
  </r>
  <r>
    <x v="17"/>
    <x v="4"/>
    <x v="34"/>
    <x v="96"/>
    <x v="20"/>
    <x v="265"/>
    <x v="172"/>
    <x v="268"/>
    <x v="259"/>
    <x v="4"/>
  </r>
  <r>
    <x v="22"/>
    <x v="3"/>
    <x v="57"/>
    <x v="199"/>
    <x v="44"/>
    <x v="242"/>
    <x v="69"/>
    <x v="259"/>
    <x v="258"/>
    <x v="4"/>
  </r>
  <r>
    <x v="29"/>
    <x v="5"/>
    <x v="10"/>
    <x v="39"/>
    <x v="21"/>
    <x v="289"/>
    <x v="229"/>
    <x v="279"/>
    <x v="257"/>
    <x v="4"/>
  </r>
  <r>
    <x v="17"/>
    <x v="6"/>
    <x v="35"/>
    <x v="93"/>
    <x v="19"/>
    <x v="264"/>
    <x v="175"/>
    <x v="264"/>
    <x v="256"/>
    <x v="4"/>
  </r>
  <r>
    <x v="13"/>
    <x v="2"/>
    <x v="293"/>
    <x v="158"/>
    <x v="297"/>
    <x v="6"/>
    <x v="110"/>
    <x v="258"/>
    <x v="255"/>
    <x v="4"/>
  </r>
  <r>
    <x v="1"/>
    <x v="8"/>
    <x v="172"/>
    <x v="242"/>
    <x v="55"/>
    <x v="127"/>
    <x v="26"/>
    <x v="227"/>
    <x v="254"/>
    <x v="4"/>
  </r>
  <r>
    <x v="23"/>
    <x v="4"/>
    <x v="55"/>
    <x v="173"/>
    <x v="56"/>
    <x v="244"/>
    <x v="95"/>
    <x v="257"/>
    <x v="253"/>
    <x v="4"/>
  </r>
  <r>
    <x v="19"/>
    <x v="5"/>
    <x v="198"/>
    <x v="251"/>
    <x v="113"/>
    <x v="101"/>
    <x v="17"/>
    <x v="219"/>
    <x v="252"/>
    <x v="4"/>
  </r>
  <r>
    <x v="6"/>
    <x v="1"/>
    <x v="292"/>
    <x v="170"/>
    <x v="288"/>
    <x v="7"/>
    <x v="98"/>
    <x v="256"/>
    <x v="251"/>
    <x v="4"/>
  </r>
  <r>
    <x v="24"/>
    <x v="6"/>
    <x v="17"/>
    <x v="63"/>
    <x v="48"/>
    <x v="282"/>
    <x v="205"/>
    <x v="267"/>
    <x v="250"/>
    <x v="4"/>
  </r>
  <r>
    <x v="26"/>
    <x v="0"/>
    <x v="268"/>
    <x v="264"/>
    <x v="98"/>
    <x v="31"/>
    <x v="4"/>
    <x v="172"/>
    <x v="249"/>
    <x v="4"/>
  </r>
  <r>
    <x v="29"/>
    <x v="4"/>
    <x v="14"/>
    <x v="60"/>
    <x v="45"/>
    <x v="285"/>
    <x v="208"/>
    <x v="266"/>
    <x v="248"/>
    <x v="4"/>
  </r>
  <r>
    <x v="22"/>
    <x v="6"/>
    <x v="60"/>
    <x v="172"/>
    <x v="43"/>
    <x v="239"/>
    <x v="96"/>
    <x v="251"/>
    <x v="247"/>
    <x v="4"/>
  </r>
  <r>
    <x v="29"/>
    <x v="3"/>
    <x v="33"/>
    <x v="73"/>
    <x v="38"/>
    <x v="266"/>
    <x v="195"/>
    <x v="262"/>
    <x v="246"/>
    <x v="4"/>
  </r>
  <r>
    <x v="25"/>
    <x v="3"/>
    <x v="51"/>
    <x v="133"/>
    <x v="69"/>
    <x v="248"/>
    <x v="135"/>
    <x v="255"/>
    <x v="245"/>
    <x v="4"/>
  </r>
  <r>
    <x v="9"/>
    <x v="4"/>
    <x v="104"/>
    <x v="216"/>
    <x v="65"/>
    <x v="195"/>
    <x v="52"/>
    <x v="241"/>
    <x v="244"/>
    <x v="4"/>
  </r>
  <r>
    <x v="25"/>
    <x v="7"/>
    <x v="22"/>
    <x v="64"/>
    <x v="58"/>
    <x v="277"/>
    <x v="204"/>
    <x v="263"/>
    <x v="243"/>
    <x v="4"/>
  </r>
  <r>
    <x v="1"/>
    <x v="3"/>
    <x v="203"/>
    <x v="248"/>
    <x v="96"/>
    <x v="96"/>
    <x v="20"/>
    <x v="212"/>
    <x v="242"/>
    <x v="4"/>
  </r>
  <r>
    <x v="3"/>
    <x v="1"/>
    <x v="65"/>
    <x v="167"/>
    <x v="14"/>
    <x v="234"/>
    <x v="101"/>
    <x v="248"/>
    <x v="241"/>
    <x v="4"/>
  </r>
  <r>
    <x v="13"/>
    <x v="3"/>
    <x v="289"/>
    <x v="160"/>
    <x v="295"/>
    <x v="10"/>
    <x v="108"/>
    <x v="245"/>
    <x v="240"/>
    <x v="4"/>
  </r>
  <r>
    <x v="22"/>
    <x v="2"/>
    <x v="70"/>
    <x v="185"/>
    <x v="68"/>
    <x v="229"/>
    <x v="83"/>
    <x v="243"/>
    <x v="239"/>
    <x v="4"/>
  </r>
  <r>
    <x v="29"/>
    <x v="2"/>
    <x v="38"/>
    <x v="80"/>
    <x v="30"/>
    <x v="261"/>
    <x v="188"/>
    <x v="254"/>
    <x v="238"/>
    <x v="4"/>
  </r>
  <r>
    <x v="8"/>
    <x v="6"/>
    <x v="74"/>
    <x v="194"/>
    <x v="60"/>
    <x v="225"/>
    <x v="74"/>
    <x v="242"/>
    <x v="237"/>
    <x v="4"/>
  </r>
  <r>
    <x v="7"/>
    <x v="9"/>
    <x v="61"/>
    <x v="138"/>
    <x v="22"/>
    <x v="238"/>
    <x v="130"/>
    <x v="246"/>
    <x v="236"/>
    <x v="3"/>
  </r>
  <r>
    <x v="23"/>
    <x v="2"/>
    <x v="120"/>
    <x v="221"/>
    <x v="74"/>
    <x v="179"/>
    <x v="47"/>
    <x v="230"/>
    <x v="235"/>
    <x v="3"/>
  </r>
  <r>
    <x v="9"/>
    <x v="6"/>
    <x v="41"/>
    <x v="86"/>
    <x v="41"/>
    <x v="258"/>
    <x v="182"/>
    <x v="249"/>
    <x v="234"/>
    <x v="3"/>
  </r>
  <r>
    <x v="29"/>
    <x v="1"/>
    <x v="88"/>
    <x v="204"/>
    <x v="37"/>
    <x v="211"/>
    <x v="64"/>
    <x v="238"/>
    <x v="233"/>
    <x v="3"/>
  </r>
  <r>
    <x v="19"/>
    <x v="3"/>
    <x v="224"/>
    <x v="259"/>
    <x v="155"/>
    <x v="75"/>
    <x v="9"/>
    <x v="187"/>
    <x v="232"/>
    <x v="3"/>
  </r>
  <r>
    <x v="11"/>
    <x v="2"/>
    <x v="27"/>
    <x v="58"/>
    <x v="15"/>
    <x v="272"/>
    <x v="210"/>
    <x v="253"/>
    <x v="231"/>
    <x v="3"/>
  </r>
  <r>
    <x v="19"/>
    <x v="6"/>
    <x v="185"/>
    <x v="241"/>
    <x v="119"/>
    <x v="114"/>
    <x v="27"/>
    <x v="206"/>
    <x v="230"/>
    <x v="3"/>
  </r>
  <r>
    <x v="9"/>
    <x v="7"/>
    <x v="26"/>
    <x v="57"/>
    <x v="24"/>
    <x v="273"/>
    <x v="211"/>
    <x v="252"/>
    <x v="229"/>
    <x v="3"/>
  </r>
  <r>
    <x v="20"/>
    <x v="2"/>
    <x v="288"/>
    <x v="199"/>
    <x v="293"/>
    <x v="11"/>
    <x v="69"/>
    <x v="236"/>
    <x v="228"/>
    <x v="3"/>
  </r>
  <r>
    <x v="11"/>
    <x v="4"/>
    <x v="68"/>
    <x v="134"/>
    <x v="26"/>
    <x v="231"/>
    <x v="134"/>
    <x v="239"/>
    <x v="227"/>
    <x v="3"/>
  </r>
  <r>
    <x v="21"/>
    <x v="2"/>
    <x v="80"/>
    <x v="176"/>
    <x v="76"/>
    <x v="219"/>
    <x v="92"/>
    <x v="237"/>
    <x v="226"/>
    <x v="3"/>
  </r>
  <r>
    <x v="8"/>
    <x v="8"/>
    <x v="85"/>
    <x v="195"/>
    <x v="57"/>
    <x v="214"/>
    <x v="73"/>
    <x v="235"/>
    <x v="225"/>
    <x v="3"/>
  </r>
  <r>
    <x v="1"/>
    <x v="4"/>
    <x v="207"/>
    <x v="246"/>
    <x v="117"/>
    <x v="92"/>
    <x v="22"/>
    <x v="193"/>
    <x v="224"/>
    <x v="3"/>
  </r>
  <r>
    <x v="1"/>
    <x v="9"/>
    <x v="161"/>
    <x v="230"/>
    <x v="64"/>
    <x v="138"/>
    <x v="38"/>
    <x v="207"/>
    <x v="223"/>
    <x v="3"/>
  </r>
  <r>
    <x v="11"/>
    <x v="5"/>
    <x v="81"/>
    <x v="165"/>
    <x v="27"/>
    <x v="218"/>
    <x v="103"/>
    <x v="229"/>
    <x v="222"/>
    <x v="3"/>
  </r>
  <r>
    <x v="13"/>
    <x v="4"/>
    <x v="287"/>
    <x v="159"/>
    <x v="291"/>
    <x v="12"/>
    <x v="109"/>
    <x v="231"/>
    <x v="221"/>
    <x v="3"/>
  </r>
  <r>
    <x v="6"/>
    <x v="2"/>
    <x v="286"/>
    <x v="155"/>
    <x v="286"/>
    <x v="13"/>
    <x v="113"/>
    <x v="228"/>
    <x v="220"/>
    <x v="3"/>
  </r>
  <r>
    <x v="2"/>
    <x v="2"/>
    <x v="179"/>
    <x v="236"/>
    <x v="86"/>
    <x v="120"/>
    <x v="32"/>
    <x v="196"/>
    <x v="219"/>
    <x v="3"/>
  </r>
  <r>
    <x v="13"/>
    <x v="5"/>
    <x v="285"/>
    <x v="144"/>
    <x v="296"/>
    <x v="14"/>
    <x v="124"/>
    <x v="224"/>
    <x v="218"/>
    <x v="3"/>
  </r>
  <r>
    <x v="1"/>
    <x v="2"/>
    <x v="206"/>
    <x v="243"/>
    <x v="90"/>
    <x v="93"/>
    <x v="25"/>
    <x v="185"/>
    <x v="217"/>
    <x v="3"/>
  </r>
  <r>
    <x v="12"/>
    <x v="0"/>
    <x v="275"/>
    <x v="75"/>
    <x v="269"/>
    <x v="24"/>
    <x v="193"/>
    <x v="234"/>
    <x v="216"/>
    <x v="3"/>
  </r>
  <r>
    <x v="9"/>
    <x v="5"/>
    <x v="115"/>
    <x v="209"/>
    <x v="95"/>
    <x v="184"/>
    <x v="59"/>
    <x v="210"/>
    <x v="215"/>
    <x v="3"/>
  </r>
  <r>
    <x v="13"/>
    <x v="7"/>
    <x v="281"/>
    <x v="113"/>
    <x v="294"/>
    <x v="18"/>
    <x v="155"/>
    <x v="223"/>
    <x v="214"/>
    <x v="3"/>
  </r>
  <r>
    <x v="4"/>
    <x v="3"/>
    <x v="208"/>
    <x v="244"/>
    <x v="136"/>
    <x v="91"/>
    <x v="24"/>
    <x v="176"/>
    <x v="213"/>
    <x v="3"/>
  </r>
  <r>
    <x v="17"/>
    <x v="5"/>
    <x v="54"/>
    <x v="94"/>
    <x v="52"/>
    <x v="245"/>
    <x v="174"/>
    <x v="225"/>
    <x v="212"/>
    <x v="3"/>
  </r>
  <r>
    <x v="25"/>
    <x v="1"/>
    <x v="92"/>
    <x v="174"/>
    <x v="79"/>
    <x v="207"/>
    <x v="94"/>
    <x v="217"/>
    <x v="211"/>
    <x v="3"/>
  </r>
  <r>
    <x v="13"/>
    <x v="8"/>
    <x v="277"/>
    <x v="104"/>
    <x v="289"/>
    <x v="22"/>
    <x v="164"/>
    <x v="222"/>
    <x v="210"/>
    <x v="3"/>
  </r>
  <r>
    <x v="23"/>
    <x v="1"/>
    <x v="170"/>
    <x v="227"/>
    <x v="83"/>
    <x v="129"/>
    <x v="41"/>
    <x v="189"/>
    <x v="209"/>
    <x v="3"/>
  </r>
  <r>
    <x v="1"/>
    <x v="0"/>
    <x v="228"/>
    <x v="256"/>
    <x v="42"/>
    <x v="71"/>
    <x v="12"/>
    <x v="156"/>
    <x v="208"/>
    <x v="3"/>
  </r>
  <r>
    <x v="3"/>
    <x v="7"/>
    <x v="101"/>
    <x v="189"/>
    <x v="59"/>
    <x v="198"/>
    <x v="79"/>
    <x v="209"/>
    <x v="207"/>
    <x v="3"/>
  </r>
  <r>
    <x v="28"/>
    <x v="3"/>
    <x v="62"/>
    <x v="89"/>
    <x v="80"/>
    <x v="237"/>
    <x v="179"/>
    <x v="220"/>
    <x v="206"/>
    <x v="3"/>
  </r>
  <r>
    <x v="7"/>
    <x v="7"/>
    <x v="90"/>
    <x v="141"/>
    <x v="71"/>
    <x v="209"/>
    <x v="127"/>
    <x v="211"/>
    <x v="205"/>
    <x v="3"/>
  </r>
  <r>
    <x v="17"/>
    <x v="0"/>
    <x v="257"/>
    <x v="47"/>
    <x v="259"/>
    <x v="42"/>
    <x v="221"/>
    <x v="233"/>
    <x v="204"/>
    <x v="3"/>
  </r>
  <r>
    <x v="13"/>
    <x v="6"/>
    <x v="279"/>
    <x v="127"/>
    <x v="292"/>
    <x v="20"/>
    <x v="141"/>
    <x v="214"/>
    <x v="203"/>
    <x v="3"/>
  </r>
  <r>
    <x v="3"/>
    <x v="2"/>
    <x v="119"/>
    <x v="208"/>
    <x v="46"/>
    <x v="180"/>
    <x v="60"/>
    <x v="201"/>
    <x v="202"/>
    <x v="3"/>
  </r>
  <r>
    <x v="22"/>
    <x v="4"/>
    <x v="102"/>
    <x v="198"/>
    <x v="101"/>
    <x v="197"/>
    <x v="70"/>
    <x v="203"/>
    <x v="201"/>
    <x v="3"/>
  </r>
  <r>
    <x v="3"/>
    <x v="3"/>
    <x v="168"/>
    <x v="222"/>
    <x v="89"/>
    <x v="131"/>
    <x v="46"/>
    <x v="181"/>
    <x v="200"/>
    <x v="3"/>
  </r>
  <r>
    <x v="3"/>
    <x v="8"/>
    <x v="142"/>
    <x v="212"/>
    <x v="63"/>
    <x v="157"/>
    <x v="56"/>
    <x v="191"/>
    <x v="199"/>
    <x v="3"/>
  </r>
  <r>
    <x v="8"/>
    <x v="7"/>
    <x v="79"/>
    <x v="111"/>
    <x v="82"/>
    <x v="220"/>
    <x v="157"/>
    <x v="208"/>
    <x v="198"/>
    <x v="3"/>
  </r>
  <r>
    <x v="25"/>
    <x v="2"/>
    <x v="67"/>
    <x v="90"/>
    <x v="102"/>
    <x v="232"/>
    <x v="178"/>
    <x v="215"/>
    <x v="197"/>
    <x v="3"/>
  </r>
  <r>
    <x v="19"/>
    <x v="7"/>
    <x v="175"/>
    <x v="225"/>
    <x v="122"/>
    <x v="124"/>
    <x v="43"/>
    <x v="174"/>
    <x v="196"/>
    <x v="3"/>
  </r>
  <r>
    <x v="5"/>
    <x v="9"/>
    <x v="187"/>
    <x v="232"/>
    <x v="93"/>
    <x v="112"/>
    <x v="36"/>
    <x v="165"/>
    <x v="195"/>
    <x v="3"/>
  </r>
  <r>
    <x v="27"/>
    <x v="2"/>
    <x v="280"/>
    <x v="163"/>
    <x v="285"/>
    <x v="19"/>
    <x v="105"/>
    <x v="199"/>
    <x v="194"/>
    <x v="3"/>
  </r>
  <r>
    <x v="19"/>
    <x v="4"/>
    <x v="223"/>
    <x v="250"/>
    <x v="183"/>
    <x v="76"/>
    <x v="18"/>
    <x v="149"/>
    <x v="193"/>
    <x v="3"/>
  </r>
  <r>
    <x v="25"/>
    <x v="8"/>
    <x v="19"/>
    <x v="31"/>
    <x v="94"/>
    <x v="280"/>
    <x v="237"/>
    <x v="226"/>
    <x v="192"/>
    <x v="3"/>
  </r>
  <r>
    <x v="26"/>
    <x v="9"/>
    <x v="95"/>
    <x v="135"/>
    <x v="88"/>
    <x v="204"/>
    <x v="133"/>
    <x v="195"/>
    <x v="191"/>
    <x v="3"/>
  </r>
  <r>
    <x v="20"/>
    <x v="3"/>
    <x v="283"/>
    <x v="203"/>
    <x v="287"/>
    <x v="16"/>
    <x v="65"/>
    <x v="188"/>
    <x v="190"/>
    <x v="3"/>
  </r>
  <r>
    <x v="4"/>
    <x v="2"/>
    <x v="211"/>
    <x v="239"/>
    <x v="121"/>
    <x v="88"/>
    <x v="29"/>
    <x v="154"/>
    <x v="189"/>
    <x v="3"/>
  </r>
  <r>
    <x v="13"/>
    <x v="9"/>
    <x v="269"/>
    <x v="83"/>
    <x v="281"/>
    <x v="30"/>
    <x v="185"/>
    <x v="204"/>
    <x v="188"/>
    <x v="3"/>
  </r>
  <r>
    <x v="8"/>
    <x v="4"/>
    <x v="106"/>
    <x v="190"/>
    <x v="114"/>
    <x v="193"/>
    <x v="78"/>
    <x v="190"/>
    <x v="187"/>
    <x v="3"/>
  </r>
  <r>
    <x v="6"/>
    <x v="3"/>
    <x v="278"/>
    <x v="151"/>
    <x v="283"/>
    <x v="21"/>
    <x v="117"/>
    <x v="192"/>
    <x v="186"/>
    <x v="3"/>
  </r>
  <r>
    <x v="10"/>
    <x v="0"/>
    <x v="226"/>
    <x v="250"/>
    <x v="70"/>
    <x v="73"/>
    <x v="18"/>
    <x v="144"/>
    <x v="185"/>
    <x v="3"/>
  </r>
  <r>
    <x v="17"/>
    <x v="3"/>
    <x v="77"/>
    <x v="100"/>
    <x v="73"/>
    <x v="222"/>
    <x v="168"/>
    <x v="202"/>
    <x v="184"/>
    <x v="3"/>
  </r>
  <r>
    <x v="24"/>
    <x v="2"/>
    <x v="78"/>
    <x v="98"/>
    <x v="85"/>
    <x v="221"/>
    <x v="170"/>
    <x v="200"/>
    <x v="183"/>
    <x v="3"/>
  </r>
  <r>
    <x v="16"/>
    <x v="8"/>
    <x v="21"/>
    <x v="27"/>
    <x v="40"/>
    <x v="278"/>
    <x v="241"/>
    <x v="221"/>
    <x v="182"/>
    <x v="3"/>
  </r>
  <r>
    <x v="10"/>
    <x v="2"/>
    <x v="108"/>
    <x v="180"/>
    <x v="78"/>
    <x v="191"/>
    <x v="88"/>
    <x v="183"/>
    <x v="181"/>
    <x v="3"/>
  </r>
  <r>
    <x v="26"/>
    <x v="6"/>
    <x v="105"/>
    <x v="166"/>
    <x v="160"/>
    <x v="194"/>
    <x v="102"/>
    <x v="186"/>
    <x v="180"/>
    <x v="3"/>
  </r>
  <r>
    <x v="22"/>
    <x v="9"/>
    <x v="9"/>
    <x v="7"/>
    <x v="32"/>
    <x v="290"/>
    <x v="261"/>
    <x v="232"/>
    <x v="179"/>
    <x v="3"/>
  </r>
  <r>
    <x v="28"/>
    <x v="2"/>
    <x v="69"/>
    <x v="77"/>
    <x v="77"/>
    <x v="230"/>
    <x v="191"/>
    <x v="194"/>
    <x v="178"/>
    <x v="3"/>
  </r>
  <r>
    <x v="21"/>
    <x v="8"/>
    <x v="16"/>
    <x v="22"/>
    <x v="51"/>
    <x v="283"/>
    <x v="246"/>
    <x v="218"/>
    <x v="177"/>
    <x v="3"/>
  </r>
  <r>
    <x v="4"/>
    <x v="0"/>
    <x v="276"/>
    <x v="174"/>
    <x v="253"/>
    <x v="23"/>
    <x v="94"/>
    <x v="175"/>
    <x v="176"/>
    <x v="3"/>
  </r>
  <r>
    <x v="6"/>
    <x v="4"/>
    <x v="274"/>
    <x v="142"/>
    <x v="280"/>
    <x v="25"/>
    <x v="126"/>
    <x v="179"/>
    <x v="175"/>
    <x v="3"/>
  </r>
  <r>
    <x v="26"/>
    <x v="8"/>
    <x v="103"/>
    <x v="141"/>
    <x v="135"/>
    <x v="196"/>
    <x v="127"/>
    <x v="177"/>
    <x v="174"/>
    <x v="3"/>
  </r>
  <r>
    <x v="19"/>
    <x v="2"/>
    <x v="242"/>
    <x v="257"/>
    <x v="192"/>
    <x v="57"/>
    <x v="11"/>
    <x v="128"/>
    <x v="173"/>
    <x v="3"/>
  </r>
  <r>
    <x v="8"/>
    <x v="3"/>
    <x v="117"/>
    <x v="196"/>
    <x v="118"/>
    <x v="182"/>
    <x v="72"/>
    <x v="171"/>
    <x v="172"/>
    <x v="3"/>
  </r>
  <r>
    <x v="23"/>
    <x v="9"/>
    <x v="15"/>
    <x v="21"/>
    <x v="61"/>
    <x v="284"/>
    <x v="247"/>
    <x v="213"/>
    <x v="171"/>
    <x v="3"/>
  </r>
  <r>
    <x v="14"/>
    <x v="0"/>
    <x v="273"/>
    <x v="152"/>
    <x v="256"/>
    <x v="26"/>
    <x v="116"/>
    <x v="168"/>
    <x v="170"/>
    <x v="2"/>
  </r>
  <r>
    <x v="6"/>
    <x v="5"/>
    <x v="272"/>
    <x v="136"/>
    <x v="278"/>
    <x v="27"/>
    <x v="132"/>
    <x v="170"/>
    <x v="169"/>
    <x v="2"/>
  </r>
  <r>
    <x v="26"/>
    <x v="7"/>
    <x v="110"/>
    <x v="152"/>
    <x v="153"/>
    <x v="189"/>
    <x v="116"/>
    <x v="167"/>
    <x v="168"/>
    <x v="2"/>
  </r>
  <r>
    <x v="7"/>
    <x v="6"/>
    <x v="109"/>
    <x v="145"/>
    <x v="99"/>
    <x v="190"/>
    <x v="123"/>
    <x v="162"/>
    <x v="167"/>
    <x v="2"/>
  </r>
  <r>
    <x v="11"/>
    <x v="3"/>
    <x v="96"/>
    <x v="107"/>
    <x v="67"/>
    <x v="203"/>
    <x v="161"/>
    <x v="173"/>
    <x v="166"/>
    <x v="2"/>
  </r>
  <r>
    <x v="9"/>
    <x v="3"/>
    <x v="124"/>
    <x v="188"/>
    <x v="116"/>
    <x v="175"/>
    <x v="80"/>
    <x v="160"/>
    <x v="165"/>
    <x v="2"/>
  </r>
  <r>
    <x v="25"/>
    <x v="0"/>
    <x v="197"/>
    <x v="231"/>
    <x v="91"/>
    <x v="102"/>
    <x v="37"/>
    <x v="138"/>
    <x v="164"/>
    <x v="2"/>
  </r>
  <r>
    <x v="10"/>
    <x v="6"/>
    <x v="73"/>
    <x v="72"/>
    <x v="110"/>
    <x v="226"/>
    <x v="196"/>
    <x v="178"/>
    <x v="163"/>
    <x v="2"/>
  </r>
  <r>
    <x v="26"/>
    <x v="5"/>
    <x v="116"/>
    <x v="172"/>
    <x v="161"/>
    <x v="183"/>
    <x v="96"/>
    <x v="159"/>
    <x v="162"/>
    <x v="2"/>
  </r>
  <r>
    <x v="10"/>
    <x v="5"/>
    <x v="123"/>
    <x v="181"/>
    <x v="124"/>
    <x v="176"/>
    <x v="87"/>
    <x v="158"/>
    <x v="161"/>
    <x v="2"/>
  </r>
  <r>
    <x v="8"/>
    <x v="5"/>
    <x v="128"/>
    <x v="187"/>
    <x v="127"/>
    <x v="171"/>
    <x v="81"/>
    <x v="155"/>
    <x v="160"/>
    <x v="2"/>
  </r>
  <r>
    <x v="9"/>
    <x v="8"/>
    <x v="49"/>
    <x v="52"/>
    <x v="62"/>
    <x v="250"/>
    <x v="216"/>
    <x v="182"/>
    <x v="159"/>
    <x v="2"/>
  </r>
  <r>
    <x v="21"/>
    <x v="1"/>
    <x v="166"/>
    <x v="215"/>
    <x v="115"/>
    <x v="133"/>
    <x v="53"/>
    <x v="146"/>
    <x v="158"/>
    <x v="2"/>
  </r>
  <r>
    <x v="18"/>
    <x v="0"/>
    <x v="260"/>
    <x v="95"/>
    <x v="250"/>
    <x v="39"/>
    <x v="173"/>
    <x v="161"/>
    <x v="157"/>
    <x v="2"/>
  </r>
  <r>
    <x v="17"/>
    <x v="1"/>
    <x v="204"/>
    <x v="8"/>
    <x v="260"/>
    <x v="95"/>
    <x v="260"/>
    <x v="205"/>
    <x v="156"/>
    <x v="2"/>
  </r>
  <r>
    <x v="10"/>
    <x v="4"/>
    <x v="133"/>
    <x v="192"/>
    <x v="128"/>
    <x v="166"/>
    <x v="76"/>
    <x v="153"/>
    <x v="155"/>
    <x v="2"/>
  </r>
  <r>
    <x v="23"/>
    <x v="8"/>
    <x v="18"/>
    <x v="19"/>
    <x v="75"/>
    <x v="281"/>
    <x v="249"/>
    <x v="197"/>
    <x v="154"/>
    <x v="2"/>
  </r>
  <r>
    <x v="28"/>
    <x v="1"/>
    <x v="136"/>
    <x v="190"/>
    <x v="100"/>
    <x v="163"/>
    <x v="78"/>
    <x v="150"/>
    <x v="153"/>
    <x v="2"/>
  </r>
  <r>
    <x v="19"/>
    <x v="9"/>
    <x v="122"/>
    <x v="167"/>
    <x v="134"/>
    <x v="177"/>
    <x v="101"/>
    <x v="152"/>
    <x v="152"/>
    <x v="2"/>
  </r>
  <r>
    <x v="12"/>
    <x v="2"/>
    <x v="262"/>
    <x v="105"/>
    <x v="268"/>
    <x v="37"/>
    <x v="163"/>
    <x v="157"/>
    <x v="151"/>
    <x v="2"/>
  </r>
  <r>
    <x v="17"/>
    <x v="7"/>
    <x v="64"/>
    <x v="59"/>
    <x v="84"/>
    <x v="235"/>
    <x v="209"/>
    <x v="166"/>
    <x v="150"/>
    <x v="2"/>
  </r>
  <r>
    <x v="7"/>
    <x v="0"/>
    <x v="265"/>
    <x v="124"/>
    <x v="248"/>
    <x v="34"/>
    <x v="144"/>
    <x v="151"/>
    <x v="149"/>
    <x v="2"/>
  </r>
  <r>
    <x v="5"/>
    <x v="1"/>
    <x v="270"/>
    <x v="178"/>
    <x v="265"/>
    <x v="29"/>
    <x v="90"/>
    <x v="147"/>
    <x v="148"/>
    <x v="2"/>
  </r>
  <r>
    <x v="22"/>
    <x v="1"/>
    <x v="132"/>
    <x v="175"/>
    <x v="103"/>
    <x v="167"/>
    <x v="93"/>
    <x v="148"/>
    <x v="147"/>
    <x v="2"/>
  </r>
  <r>
    <x v="3"/>
    <x v="4"/>
    <x v="182"/>
    <x v="219"/>
    <x v="140"/>
    <x v="117"/>
    <x v="49"/>
    <x v="133"/>
    <x v="146"/>
    <x v="2"/>
  </r>
  <r>
    <x v="26"/>
    <x v="4"/>
    <x v="140"/>
    <x v="183"/>
    <x v="186"/>
    <x v="159"/>
    <x v="85"/>
    <x v="141"/>
    <x v="145"/>
    <x v="2"/>
  </r>
  <r>
    <x v="6"/>
    <x v="6"/>
    <x v="263"/>
    <x v="130"/>
    <x v="274"/>
    <x v="36"/>
    <x v="138"/>
    <x v="145"/>
    <x v="144"/>
    <x v="2"/>
  </r>
  <r>
    <x v="29"/>
    <x v="0"/>
    <x v="195"/>
    <x v="224"/>
    <x v="81"/>
    <x v="104"/>
    <x v="44"/>
    <x v="127"/>
    <x v="143"/>
    <x v="2"/>
  </r>
  <r>
    <x v="20"/>
    <x v="4"/>
    <x v="271"/>
    <x v="202"/>
    <x v="282"/>
    <x v="28"/>
    <x v="66"/>
    <x v="136"/>
    <x v="142"/>
    <x v="2"/>
  </r>
  <r>
    <x v="24"/>
    <x v="8"/>
    <x v="24"/>
    <x v="17"/>
    <x v="120"/>
    <x v="275"/>
    <x v="251"/>
    <x v="180"/>
    <x v="141"/>
    <x v="2"/>
  </r>
  <r>
    <x v="4"/>
    <x v="7"/>
    <x v="126"/>
    <x v="148"/>
    <x v="148"/>
    <x v="173"/>
    <x v="120"/>
    <x v="142"/>
    <x v="140"/>
    <x v="2"/>
  </r>
  <r>
    <x v="11"/>
    <x v="8"/>
    <x v="44"/>
    <x v="37"/>
    <x v="66"/>
    <x v="255"/>
    <x v="231"/>
    <x v="164"/>
    <x v="139"/>
    <x v="2"/>
  </r>
  <r>
    <x v="4"/>
    <x v="8"/>
    <x v="131"/>
    <x v="156"/>
    <x v="131"/>
    <x v="168"/>
    <x v="112"/>
    <x v="140"/>
    <x v="138"/>
    <x v="2"/>
  </r>
  <r>
    <x v="21"/>
    <x v="0"/>
    <x v="255"/>
    <x v="260"/>
    <x v="129"/>
    <x v="44"/>
    <x v="8"/>
    <x v="101"/>
    <x v="137"/>
    <x v="2"/>
  </r>
  <r>
    <x v="7"/>
    <x v="4"/>
    <x v="125"/>
    <x v="139"/>
    <x v="130"/>
    <x v="174"/>
    <x v="129"/>
    <x v="137"/>
    <x v="136"/>
    <x v="2"/>
  </r>
  <r>
    <x v="28"/>
    <x v="0"/>
    <x v="234"/>
    <x v="245"/>
    <x v="123"/>
    <x v="65"/>
    <x v="23"/>
    <x v="113"/>
    <x v="135"/>
    <x v="2"/>
  </r>
  <r>
    <x v="12"/>
    <x v="3"/>
    <x v="256"/>
    <x v="110"/>
    <x v="273"/>
    <x v="43"/>
    <x v="158"/>
    <x v="139"/>
    <x v="134"/>
    <x v="2"/>
  </r>
  <r>
    <x v="10"/>
    <x v="3"/>
    <x v="148"/>
    <x v="191"/>
    <x v="147"/>
    <x v="151"/>
    <x v="77"/>
    <x v="134"/>
    <x v="133"/>
    <x v="2"/>
  </r>
  <r>
    <x v="24"/>
    <x v="7"/>
    <x v="32"/>
    <x v="20"/>
    <x v="138"/>
    <x v="267"/>
    <x v="248"/>
    <x v="169"/>
    <x v="132"/>
    <x v="2"/>
  </r>
  <r>
    <x v="27"/>
    <x v="3"/>
    <x v="266"/>
    <x v="169"/>
    <x v="279"/>
    <x v="33"/>
    <x v="99"/>
    <x v="135"/>
    <x v="131"/>
    <x v="2"/>
  </r>
  <r>
    <x v="28"/>
    <x v="8"/>
    <x v="8"/>
    <x v="2"/>
    <x v="72"/>
    <x v="291"/>
    <x v="266"/>
    <x v="184"/>
    <x v="130"/>
    <x v="2"/>
  </r>
  <r>
    <x v="24"/>
    <x v="9"/>
    <x v="23"/>
    <x v="12"/>
    <x v="97"/>
    <x v="276"/>
    <x v="256"/>
    <x v="163"/>
    <x v="129"/>
    <x v="2"/>
  </r>
  <r>
    <x v="22"/>
    <x v="0"/>
    <x v="222"/>
    <x v="240"/>
    <x v="106"/>
    <x v="77"/>
    <x v="28"/>
    <x v="108"/>
    <x v="128"/>
    <x v="2"/>
  </r>
  <r>
    <x v="18"/>
    <x v="4"/>
    <x v="130"/>
    <x v="129"/>
    <x v="177"/>
    <x v="169"/>
    <x v="139"/>
    <x v="130"/>
    <x v="127"/>
    <x v="2"/>
  </r>
  <r>
    <x v="6"/>
    <x v="7"/>
    <x v="258"/>
    <x v="124"/>
    <x v="270"/>
    <x v="41"/>
    <x v="144"/>
    <x v="129"/>
    <x v="126"/>
    <x v="2"/>
  </r>
  <r>
    <x v="6"/>
    <x v="8"/>
    <x v="252"/>
    <x v="123"/>
    <x v="263"/>
    <x v="47"/>
    <x v="145"/>
    <x v="126"/>
    <x v="125"/>
    <x v="2"/>
  </r>
  <r>
    <x v="20"/>
    <x v="5"/>
    <x v="264"/>
    <x v="197"/>
    <x v="275"/>
    <x v="35"/>
    <x v="71"/>
    <x v="123"/>
    <x v="124"/>
    <x v="2"/>
  </r>
  <r>
    <x v="18"/>
    <x v="5"/>
    <x v="135"/>
    <x v="126"/>
    <x v="179"/>
    <x v="164"/>
    <x v="142"/>
    <x v="125"/>
    <x v="123"/>
    <x v="2"/>
  </r>
  <r>
    <x v="2"/>
    <x v="8"/>
    <x v="97"/>
    <x v="71"/>
    <x v="111"/>
    <x v="202"/>
    <x v="197"/>
    <x v="132"/>
    <x v="122"/>
    <x v="2"/>
  </r>
  <r>
    <x v="7"/>
    <x v="5"/>
    <x v="146"/>
    <x v="140"/>
    <x v="137"/>
    <x v="153"/>
    <x v="128"/>
    <x v="124"/>
    <x v="121"/>
    <x v="2"/>
  </r>
  <r>
    <x v="14"/>
    <x v="5"/>
    <x v="139"/>
    <x v="126"/>
    <x v="173"/>
    <x v="160"/>
    <x v="142"/>
    <x v="120"/>
    <x v="120"/>
    <x v="2"/>
  </r>
  <r>
    <x v="0"/>
    <x v="0"/>
    <x v="284"/>
    <x v="228"/>
    <x v="233"/>
    <x v="15"/>
    <x v="40"/>
    <x v="102"/>
    <x v="119"/>
    <x v="2"/>
  </r>
  <r>
    <x v="17"/>
    <x v="8"/>
    <x v="63"/>
    <x v="40"/>
    <x v="112"/>
    <x v="236"/>
    <x v="228"/>
    <x v="131"/>
    <x v="118"/>
    <x v="2"/>
  </r>
  <r>
    <x v="12"/>
    <x v="4"/>
    <x v="248"/>
    <x v="112"/>
    <x v="261"/>
    <x v="51"/>
    <x v="156"/>
    <x v="118"/>
    <x v="117"/>
    <x v="2"/>
  </r>
  <r>
    <x v="8"/>
    <x v="0"/>
    <x v="245"/>
    <x v="109"/>
    <x v="228"/>
    <x v="54"/>
    <x v="159"/>
    <x v="116"/>
    <x v="116"/>
    <x v="2"/>
  </r>
  <r>
    <x v="15"/>
    <x v="4"/>
    <x v="162"/>
    <x v="196"/>
    <x v="182"/>
    <x v="137"/>
    <x v="72"/>
    <x v="111"/>
    <x v="115"/>
    <x v="2"/>
  </r>
  <r>
    <x v="18"/>
    <x v="6"/>
    <x v="141"/>
    <x v="121"/>
    <x v="185"/>
    <x v="158"/>
    <x v="147"/>
    <x v="115"/>
    <x v="114"/>
    <x v="2"/>
  </r>
  <r>
    <x v="27"/>
    <x v="4"/>
    <x v="254"/>
    <x v="164"/>
    <x v="277"/>
    <x v="45"/>
    <x v="104"/>
    <x v="112"/>
    <x v="113"/>
    <x v="2"/>
  </r>
  <r>
    <x v="10"/>
    <x v="7"/>
    <x v="89"/>
    <x v="61"/>
    <x v="150"/>
    <x v="210"/>
    <x v="207"/>
    <x v="121"/>
    <x v="112"/>
    <x v="2"/>
  </r>
  <r>
    <x v="10"/>
    <x v="1"/>
    <x v="159"/>
    <x v="168"/>
    <x v="108"/>
    <x v="140"/>
    <x v="100"/>
    <x v="105"/>
    <x v="111"/>
    <x v="2"/>
  </r>
  <r>
    <x v="4"/>
    <x v="1"/>
    <x v="231"/>
    <x v="238"/>
    <x v="145"/>
    <x v="68"/>
    <x v="30"/>
    <x v="88"/>
    <x v="110"/>
    <x v="2"/>
  </r>
  <r>
    <x v="18"/>
    <x v="3"/>
    <x v="152"/>
    <x v="128"/>
    <x v="184"/>
    <x v="147"/>
    <x v="140"/>
    <x v="107"/>
    <x v="109"/>
    <x v="2"/>
  </r>
  <r>
    <x v="27"/>
    <x v="5"/>
    <x v="250"/>
    <x v="142"/>
    <x v="276"/>
    <x v="49"/>
    <x v="126"/>
    <x v="104"/>
    <x v="108"/>
    <x v="2"/>
  </r>
  <r>
    <x v="6"/>
    <x v="9"/>
    <x v="247"/>
    <x v="121"/>
    <x v="251"/>
    <x v="52"/>
    <x v="147"/>
    <x v="106"/>
    <x v="107"/>
    <x v="2"/>
  </r>
  <r>
    <x v="7"/>
    <x v="2"/>
    <x v="153"/>
    <x v="131"/>
    <x v="133"/>
    <x v="146"/>
    <x v="137"/>
    <x v="103"/>
    <x v="106"/>
    <x v="2"/>
  </r>
  <r>
    <x v="9"/>
    <x v="9"/>
    <x v="66"/>
    <x v="37"/>
    <x v="87"/>
    <x v="233"/>
    <x v="231"/>
    <x v="122"/>
    <x v="105"/>
    <x v="2"/>
  </r>
  <r>
    <x v="22"/>
    <x v="7"/>
    <x v="72"/>
    <x v="43"/>
    <x v="125"/>
    <x v="227"/>
    <x v="225"/>
    <x v="119"/>
    <x v="104"/>
    <x v="2"/>
  </r>
  <r>
    <x v="19"/>
    <x v="8"/>
    <x v="160"/>
    <x v="162"/>
    <x v="156"/>
    <x v="139"/>
    <x v="106"/>
    <x v="100"/>
    <x v="103"/>
    <x v="2"/>
  </r>
  <r>
    <x v="18"/>
    <x v="1"/>
    <x v="210"/>
    <x v="38"/>
    <x v="249"/>
    <x v="89"/>
    <x v="230"/>
    <x v="117"/>
    <x v="102"/>
    <x v="2"/>
  </r>
  <r>
    <x v="19"/>
    <x v="1"/>
    <x v="253"/>
    <x v="254"/>
    <x v="207"/>
    <x v="46"/>
    <x v="14"/>
    <x v="70"/>
    <x v="101"/>
    <x v="2"/>
  </r>
  <r>
    <x v="18"/>
    <x v="7"/>
    <x v="100"/>
    <x v="63"/>
    <x v="165"/>
    <x v="199"/>
    <x v="205"/>
    <x v="109"/>
    <x v="100"/>
    <x v="2"/>
  </r>
  <r>
    <x v="1"/>
    <x v="1"/>
    <x v="230"/>
    <x v="237"/>
    <x v="143"/>
    <x v="69"/>
    <x v="31"/>
    <x v="81"/>
    <x v="99"/>
    <x v="2"/>
  </r>
  <r>
    <x v="12"/>
    <x v="5"/>
    <x v="244"/>
    <x v="116"/>
    <x v="258"/>
    <x v="55"/>
    <x v="152"/>
    <x v="98"/>
    <x v="98"/>
    <x v="2"/>
  </r>
  <r>
    <x v="20"/>
    <x v="6"/>
    <x v="251"/>
    <x v="190"/>
    <x v="266"/>
    <x v="48"/>
    <x v="78"/>
    <x v="95"/>
    <x v="97"/>
    <x v="2"/>
  </r>
  <r>
    <x v="3"/>
    <x v="9"/>
    <x v="127"/>
    <x v="91"/>
    <x v="107"/>
    <x v="172"/>
    <x v="177"/>
    <x v="99"/>
    <x v="96"/>
    <x v="2"/>
  </r>
  <r>
    <x v="15"/>
    <x v="5"/>
    <x v="171"/>
    <x v="193"/>
    <x v="178"/>
    <x v="128"/>
    <x v="75"/>
    <x v="94"/>
    <x v="95"/>
    <x v="2"/>
  </r>
  <r>
    <x v="2"/>
    <x v="1"/>
    <x v="217"/>
    <x v="226"/>
    <x v="144"/>
    <x v="82"/>
    <x v="42"/>
    <x v="78"/>
    <x v="94"/>
    <x v="2"/>
  </r>
  <r>
    <x v="27"/>
    <x v="8"/>
    <x v="237"/>
    <x v="108"/>
    <x v="267"/>
    <x v="62"/>
    <x v="160"/>
    <x v="96"/>
    <x v="93"/>
    <x v="2"/>
  </r>
  <r>
    <x v="16"/>
    <x v="0"/>
    <x v="261"/>
    <x v="207"/>
    <x v="238"/>
    <x v="38"/>
    <x v="61"/>
    <x v="90"/>
    <x v="92"/>
    <x v="2"/>
  </r>
  <r>
    <x v="21"/>
    <x v="9"/>
    <x v="58"/>
    <x v="30"/>
    <x v="132"/>
    <x v="241"/>
    <x v="238"/>
    <x v="110"/>
    <x v="91"/>
    <x v="2"/>
  </r>
  <r>
    <x v="26"/>
    <x v="3"/>
    <x v="176"/>
    <x v="195"/>
    <x v="215"/>
    <x v="123"/>
    <x v="73"/>
    <x v="87"/>
    <x v="90"/>
    <x v="2"/>
  </r>
  <r>
    <x v="27"/>
    <x v="7"/>
    <x v="239"/>
    <x v="113"/>
    <x v="271"/>
    <x v="60"/>
    <x v="155"/>
    <x v="91"/>
    <x v="89"/>
    <x v="2"/>
  </r>
  <r>
    <x v="9"/>
    <x v="0"/>
    <x v="235"/>
    <x v="105"/>
    <x v="211"/>
    <x v="64"/>
    <x v="163"/>
    <x v="93"/>
    <x v="88"/>
    <x v="2"/>
  </r>
  <r>
    <x v="25"/>
    <x v="9"/>
    <x v="29"/>
    <x v="6"/>
    <x v="149"/>
    <x v="270"/>
    <x v="262"/>
    <x v="114"/>
    <x v="87"/>
    <x v="2"/>
  </r>
  <r>
    <x v="12"/>
    <x v="7"/>
    <x v="240"/>
    <x v="119"/>
    <x v="254"/>
    <x v="59"/>
    <x v="149"/>
    <x v="89"/>
    <x v="86"/>
    <x v="2"/>
  </r>
  <r>
    <x v="14"/>
    <x v="7"/>
    <x v="93"/>
    <x v="51"/>
    <x v="189"/>
    <x v="206"/>
    <x v="217"/>
    <x v="97"/>
    <x v="85"/>
    <x v="2"/>
  </r>
  <r>
    <x v="12"/>
    <x v="6"/>
    <x v="238"/>
    <x v="120"/>
    <x v="257"/>
    <x v="61"/>
    <x v="148"/>
    <x v="86"/>
    <x v="84"/>
    <x v="2"/>
  </r>
  <r>
    <x v="14"/>
    <x v="4"/>
    <x v="164"/>
    <x v="137"/>
    <x v="202"/>
    <x v="135"/>
    <x v="131"/>
    <x v="83"/>
    <x v="83"/>
    <x v="2"/>
  </r>
  <r>
    <x v="14"/>
    <x v="6"/>
    <x v="98"/>
    <x v="53"/>
    <x v="194"/>
    <x v="201"/>
    <x v="215"/>
    <x v="92"/>
    <x v="82"/>
    <x v="1"/>
  </r>
  <r>
    <x v="4"/>
    <x v="6"/>
    <x v="169"/>
    <x v="143"/>
    <x v="197"/>
    <x v="130"/>
    <x v="125"/>
    <x v="76"/>
    <x v="81"/>
    <x v="1"/>
  </r>
  <r>
    <x v="27"/>
    <x v="6"/>
    <x v="236"/>
    <x v="125"/>
    <x v="272"/>
    <x v="63"/>
    <x v="143"/>
    <x v="80"/>
    <x v="80"/>
    <x v="1"/>
  </r>
  <r>
    <x v="20"/>
    <x v="7"/>
    <x v="246"/>
    <x v="182"/>
    <x v="262"/>
    <x v="53"/>
    <x v="86"/>
    <x v="74"/>
    <x v="79"/>
    <x v="1"/>
  </r>
  <r>
    <x v="0"/>
    <x v="9"/>
    <x v="134"/>
    <x v="79"/>
    <x v="139"/>
    <x v="165"/>
    <x v="189"/>
    <x v="82"/>
    <x v="78"/>
    <x v="1"/>
  </r>
  <r>
    <x v="27"/>
    <x v="9"/>
    <x v="233"/>
    <x v="234"/>
    <x v="219"/>
    <x v="66"/>
    <x v="34"/>
    <x v="58"/>
    <x v="77"/>
    <x v="1"/>
  </r>
  <r>
    <x v="12"/>
    <x v="1"/>
    <x v="259"/>
    <x v="249"/>
    <x v="188"/>
    <x v="40"/>
    <x v="19"/>
    <x v="55"/>
    <x v="76"/>
    <x v="1"/>
  </r>
  <r>
    <x v="16"/>
    <x v="2"/>
    <x v="214"/>
    <x v="55"/>
    <x v="247"/>
    <x v="85"/>
    <x v="213"/>
    <x v="85"/>
    <x v="75"/>
    <x v="1"/>
  </r>
  <r>
    <x v="0"/>
    <x v="7"/>
    <x v="138"/>
    <x v="78"/>
    <x v="187"/>
    <x v="161"/>
    <x v="190"/>
    <x v="77"/>
    <x v="74"/>
    <x v="1"/>
  </r>
  <r>
    <x v="5"/>
    <x v="8"/>
    <x v="174"/>
    <x v="154"/>
    <x v="167"/>
    <x v="125"/>
    <x v="114"/>
    <x v="68"/>
    <x v="73"/>
    <x v="1"/>
  </r>
  <r>
    <x v="9"/>
    <x v="2"/>
    <x v="112"/>
    <x v="65"/>
    <x v="141"/>
    <x v="187"/>
    <x v="203"/>
    <x v="79"/>
    <x v="72"/>
    <x v="1"/>
  </r>
  <r>
    <x v="14"/>
    <x v="3"/>
    <x v="173"/>
    <x v="147"/>
    <x v="205"/>
    <x v="126"/>
    <x v="121"/>
    <x v="67"/>
    <x v="71"/>
    <x v="1"/>
  </r>
  <r>
    <x v="14"/>
    <x v="8"/>
    <x v="83"/>
    <x v="34"/>
    <x v="159"/>
    <x v="216"/>
    <x v="234"/>
    <x v="75"/>
    <x v="70"/>
    <x v="1"/>
  </r>
  <r>
    <x v="5"/>
    <x v="3"/>
    <x v="241"/>
    <x v="171"/>
    <x v="264"/>
    <x v="58"/>
    <x v="97"/>
    <x v="62"/>
    <x v="69"/>
    <x v="1"/>
  </r>
  <r>
    <x v="22"/>
    <x v="8"/>
    <x v="48"/>
    <x v="15"/>
    <x v="157"/>
    <x v="251"/>
    <x v="253"/>
    <x v="84"/>
    <x v="68"/>
    <x v="1"/>
  </r>
  <r>
    <x v="2"/>
    <x v="0"/>
    <x v="267"/>
    <x v="255"/>
    <x v="154"/>
    <x v="32"/>
    <x v="13"/>
    <x v="46"/>
    <x v="67"/>
    <x v="1"/>
  </r>
  <r>
    <x v="11"/>
    <x v="7"/>
    <x v="94"/>
    <x v="41"/>
    <x v="126"/>
    <x v="205"/>
    <x v="227"/>
    <x v="69"/>
    <x v="66"/>
    <x v="1"/>
  </r>
  <r>
    <x v="0"/>
    <x v="6"/>
    <x v="154"/>
    <x v="88"/>
    <x v="200"/>
    <x v="145"/>
    <x v="180"/>
    <x v="63"/>
    <x v="65"/>
    <x v="1"/>
  </r>
  <r>
    <x v="18"/>
    <x v="8"/>
    <x v="71"/>
    <x v="26"/>
    <x v="172"/>
    <x v="228"/>
    <x v="242"/>
    <x v="72"/>
    <x v="64"/>
    <x v="1"/>
  </r>
  <r>
    <x v="11"/>
    <x v="6"/>
    <x v="111"/>
    <x v="56"/>
    <x v="142"/>
    <x v="188"/>
    <x v="212"/>
    <x v="66"/>
    <x v="63"/>
    <x v="1"/>
  </r>
  <r>
    <x v="0"/>
    <x v="1"/>
    <x v="220"/>
    <x v="102"/>
    <x v="230"/>
    <x v="79"/>
    <x v="166"/>
    <x v="60"/>
    <x v="62"/>
    <x v="1"/>
  </r>
  <r>
    <x v="19"/>
    <x v="0"/>
    <x v="282"/>
    <x v="261"/>
    <x v="199"/>
    <x v="17"/>
    <x v="7"/>
    <x v="35"/>
    <x v="61"/>
    <x v="1"/>
  </r>
  <r>
    <x v="8"/>
    <x v="2"/>
    <x v="151"/>
    <x v="81"/>
    <x v="163"/>
    <x v="148"/>
    <x v="187"/>
    <x v="59"/>
    <x v="60"/>
    <x v="1"/>
  </r>
  <r>
    <x v="11"/>
    <x v="9"/>
    <x v="46"/>
    <x v="10"/>
    <x v="92"/>
    <x v="253"/>
    <x v="258"/>
    <x v="73"/>
    <x v="59"/>
    <x v="1"/>
  </r>
  <r>
    <x v="28"/>
    <x v="4"/>
    <x v="47"/>
    <x v="11"/>
    <x v="195"/>
    <x v="252"/>
    <x v="257"/>
    <x v="71"/>
    <x v="58"/>
    <x v="1"/>
  </r>
  <r>
    <x v="15"/>
    <x v="3"/>
    <x v="191"/>
    <x v="192"/>
    <x v="210"/>
    <x v="108"/>
    <x v="76"/>
    <x v="54"/>
    <x v="57"/>
    <x v="1"/>
  </r>
  <r>
    <x v="26"/>
    <x v="2"/>
    <x v="192"/>
    <x v="200"/>
    <x v="213"/>
    <x v="107"/>
    <x v="68"/>
    <x v="52"/>
    <x v="56"/>
    <x v="1"/>
  </r>
  <r>
    <x v="3"/>
    <x v="5"/>
    <x v="193"/>
    <x v="201"/>
    <x v="181"/>
    <x v="106"/>
    <x v="67"/>
    <x v="51"/>
    <x v="55"/>
    <x v="1"/>
  </r>
  <r>
    <x v="16"/>
    <x v="9"/>
    <x v="59"/>
    <x v="18"/>
    <x v="104"/>
    <x v="240"/>
    <x v="250"/>
    <x v="65"/>
    <x v="54"/>
    <x v="1"/>
  </r>
  <r>
    <x v="12"/>
    <x v="8"/>
    <x v="227"/>
    <x v="118"/>
    <x v="243"/>
    <x v="72"/>
    <x v="150"/>
    <x v="53"/>
    <x v="53"/>
    <x v="1"/>
  </r>
  <r>
    <x v="15"/>
    <x v="2"/>
    <x v="157"/>
    <x v="87"/>
    <x v="180"/>
    <x v="142"/>
    <x v="181"/>
    <x v="56"/>
    <x v="52"/>
    <x v="1"/>
  </r>
  <r>
    <x v="10"/>
    <x v="8"/>
    <x v="84"/>
    <x v="29"/>
    <x v="168"/>
    <x v="215"/>
    <x v="239"/>
    <x v="61"/>
    <x v="51"/>
    <x v="1"/>
  </r>
  <r>
    <x v="28"/>
    <x v="6"/>
    <x v="39"/>
    <x v="5"/>
    <x v="175"/>
    <x v="260"/>
    <x v="263"/>
    <x v="64"/>
    <x v="50"/>
    <x v="1"/>
  </r>
  <r>
    <x v="7"/>
    <x v="1"/>
    <x v="183"/>
    <x v="137"/>
    <x v="151"/>
    <x v="116"/>
    <x v="131"/>
    <x v="45"/>
    <x v="49"/>
    <x v="1"/>
  </r>
  <r>
    <x v="16"/>
    <x v="7"/>
    <x v="76"/>
    <x v="23"/>
    <x v="164"/>
    <x v="223"/>
    <x v="245"/>
    <x v="57"/>
    <x v="48"/>
    <x v="1"/>
  </r>
  <r>
    <x v="0"/>
    <x v="8"/>
    <x v="156"/>
    <x v="76"/>
    <x v="191"/>
    <x v="143"/>
    <x v="192"/>
    <x v="49"/>
    <x v="47"/>
    <x v="1"/>
  </r>
  <r>
    <x v="3"/>
    <x v="6"/>
    <x v="149"/>
    <x v="70"/>
    <x v="166"/>
    <x v="150"/>
    <x v="198"/>
    <x v="50"/>
    <x v="46"/>
    <x v="1"/>
  </r>
  <r>
    <x v="4"/>
    <x v="9"/>
    <x v="144"/>
    <x v="67"/>
    <x v="162"/>
    <x v="155"/>
    <x v="201"/>
    <x v="48"/>
    <x v="45"/>
    <x v="1"/>
  </r>
  <r>
    <x v="5"/>
    <x v="2"/>
    <x v="249"/>
    <x v="214"/>
    <x v="252"/>
    <x v="50"/>
    <x v="54"/>
    <x v="34"/>
    <x v="44"/>
    <x v="1"/>
  </r>
  <r>
    <x v="12"/>
    <x v="9"/>
    <x v="219"/>
    <x v="117"/>
    <x v="235"/>
    <x v="80"/>
    <x v="151"/>
    <x v="41"/>
    <x v="43"/>
    <x v="1"/>
  </r>
  <r>
    <x v="24"/>
    <x v="1"/>
    <x v="163"/>
    <x v="92"/>
    <x v="170"/>
    <x v="136"/>
    <x v="176"/>
    <x v="42"/>
    <x v="42"/>
    <x v="1"/>
  </r>
  <r>
    <x v="8"/>
    <x v="1"/>
    <x v="180"/>
    <x v="45"/>
    <x v="208"/>
    <x v="119"/>
    <x v="223"/>
    <x v="47"/>
    <x v="41"/>
    <x v="1"/>
  </r>
  <r>
    <x v="16"/>
    <x v="3"/>
    <x v="205"/>
    <x v="205"/>
    <x v="218"/>
    <x v="94"/>
    <x v="63"/>
    <x v="33"/>
    <x v="40"/>
    <x v="1"/>
  </r>
  <r>
    <x v="24"/>
    <x v="0"/>
    <x v="221"/>
    <x v="220"/>
    <x v="169"/>
    <x v="78"/>
    <x v="48"/>
    <x v="29"/>
    <x v="39"/>
    <x v="1"/>
  </r>
  <r>
    <x v="23"/>
    <x v="0"/>
    <x v="232"/>
    <x v="179"/>
    <x v="209"/>
    <x v="67"/>
    <x v="89"/>
    <x v="30"/>
    <x v="38"/>
    <x v="1"/>
  </r>
  <r>
    <x v="14"/>
    <x v="1"/>
    <x v="215"/>
    <x v="85"/>
    <x v="221"/>
    <x v="84"/>
    <x v="183"/>
    <x v="37"/>
    <x v="37"/>
    <x v="1"/>
  </r>
  <r>
    <x v="16"/>
    <x v="6"/>
    <x v="155"/>
    <x v="25"/>
    <x v="245"/>
    <x v="144"/>
    <x v="243"/>
    <x v="43"/>
    <x v="36"/>
    <x v="1"/>
  </r>
  <r>
    <x v="15"/>
    <x v="7"/>
    <x v="107"/>
    <x v="42"/>
    <x v="196"/>
    <x v="192"/>
    <x v="226"/>
    <x v="40"/>
    <x v="35"/>
    <x v="1"/>
  </r>
  <r>
    <x v="14"/>
    <x v="2"/>
    <x v="145"/>
    <x v="62"/>
    <x v="198"/>
    <x v="154"/>
    <x v="206"/>
    <x v="36"/>
    <x v="34"/>
    <x v="1"/>
  </r>
  <r>
    <x v="15"/>
    <x v="8"/>
    <x v="113"/>
    <x v="44"/>
    <x v="190"/>
    <x v="186"/>
    <x v="224"/>
    <x v="38"/>
    <x v="33"/>
    <x v="1"/>
  </r>
  <r>
    <x v="10"/>
    <x v="9"/>
    <x v="56"/>
    <x v="9"/>
    <x v="158"/>
    <x v="243"/>
    <x v="259"/>
    <x v="44"/>
    <x v="32"/>
    <x v="0"/>
  </r>
  <r>
    <x v="14"/>
    <x v="9"/>
    <x v="118"/>
    <x v="14"/>
    <x v="216"/>
    <x v="181"/>
    <x v="254"/>
    <x v="39"/>
    <x v="31"/>
    <x v="0"/>
  </r>
  <r>
    <x v="9"/>
    <x v="1"/>
    <x v="167"/>
    <x v="36"/>
    <x v="203"/>
    <x v="132"/>
    <x v="232"/>
    <x v="31"/>
    <x v="30"/>
    <x v="0"/>
  </r>
  <r>
    <x v="17"/>
    <x v="2"/>
    <x v="158"/>
    <x v="28"/>
    <x v="236"/>
    <x v="141"/>
    <x v="240"/>
    <x v="32"/>
    <x v="29"/>
    <x v="0"/>
  </r>
  <r>
    <x v="16"/>
    <x v="1"/>
    <x v="212"/>
    <x v="82"/>
    <x v="223"/>
    <x v="87"/>
    <x v="186"/>
    <x v="28"/>
    <x v="28"/>
    <x v="0"/>
  </r>
  <r>
    <x v="5"/>
    <x v="0"/>
    <x v="291"/>
    <x v="262"/>
    <x v="220"/>
    <x v="8"/>
    <x v="6"/>
    <x v="19"/>
    <x v="27"/>
    <x v="0"/>
  </r>
  <r>
    <x v="2"/>
    <x v="7"/>
    <x v="129"/>
    <x v="49"/>
    <x v="204"/>
    <x v="170"/>
    <x v="219"/>
    <x v="26"/>
    <x v="26"/>
    <x v="0"/>
  </r>
  <r>
    <x v="5"/>
    <x v="4"/>
    <x v="225"/>
    <x v="168"/>
    <x v="255"/>
    <x v="74"/>
    <x v="100"/>
    <x v="24"/>
    <x v="25"/>
    <x v="0"/>
  </r>
  <r>
    <x v="17"/>
    <x v="9"/>
    <x v="91"/>
    <x v="24"/>
    <x v="176"/>
    <x v="208"/>
    <x v="244"/>
    <x v="27"/>
    <x v="24"/>
    <x v="0"/>
  </r>
  <r>
    <x v="2"/>
    <x v="6"/>
    <x v="143"/>
    <x v="54"/>
    <x v="201"/>
    <x v="156"/>
    <x v="214"/>
    <x v="25"/>
    <x v="23"/>
    <x v="0"/>
  </r>
  <r>
    <x v="5"/>
    <x v="7"/>
    <x v="196"/>
    <x v="153"/>
    <x v="231"/>
    <x v="103"/>
    <x v="115"/>
    <x v="21"/>
    <x v="22"/>
    <x v="0"/>
  </r>
  <r>
    <x v="15"/>
    <x v="1"/>
    <x v="181"/>
    <x v="106"/>
    <x v="174"/>
    <x v="118"/>
    <x v="162"/>
    <x v="23"/>
    <x v="21"/>
    <x v="0"/>
  </r>
  <r>
    <x v="4"/>
    <x v="4"/>
    <x v="200"/>
    <x v="152"/>
    <x v="226"/>
    <x v="99"/>
    <x v="116"/>
    <x v="20"/>
    <x v="20"/>
    <x v="0"/>
  </r>
  <r>
    <x v="18"/>
    <x v="9"/>
    <x v="82"/>
    <x v="16"/>
    <x v="171"/>
    <x v="217"/>
    <x v="252"/>
    <x v="22"/>
    <x v="19"/>
    <x v="0"/>
  </r>
  <r>
    <x v="4"/>
    <x v="5"/>
    <x v="199"/>
    <x v="146"/>
    <x v="222"/>
    <x v="100"/>
    <x v="122"/>
    <x v="18"/>
    <x v="18"/>
    <x v="0"/>
  </r>
  <r>
    <x v="16"/>
    <x v="4"/>
    <x v="178"/>
    <x v="97"/>
    <x v="229"/>
    <x v="121"/>
    <x v="171"/>
    <x v="17"/>
    <x v="17"/>
    <x v="0"/>
  </r>
  <r>
    <x v="20"/>
    <x v="8"/>
    <x v="218"/>
    <x v="160"/>
    <x v="241"/>
    <x v="81"/>
    <x v="108"/>
    <x v="16"/>
    <x v="16"/>
    <x v="0"/>
  </r>
  <r>
    <x v="2"/>
    <x v="4"/>
    <x v="190"/>
    <x v="69"/>
    <x v="242"/>
    <x v="109"/>
    <x v="199"/>
    <x v="15"/>
    <x v="15"/>
    <x v="0"/>
  </r>
  <r>
    <x v="16"/>
    <x v="5"/>
    <x v="186"/>
    <x v="99"/>
    <x v="232"/>
    <x v="113"/>
    <x v="169"/>
    <x v="14"/>
    <x v="14"/>
    <x v="0"/>
  </r>
  <r>
    <x v="0"/>
    <x v="4"/>
    <x v="189"/>
    <x v="103"/>
    <x v="237"/>
    <x v="110"/>
    <x v="165"/>
    <x v="13"/>
    <x v="13"/>
    <x v="0"/>
  </r>
  <r>
    <x v="5"/>
    <x v="6"/>
    <x v="213"/>
    <x v="157"/>
    <x v="244"/>
    <x v="86"/>
    <x v="111"/>
    <x v="11"/>
    <x v="12"/>
    <x v="0"/>
  </r>
  <r>
    <x v="15"/>
    <x v="6"/>
    <x v="147"/>
    <x v="46"/>
    <x v="217"/>
    <x v="152"/>
    <x v="222"/>
    <x v="12"/>
    <x v="11"/>
    <x v="0"/>
  </r>
  <r>
    <x v="2"/>
    <x v="5"/>
    <x v="165"/>
    <x v="66"/>
    <x v="225"/>
    <x v="134"/>
    <x v="202"/>
    <x v="10"/>
    <x v="10"/>
    <x v="0"/>
  </r>
  <r>
    <x v="18"/>
    <x v="2"/>
    <x v="150"/>
    <x v="48"/>
    <x v="224"/>
    <x v="149"/>
    <x v="220"/>
    <x v="9"/>
    <x v="9"/>
    <x v="0"/>
  </r>
  <r>
    <x v="0"/>
    <x v="3"/>
    <x v="202"/>
    <x v="101"/>
    <x v="239"/>
    <x v="97"/>
    <x v="167"/>
    <x v="7"/>
    <x v="8"/>
    <x v="0"/>
  </r>
  <r>
    <x v="0"/>
    <x v="2"/>
    <x v="201"/>
    <x v="101"/>
    <x v="214"/>
    <x v="98"/>
    <x v="167"/>
    <x v="6"/>
    <x v="7"/>
    <x v="0"/>
  </r>
  <r>
    <x v="5"/>
    <x v="5"/>
    <x v="216"/>
    <x v="157"/>
    <x v="246"/>
    <x v="83"/>
    <x v="111"/>
    <x v="5"/>
    <x v="6"/>
    <x v="0"/>
  </r>
  <r>
    <x v="28"/>
    <x v="5"/>
    <x v="53"/>
    <x v="4"/>
    <x v="234"/>
    <x v="246"/>
    <x v="264"/>
    <x v="8"/>
    <x v="5"/>
    <x v="0"/>
  </r>
  <r>
    <x v="15"/>
    <x v="0"/>
    <x v="243"/>
    <x v="218"/>
    <x v="193"/>
    <x v="56"/>
    <x v="50"/>
    <x v="4"/>
    <x v="4"/>
    <x v="0"/>
  </r>
  <r>
    <x v="28"/>
    <x v="7"/>
    <x v="36"/>
    <x v="1"/>
    <x v="206"/>
    <x v="263"/>
    <x v="267"/>
    <x v="3"/>
    <x v="3"/>
    <x v="0"/>
  </r>
  <r>
    <x v="2"/>
    <x v="3"/>
    <x v="184"/>
    <x v="74"/>
    <x v="227"/>
    <x v="115"/>
    <x v="194"/>
    <x v="2"/>
    <x v="2"/>
    <x v="0"/>
  </r>
  <r>
    <x v="0"/>
    <x v="5"/>
    <x v="194"/>
    <x v="98"/>
    <x v="240"/>
    <x v="105"/>
    <x v="170"/>
    <x v="0"/>
    <x v="1"/>
    <x v="0"/>
  </r>
  <r>
    <x v="15"/>
    <x v="9"/>
    <x v="1"/>
    <x v="0"/>
    <x v="212"/>
    <x v="298"/>
    <x v="268"/>
    <x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300" applyNumberFormats="0" applyBorderFormats="0" applyFontFormats="0" applyPatternFormats="0" applyAlignmentFormats="0" applyWidthHeightFormats="0" dataCaption="Values" itemPrintTitles="1" indent="0" compact="0" outline="1" outlineData="1" compactData="0">
  <location ref="A3:C12" firstHeaderRow="1" firstDataRow="2" firstDataCol="1"/>
  <pivotFields count="10">
    <pivotField compact="0" showAll="0"/>
    <pivotField showAll="0"/>
    <pivotField compact="0" showAll="0"/>
    <pivotField compact="0" showAll="0"/>
    <pivotField compact="0" showAll="0"/>
    <pivotField showAll="0"/>
    <pivotField showAll="0"/>
    <pivotField showAll="0"/>
    <pivotField dataField="1"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9"/>
  </rowFields>
  <colFields count="1">
    <field x="-2"/>
  </colFields>
  <dataFields count="2">
    <dataField name="Freq Ranges" fld="8" subtotal="count" baseField="0" baseItem="0"/>
    <dataField name="Expressed as a %" fld="8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1000000}" name="PivotTable3" cacheId="301" applyNumberFormats="0" applyBorderFormats="0" applyFontFormats="0" applyPatternFormats="0" applyAlignmentFormats="0" applyWidthHeightFormats="0" dataCaption="Values" itemPrintTitles="1" indent="0" compact="0" outline="1" outlineData="1" compactData="0">
  <location ref="A3:C12" firstHeaderRow="1" firstDataRow="2" firstDataCol="1"/>
  <pivotFields count="10">
    <pivotField compact="0" showAll="0"/>
    <pivotField showAll="0"/>
    <pivotField compact="0" showAll="0"/>
    <pivotField compact="0" showAll="0"/>
    <pivotField compact="0" showAll="0"/>
    <pivotField showAll="0"/>
    <pivotField showAll="0"/>
    <pivotField showAll="0"/>
    <pivotField dataField="1"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9"/>
  </rowFields>
  <colFields count="1">
    <field x="-2"/>
  </colFields>
  <dataFields count="2">
    <dataField name="Freq ranges" fld="8" subtotal="count" baseField="0" baseItem="0"/>
    <dataField name="Expressed as a %" fld="8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21"/>
  <sheetViews>
    <sheetView zoomScaleNormal="100" workbookViewId="0">
      <selection activeCell="C26" sqref="C26"/>
    </sheetView>
  </sheetViews>
  <sheetFormatPr defaultColWidth="9.140625" defaultRowHeight="12.95"/>
  <cols>
    <col min="1" max="1" width="16.140625" style="1" customWidth="1"/>
    <col min="2" max="2" width="9.140625" style="2"/>
    <col min="3" max="3" width="19" style="2" customWidth="1"/>
    <col min="4" max="4" width="20.28515625" style="2" customWidth="1"/>
    <col min="5" max="5" width="23.85546875" style="2" customWidth="1"/>
    <col min="6" max="9" width="11.5703125" style="2" customWidth="1"/>
    <col min="10" max="10" width="15.28515625" style="2" customWidth="1"/>
    <col min="11" max="11" width="21.42578125" style="2" customWidth="1"/>
    <col min="12" max="20" width="9.140625" style="2"/>
    <col min="21" max="23" width="11.7109375" style="2" customWidth="1"/>
    <col min="24" max="16384" width="9.140625" style="2"/>
  </cols>
  <sheetData>
    <row r="1" spans="1:23" ht="66" customHeight="1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R1" s="6"/>
      <c r="S1" s="6"/>
      <c r="T1" s="6"/>
      <c r="U1" s="5"/>
      <c r="V1" s="5"/>
      <c r="W1" s="5"/>
    </row>
    <row r="2" spans="1:23" ht="12.75" customHeight="1">
      <c r="A2" s="1">
        <v>46174</v>
      </c>
      <c r="B2" s="2">
        <v>1</v>
      </c>
      <c r="C2" s="7">
        <v>-3.18036571985935</v>
      </c>
      <c r="D2" s="7">
        <v>-3.5960260000000002</v>
      </c>
      <c r="E2" s="7">
        <v>0.41571462814064603</v>
      </c>
      <c r="F2" s="7">
        <f>ABS(C2)</f>
        <v>3.18036571985935</v>
      </c>
      <c r="G2" s="7">
        <f>ABS(D2)</f>
        <v>3.5960260000000002</v>
      </c>
      <c r="H2" s="7">
        <f>ABS(G2-F2)</f>
        <v>0.41566028014065015</v>
      </c>
      <c r="I2" s="8">
        <f t="shared" ref="I2:I65" si="0">H2/G2</f>
        <v>0.11558878610461941</v>
      </c>
      <c r="J2" s="9">
        <v>69.930000000000007</v>
      </c>
      <c r="K2" s="9">
        <v>29.0709239458754</v>
      </c>
      <c r="U2" s="9"/>
      <c r="V2" s="9"/>
      <c r="W2" s="9"/>
    </row>
    <row r="3" spans="1:23" ht="12.75" customHeight="1">
      <c r="A3" s="1">
        <v>46174</v>
      </c>
      <c r="B3" s="2">
        <v>2</v>
      </c>
      <c r="C3" s="7">
        <v>-3.1433777972797299</v>
      </c>
      <c r="D3" s="7">
        <v>-3.5300319999999998</v>
      </c>
      <c r="E3" s="7">
        <v>0.38671243272026701</v>
      </c>
      <c r="F3" s="7">
        <f t="shared" ref="F2:F65" si="1">ABS(C3)</f>
        <v>3.1433777972797299</v>
      </c>
      <c r="G3" s="7">
        <f t="shared" ref="G3:G65" si="2">ABS(D3)</f>
        <v>3.5300319999999998</v>
      </c>
      <c r="H3" s="7">
        <f t="shared" ref="H2:H65" si="3">ABS(G3-F3)</f>
        <v>0.38665420272026996</v>
      </c>
      <c r="I3" s="8">
        <f t="shared" si="0"/>
        <v>0.10953277554432084</v>
      </c>
      <c r="J3" s="9">
        <v>77.790000000000006</v>
      </c>
      <c r="K3" s="9">
        <v>30.082360141309501</v>
      </c>
      <c r="U3" s="9"/>
      <c r="V3" s="9"/>
      <c r="W3" s="9"/>
    </row>
    <row r="4" spans="1:23" ht="12.75" customHeight="1">
      <c r="A4" s="1">
        <v>46174</v>
      </c>
      <c r="B4" s="2">
        <v>3</v>
      </c>
      <c r="C4" s="7">
        <v>-3.0550346598231402</v>
      </c>
      <c r="D4" s="7">
        <v>-3.4989759999999999</v>
      </c>
      <c r="E4" s="7">
        <v>0.443984042176859</v>
      </c>
      <c r="F4" s="7">
        <f t="shared" si="1"/>
        <v>3.0550346598231402</v>
      </c>
      <c r="G4" s="7">
        <f t="shared" si="2"/>
        <v>3.4989759999999999</v>
      </c>
      <c r="H4" s="7">
        <f t="shared" si="3"/>
        <v>0.44394134017685971</v>
      </c>
      <c r="I4" s="8">
        <f t="shared" si="0"/>
        <v>0.12687750364016778</v>
      </c>
      <c r="J4" s="9">
        <v>75</v>
      </c>
      <c r="K4" s="9">
        <v>33.298803163264402</v>
      </c>
      <c r="U4" s="9"/>
      <c r="V4" s="9"/>
      <c r="W4" s="9"/>
    </row>
    <row r="5" spans="1:23" ht="12.75" customHeight="1">
      <c r="A5" s="1">
        <v>46174</v>
      </c>
      <c r="B5" s="2">
        <v>4</v>
      </c>
      <c r="C5" s="7">
        <v>-3.0401904698954199</v>
      </c>
      <c r="D5" s="7">
        <v>-3.4886240000000002</v>
      </c>
      <c r="E5" s="7">
        <v>0.44848787810458401</v>
      </c>
      <c r="F5" s="7">
        <f t="shared" si="1"/>
        <v>3.0401904698954199</v>
      </c>
      <c r="G5" s="7">
        <f t="shared" si="2"/>
        <v>3.4886240000000002</v>
      </c>
      <c r="H5" s="7">
        <f t="shared" si="3"/>
        <v>0.44843353010458031</v>
      </c>
      <c r="I5" s="8">
        <f t="shared" si="0"/>
        <v>0.12854166287469795</v>
      </c>
      <c r="J5" s="9">
        <v>72.66</v>
      </c>
      <c r="K5" s="9">
        <v>32.587129223079103</v>
      </c>
      <c r="U5" s="9"/>
      <c r="V5" s="9"/>
      <c r="W5" s="9"/>
    </row>
    <row r="6" spans="1:23" ht="12.75" customHeight="1">
      <c r="A6" s="1">
        <v>46174</v>
      </c>
      <c r="B6" s="2">
        <v>5</v>
      </c>
      <c r="C6" s="7">
        <v>-3.0407782271524399</v>
      </c>
      <c r="D6" s="7">
        <v>-3.4769779999999999</v>
      </c>
      <c r="E6" s="7">
        <v>0.43639387284755699</v>
      </c>
      <c r="F6" s="7">
        <f t="shared" si="1"/>
        <v>3.0407782271524399</v>
      </c>
      <c r="G6" s="7">
        <f t="shared" si="2"/>
        <v>3.4769779999999999</v>
      </c>
      <c r="H6" s="7">
        <f t="shared" si="3"/>
        <v>0.43619977284755995</v>
      </c>
      <c r="I6" s="8">
        <f t="shared" si="0"/>
        <v>0.12545370515647783</v>
      </c>
      <c r="J6" s="9">
        <v>74.790000000000006</v>
      </c>
      <c r="K6" s="9">
        <v>32.637897750268799</v>
      </c>
      <c r="U6" s="9"/>
      <c r="V6" s="9"/>
      <c r="W6" s="9"/>
    </row>
    <row r="7" spans="1:23" ht="12.75" customHeight="1">
      <c r="A7" s="1">
        <v>46174</v>
      </c>
      <c r="B7" s="2">
        <v>6</v>
      </c>
      <c r="C7" s="7">
        <v>-2.76000375604215</v>
      </c>
      <c r="D7" s="7">
        <v>-3.3605179999999999</v>
      </c>
      <c r="E7" s="7">
        <v>0.62255636935785297</v>
      </c>
      <c r="F7" s="7">
        <f t="shared" si="1"/>
        <v>2.76000375604215</v>
      </c>
      <c r="G7" s="7">
        <f t="shared" si="2"/>
        <v>3.3605179999999999</v>
      </c>
      <c r="H7" s="7">
        <f t="shared" si="3"/>
        <v>0.60051424395784991</v>
      </c>
      <c r="I7" s="8">
        <f t="shared" si="0"/>
        <v>0.17869692825863451</v>
      </c>
      <c r="J7" s="9">
        <v>74.66</v>
      </c>
      <c r="K7" s="9">
        <v>46.480058536257303</v>
      </c>
      <c r="U7" s="9"/>
      <c r="V7" s="9"/>
      <c r="W7" s="9"/>
    </row>
    <row r="8" spans="1:23" ht="12.75" customHeight="1">
      <c r="A8" s="1">
        <v>46174</v>
      </c>
      <c r="B8" s="2">
        <v>7</v>
      </c>
      <c r="C8" s="7">
        <v>-2.5943474869464498</v>
      </c>
      <c r="D8" s="7">
        <v>-3.090719</v>
      </c>
      <c r="E8" s="7">
        <v>0.65118826105354799</v>
      </c>
      <c r="F8" s="7">
        <f t="shared" si="1"/>
        <v>2.5943474869464498</v>
      </c>
      <c r="G8" s="7">
        <f t="shared" si="2"/>
        <v>3.090719</v>
      </c>
      <c r="H8" s="7">
        <f t="shared" si="3"/>
        <v>0.49637151305355021</v>
      </c>
      <c r="I8" s="8">
        <f t="shared" si="0"/>
        <v>0.16060066057559752</v>
      </c>
      <c r="J8" s="9">
        <v>77.95</v>
      </c>
      <c r="K8" s="9">
        <v>50.760124949124098</v>
      </c>
      <c r="U8" s="9"/>
      <c r="V8" s="9"/>
      <c r="W8" s="9"/>
    </row>
    <row r="9" spans="1:23" ht="12.75" customHeight="1">
      <c r="A9" s="1">
        <v>46174</v>
      </c>
      <c r="B9" s="2">
        <v>8</v>
      </c>
      <c r="C9" s="7">
        <v>-2.71144214895532</v>
      </c>
      <c r="D9" s="7">
        <v>-3.158007</v>
      </c>
      <c r="E9" s="7">
        <v>0.75466689804468301</v>
      </c>
      <c r="F9" s="7">
        <f t="shared" si="1"/>
        <v>2.71144214895532</v>
      </c>
      <c r="G9" s="7">
        <f t="shared" si="2"/>
        <v>3.158007</v>
      </c>
      <c r="H9" s="7">
        <f t="shared" si="3"/>
        <v>0.44656485104468002</v>
      </c>
      <c r="I9" s="8">
        <f t="shared" si="0"/>
        <v>0.14140717580571543</v>
      </c>
      <c r="J9" s="9">
        <v>56.43</v>
      </c>
      <c r="K9" s="9">
        <v>42.585853056661499</v>
      </c>
      <c r="U9" s="9"/>
      <c r="V9" s="9"/>
      <c r="W9" s="9"/>
    </row>
    <row r="10" spans="1:23" ht="12.75" customHeight="1">
      <c r="A10" s="1">
        <v>46174</v>
      </c>
      <c r="B10" s="2">
        <v>9</v>
      </c>
      <c r="C10" s="7">
        <v>-3.4457489408575901</v>
      </c>
      <c r="D10" s="7">
        <v>-3.7364250000000001</v>
      </c>
      <c r="E10" s="7">
        <v>0.71978004614240998</v>
      </c>
      <c r="F10" s="7">
        <f t="shared" si="1"/>
        <v>3.4457489408575901</v>
      </c>
      <c r="G10" s="7">
        <f t="shared" si="2"/>
        <v>3.7364250000000001</v>
      </c>
      <c r="H10" s="7">
        <f t="shared" si="3"/>
        <v>0.29067605914241001</v>
      </c>
      <c r="I10" s="8">
        <f t="shared" si="0"/>
        <v>7.7795234520272719E-2</v>
      </c>
      <c r="J10" s="9">
        <v>15.34</v>
      </c>
      <c r="K10" s="9">
        <v>11.0414259078246</v>
      </c>
      <c r="U10" s="9"/>
      <c r="V10" s="9"/>
      <c r="W10" s="9"/>
    </row>
    <row r="11" spans="1:23" ht="12.75" customHeight="1">
      <c r="A11" s="1">
        <v>46174</v>
      </c>
      <c r="B11" s="2">
        <v>10</v>
      </c>
      <c r="C11" s="7">
        <v>-3.7073316642751899</v>
      </c>
      <c r="D11" s="7">
        <v>-3.7416010000000002</v>
      </c>
      <c r="E11" s="7">
        <v>0.59129751572480704</v>
      </c>
      <c r="F11" s="7">
        <f t="shared" si="1"/>
        <v>3.7073316642751899</v>
      </c>
      <c r="G11" s="7">
        <f t="shared" si="2"/>
        <v>3.7416010000000002</v>
      </c>
      <c r="H11" s="7">
        <f t="shared" si="3"/>
        <v>3.4269335724810279E-2</v>
      </c>
      <c r="I11" s="8">
        <f t="shared" si="0"/>
        <v>9.1590032514985639E-3</v>
      </c>
      <c r="J11" s="9">
        <v>12.15</v>
      </c>
      <c r="K11" s="9">
        <v>7.1842648160564098</v>
      </c>
      <c r="U11" s="9"/>
      <c r="V11" s="9"/>
      <c r="W11" s="9"/>
    </row>
    <row r="12" spans="1:23" ht="12.75" customHeight="1">
      <c r="A12" s="1">
        <v>46174</v>
      </c>
      <c r="B12" s="2">
        <v>11</v>
      </c>
      <c r="C12" s="7">
        <v>-3.7071184461106199</v>
      </c>
      <c r="D12" s="7">
        <v>-3.7416010000000002</v>
      </c>
      <c r="E12" s="7">
        <v>0.78100344688937895</v>
      </c>
      <c r="F12" s="7">
        <f t="shared" si="1"/>
        <v>3.7071184461106199</v>
      </c>
      <c r="G12" s="7">
        <f t="shared" si="2"/>
        <v>3.7416010000000002</v>
      </c>
      <c r="H12" s="7">
        <f t="shared" si="3"/>
        <v>3.4482553889380263E-2</v>
      </c>
      <c r="I12" s="8">
        <f t="shared" si="0"/>
        <v>9.2159890617359418E-3</v>
      </c>
      <c r="J12" s="9">
        <v>13.51</v>
      </c>
      <c r="K12" s="9">
        <v>10.5513565674755</v>
      </c>
      <c r="U12" s="9"/>
      <c r="V12" s="9"/>
      <c r="W12" s="9"/>
    </row>
    <row r="13" spans="1:23" ht="12.75" customHeight="1">
      <c r="A13" s="1">
        <v>46174</v>
      </c>
      <c r="B13" s="2">
        <v>12</v>
      </c>
      <c r="C13" s="7">
        <v>-3.7928034963441899</v>
      </c>
      <c r="D13" s="7">
        <v>-3.7344840000000001</v>
      </c>
      <c r="E13" s="7">
        <v>0.76728614765580705</v>
      </c>
      <c r="F13" s="7">
        <f t="shared" si="1"/>
        <v>3.7928034963441899</v>
      </c>
      <c r="G13" s="7">
        <f t="shared" si="2"/>
        <v>3.7344840000000001</v>
      </c>
      <c r="H13" s="7">
        <f t="shared" si="3"/>
        <v>5.8319496344189758E-2</v>
      </c>
      <c r="I13" s="8">
        <f t="shared" si="0"/>
        <v>1.5616480441257683E-2</v>
      </c>
      <c r="J13" s="9">
        <v>13.62</v>
      </c>
      <c r="K13" s="9">
        <v>10.4504373310721</v>
      </c>
      <c r="U13" s="9"/>
      <c r="V13" s="9"/>
      <c r="W13" s="9"/>
    </row>
    <row r="14" spans="1:23" ht="12.75" customHeight="1">
      <c r="A14" s="1">
        <v>46174</v>
      </c>
      <c r="B14" s="2">
        <v>13</v>
      </c>
      <c r="C14" s="7">
        <v>-3.7406568283180599</v>
      </c>
      <c r="D14" s="7">
        <v>-3.7474240000000001</v>
      </c>
      <c r="E14" s="7">
        <v>0.81694704168193999</v>
      </c>
      <c r="F14" s="7">
        <f t="shared" si="1"/>
        <v>3.7406568283180599</v>
      </c>
      <c r="G14" s="7">
        <f t="shared" si="2"/>
        <v>3.7474240000000001</v>
      </c>
      <c r="H14" s="7">
        <f t="shared" si="3"/>
        <v>6.7671716819401873E-3</v>
      </c>
      <c r="I14" s="8">
        <f t="shared" si="0"/>
        <v>1.8058195928563694E-3</v>
      </c>
      <c r="J14" s="9">
        <v>13.62</v>
      </c>
      <c r="K14" s="9">
        <v>11.126818707708001</v>
      </c>
      <c r="U14" s="9"/>
      <c r="V14" s="9"/>
      <c r="W14" s="9"/>
    </row>
    <row r="15" spans="1:23" ht="12.75" customHeight="1">
      <c r="A15" s="1">
        <v>46174</v>
      </c>
      <c r="B15" s="2">
        <v>14</v>
      </c>
      <c r="C15" s="7">
        <v>-4.0796579487041003</v>
      </c>
      <c r="D15" s="7">
        <v>-3.7778330000000002</v>
      </c>
      <c r="E15" s="7">
        <v>0.46652766529589701</v>
      </c>
      <c r="F15" s="7">
        <f t="shared" si="1"/>
        <v>4.0796579487041003</v>
      </c>
      <c r="G15" s="7">
        <f t="shared" si="2"/>
        <v>3.7778330000000002</v>
      </c>
      <c r="H15" s="7">
        <f t="shared" si="3"/>
        <v>0.30182494870410004</v>
      </c>
      <c r="I15" s="8">
        <f t="shared" si="0"/>
        <v>7.98936715053577E-2</v>
      </c>
      <c r="J15" s="9">
        <v>4.5999999999999996</v>
      </c>
      <c r="K15" s="9">
        <v>2.1460272603611199</v>
      </c>
      <c r="U15" s="9"/>
      <c r="V15" s="9"/>
      <c r="W15" s="9"/>
    </row>
    <row r="16" spans="1:23" ht="12.75" customHeight="1">
      <c r="A16" s="1">
        <v>46174</v>
      </c>
      <c r="B16" s="2">
        <v>15</v>
      </c>
      <c r="C16" s="7">
        <v>-4.1687604380989702</v>
      </c>
      <c r="D16" s="7">
        <v>-3.8140649999999998</v>
      </c>
      <c r="E16" s="7">
        <v>0.34841046090102701</v>
      </c>
      <c r="F16" s="7">
        <f t="shared" si="1"/>
        <v>4.1687604380989702</v>
      </c>
      <c r="G16" s="7">
        <f t="shared" si="2"/>
        <v>3.8140649999999998</v>
      </c>
      <c r="H16" s="7">
        <f t="shared" si="3"/>
        <v>0.35469543809897042</v>
      </c>
      <c r="I16" s="8">
        <f t="shared" si="0"/>
        <v>9.2996694628688925E-2</v>
      </c>
      <c r="J16" s="9">
        <v>13.58</v>
      </c>
      <c r="K16" s="9">
        <v>4.7314140590359397</v>
      </c>
      <c r="U16" s="9"/>
      <c r="V16" s="9"/>
      <c r="W16" s="9"/>
    </row>
    <row r="17" spans="1:23" ht="12.75" customHeight="1">
      <c r="A17" s="1">
        <v>46174</v>
      </c>
      <c r="B17" s="2">
        <v>16</v>
      </c>
      <c r="C17" s="7">
        <v>-4.0584598328246999</v>
      </c>
      <c r="D17" s="7">
        <v>-3.8257110000000001</v>
      </c>
      <c r="E17" s="7">
        <v>0.3962005141753</v>
      </c>
      <c r="F17" s="7">
        <f t="shared" si="1"/>
        <v>4.0584598328246999</v>
      </c>
      <c r="G17" s="7">
        <f t="shared" si="2"/>
        <v>3.8257110000000001</v>
      </c>
      <c r="H17" s="7">
        <f t="shared" si="3"/>
        <v>0.23274883282469983</v>
      </c>
      <c r="I17" s="8">
        <f t="shared" si="0"/>
        <v>6.083805933712709E-2</v>
      </c>
      <c r="J17" s="9">
        <v>7.29</v>
      </c>
      <c r="K17" s="9">
        <v>2.8883017483379398</v>
      </c>
      <c r="U17" s="9"/>
      <c r="V17" s="9"/>
      <c r="W17" s="9"/>
    </row>
    <row r="18" spans="1:23" ht="12.75" customHeight="1">
      <c r="A18" s="1">
        <v>46174</v>
      </c>
      <c r="B18" s="2">
        <v>17</v>
      </c>
      <c r="C18" s="7">
        <v>-4.1779580228837201</v>
      </c>
      <c r="D18" s="7">
        <v>-3.8121239999999998</v>
      </c>
      <c r="E18" s="7">
        <v>4.2701834116277301E-2</v>
      </c>
      <c r="F18" s="7">
        <f t="shared" si="1"/>
        <v>4.1779580228837201</v>
      </c>
      <c r="G18" s="7">
        <f t="shared" si="2"/>
        <v>3.8121239999999998</v>
      </c>
      <c r="H18" s="7">
        <f t="shared" si="3"/>
        <v>0.36583402288372024</v>
      </c>
      <c r="I18" s="8">
        <f t="shared" si="0"/>
        <v>9.5965929461822405E-2</v>
      </c>
      <c r="J18" s="9">
        <v>13.03</v>
      </c>
      <c r="K18" s="9">
        <v>0.55640489853509301</v>
      </c>
      <c r="U18" s="9"/>
      <c r="V18" s="9"/>
      <c r="W18" s="9"/>
    </row>
    <row r="19" spans="1:23" ht="12.75" customHeight="1">
      <c r="A19" s="1">
        <v>46174</v>
      </c>
      <c r="B19" s="2">
        <v>18</v>
      </c>
      <c r="C19" s="7">
        <v>-4.3052492431759397</v>
      </c>
      <c r="D19" s="7">
        <v>-4.2255570000000002</v>
      </c>
      <c r="E19" s="7">
        <v>0.112772787824059</v>
      </c>
      <c r="F19" s="7">
        <f t="shared" si="1"/>
        <v>4.3052492431759397</v>
      </c>
      <c r="G19" s="7">
        <f t="shared" si="2"/>
        <v>4.2255570000000002</v>
      </c>
      <c r="H19" s="7">
        <f t="shared" si="3"/>
        <v>7.9692243175939481E-2</v>
      </c>
      <c r="I19" s="8">
        <f t="shared" si="0"/>
        <v>1.8859583050456891E-2</v>
      </c>
      <c r="J19" s="9">
        <v>59.1</v>
      </c>
      <c r="K19" s="9">
        <v>6.6648717604018604</v>
      </c>
      <c r="U19" s="9"/>
      <c r="V19" s="9"/>
      <c r="W19" s="9"/>
    </row>
    <row r="20" spans="1:23" ht="12.75" customHeight="1">
      <c r="A20" s="1">
        <v>46174</v>
      </c>
      <c r="B20" s="2">
        <v>19</v>
      </c>
      <c r="C20" s="7">
        <v>-4.6076109677816097</v>
      </c>
      <c r="D20" s="7">
        <v>-4.5522919999999996</v>
      </c>
      <c r="E20" s="7">
        <v>6.5368202183868499E-3</v>
      </c>
      <c r="F20" s="7">
        <f t="shared" si="1"/>
        <v>4.6076109677816097</v>
      </c>
      <c r="G20" s="7">
        <f t="shared" si="2"/>
        <v>4.5522919999999996</v>
      </c>
      <c r="H20" s="7">
        <f t="shared" si="3"/>
        <v>5.5318967781610162E-2</v>
      </c>
      <c r="I20" s="8">
        <f t="shared" si="0"/>
        <v>1.2151893547604188E-2</v>
      </c>
      <c r="J20" s="9">
        <v>72.430000000000007</v>
      </c>
      <c r="K20" s="9">
        <v>0.47346188841775999</v>
      </c>
      <c r="U20" s="9"/>
      <c r="V20" s="9"/>
      <c r="W20" s="9"/>
    </row>
    <row r="21" spans="1:23" ht="12.75" customHeight="1">
      <c r="A21" s="1">
        <v>46174</v>
      </c>
      <c r="B21" s="2">
        <v>20</v>
      </c>
      <c r="C21" s="7">
        <v>-5.4870218824688903</v>
      </c>
      <c r="D21" s="7">
        <v>-5.456798</v>
      </c>
      <c r="E21" s="7">
        <v>-2.7536244468891798E-2</v>
      </c>
      <c r="F21" s="7">
        <f t="shared" si="1"/>
        <v>5.4870218824688903</v>
      </c>
      <c r="G21" s="7">
        <f t="shared" si="2"/>
        <v>5.456798</v>
      </c>
      <c r="H21" s="7">
        <f t="shared" si="3"/>
        <v>3.0223882468890295E-2</v>
      </c>
      <c r="I21" s="8">
        <f t="shared" si="0"/>
        <v>5.5387577969516731E-3</v>
      </c>
      <c r="J21" s="9">
        <v>106.21</v>
      </c>
      <c r="K21" s="9">
        <v>-2.9246245250409899</v>
      </c>
      <c r="U21" s="9"/>
      <c r="V21" s="9"/>
      <c r="W21" s="9"/>
    </row>
    <row r="22" spans="1:23" ht="12.75" customHeight="1">
      <c r="A22" s="1">
        <v>46174</v>
      </c>
      <c r="B22" s="2">
        <v>21</v>
      </c>
      <c r="C22" s="7">
        <v>-5.8237886837867396</v>
      </c>
      <c r="D22" s="7">
        <v>-5.7071870000000002</v>
      </c>
      <c r="E22" s="7">
        <v>-0.11660168378673499</v>
      </c>
      <c r="F22" s="7">
        <f t="shared" si="1"/>
        <v>5.8237886837867396</v>
      </c>
      <c r="G22" s="7">
        <f t="shared" si="2"/>
        <v>5.7071870000000002</v>
      </c>
      <c r="H22" s="7">
        <f t="shared" si="3"/>
        <v>0.11660168378673941</v>
      </c>
      <c r="I22" s="8">
        <f t="shared" si="0"/>
        <v>2.0430675179688242E-2</v>
      </c>
      <c r="J22" s="9">
        <v>54.93</v>
      </c>
      <c r="K22" s="9">
        <v>-6.4049304904053503</v>
      </c>
      <c r="U22" s="9"/>
      <c r="V22" s="9"/>
      <c r="W22" s="9"/>
    </row>
    <row r="23" spans="1:23" ht="12.75" customHeight="1">
      <c r="A23" s="1">
        <v>46174</v>
      </c>
      <c r="B23" s="2">
        <v>22</v>
      </c>
      <c r="C23" s="7">
        <v>-5.6664129034025796</v>
      </c>
      <c r="D23" s="7">
        <v>-5.5829630000000003</v>
      </c>
      <c r="E23" s="7">
        <v>-8.3449903402581696E-2</v>
      </c>
      <c r="F23" s="7">
        <f t="shared" si="1"/>
        <v>5.6664129034025796</v>
      </c>
      <c r="G23" s="7">
        <f t="shared" si="2"/>
        <v>5.5829630000000003</v>
      </c>
      <c r="H23" s="7">
        <f t="shared" si="3"/>
        <v>8.3449903402579295E-2</v>
      </c>
      <c r="I23" s="8">
        <f t="shared" si="0"/>
        <v>1.4947242781759308E-2</v>
      </c>
      <c r="J23" s="9">
        <v>39.07</v>
      </c>
      <c r="K23" s="9">
        <v>-3.2603877259388701</v>
      </c>
      <c r="U23" s="9"/>
      <c r="V23" s="9"/>
      <c r="W23" s="9"/>
    </row>
    <row r="24" spans="1:23" ht="12.75" customHeight="1">
      <c r="A24" s="1">
        <v>46174</v>
      </c>
      <c r="B24" s="2">
        <v>23</v>
      </c>
      <c r="C24" s="7">
        <v>-4.7598894728543497</v>
      </c>
      <c r="D24" s="7">
        <v>-4.8427949999999997</v>
      </c>
      <c r="E24" s="7">
        <v>8.2905527145652302E-2</v>
      </c>
      <c r="F24" s="7">
        <f t="shared" si="1"/>
        <v>4.7598894728543497</v>
      </c>
      <c r="G24" s="7">
        <f t="shared" si="2"/>
        <v>4.8427949999999997</v>
      </c>
      <c r="H24" s="7">
        <f t="shared" si="3"/>
        <v>8.2905527145650026E-2</v>
      </c>
      <c r="I24" s="8">
        <f t="shared" si="0"/>
        <v>1.7119355071947093E-2</v>
      </c>
      <c r="J24" s="9">
        <v>40.520000000000003</v>
      </c>
      <c r="K24" s="9">
        <v>3.3593319599418301</v>
      </c>
      <c r="U24" s="9"/>
      <c r="V24" s="9"/>
      <c r="W24" s="9"/>
    </row>
    <row r="25" spans="1:23" ht="12.75" customHeight="1">
      <c r="A25" s="1">
        <v>46174</v>
      </c>
      <c r="B25" s="2">
        <v>24</v>
      </c>
      <c r="C25" s="7">
        <v>-4.2236336456324697</v>
      </c>
      <c r="D25" s="7">
        <v>-4.2967269999999997</v>
      </c>
      <c r="E25" s="7">
        <v>7.3093354367529395E-2</v>
      </c>
      <c r="F25" s="7">
        <f t="shared" si="1"/>
        <v>4.2236336456324697</v>
      </c>
      <c r="G25" s="7">
        <f t="shared" si="2"/>
        <v>4.2967269999999997</v>
      </c>
      <c r="H25" s="7">
        <f t="shared" si="3"/>
        <v>7.3093354367530061E-2</v>
      </c>
      <c r="I25" s="8">
        <f t="shared" si="0"/>
        <v>1.7011402951020643E-2</v>
      </c>
      <c r="J25" s="9">
        <v>77.930000000000007</v>
      </c>
      <c r="K25" s="9">
        <v>5.6961651058615601</v>
      </c>
      <c r="U25" s="9"/>
      <c r="V25" s="9"/>
      <c r="W25" s="9"/>
    </row>
    <row r="26" spans="1:23" ht="12.75" customHeight="1">
      <c r="A26" s="1">
        <v>46175</v>
      </c>
      <c r="B26" s="2">
        <v>1</v>
      </c>
      <c r="C26" s="7">
        <v>-3.7990511325509502</v>
      </c>
      <c r="D26" s="7">
        <v>-3.6536089999999999</v>
      </c>
      <c r="E26" s="7">
        <v>-0.14544213255094501</v>
      </c>
      <c r="F26" s="7">
        <f t="shared" si="1"/>
        <v>3.7990511325509502</v>
      </c>
      <c r="G26" s="7">
        <f t="shared" si="2"/>
        <v>3.6536089999999999</v>
      </c>
      <c r="H26" s="7">
        <f t="shared" si="3"/>
        <v>0.14544213255095029</v>
      </c>
      <c r="I26" s="8">
        <f t="shared" si="0"/>
        <v>3.980779896013785E-2</v>
      </c>
      <c r="J26" s="9">
        <v>73.28</v>
      </c>
      <c r="K26" s="9">
        <v>-10.6579994733332</v>
      </c>
    </row>
    <row r="27" spans="1:23" ht="12.75" customHeight="1">
      <c r="A27" s="1">
        <v>46175</v>
      </c>
      <c r="B27" s="2">
        <v>2</v>
      </c>
      <c r="C27" s="7">
        <v>-3.63332679271906</v>
      </c>
      <c r="D27" s="7">
        <v>-3.6710780000000001</v>
      </c>
      <c r="E27" s="7">
        <v>3.7751207280943597E-2</v>
      </c>
      <c r="F27" s="7">
        <f t="shared" si="1"/>
        <v>3.63332679271906</v>
      </c>
      <c r="G27" s="7">
        <f t="shared" si="2"/>
        <v>3.6710780000000001</v>
      </c>
      <c r="H27" s="7">
        <f t="shared" si="3"/>
        <v>3.7751207280940058E-2</v>
      </c>
      <c r="I27" s="8">
        <f t="shared" si="0"/>
        <v>1.0283411924491949E-2</v>
      </c>
      <c r="J27" s="9">
        <v>145.54</v>
      </c>
      <c r="K27" s="9">
        <v>5.4943107076685296</v>
      </c>
    </row>
    <row r="28" spans="1:23" ht="12.75" customHeight="1">
      <c r="A28" s="1">
        <v>46175</v>
      </c>
      <c r="B28" s="2">
        <v>3</v>
      </c>
      <c r="C28" s="7">
        <v>-3.3910381317440499</v>
      </c>
      <c r="D28" s="7">
        <v>-3.5902029999999998</v>
      </c>
      <c r="E28" s="7">
        <v>0.199164868255956</v>
      </c>
      <c r="F28" s="7">
        <f t="shared" si="1"/>
        <v>3.3910381317440499</v>
      </c>
      <c r="G28" s="7">
        <f t="shared" si="2"/>
        <v>3.5902029999999998</v>
      </c>
      <c r="H28" s="7">
        <f t="shared" si="3"/>
        <v>0.19916486825594992</v>
      </c>
      <c r="I28" s="8">
        <f t="shared" si="0"/>
        <v>5.5474542318623747E-2</v>
      </c>
      <c r="J28" s="9">
        <v>176.16</v>
      </c>
      <c r="K28" s="9">
        <v>35.084883191969098</v>
      </c>
    </row>
    <row r="29" spans="1:23" ht="12.75" customHeight="1">
      <c r="A29" s="1">
        <v>46175</v>
      </c>
      <c r="B29" s="2">
        <v>4</v>
      </c>
      <c r="C29" s="7">
        <v>-3.5339679780235498</v>
      </c>
      <c r="D29" s="7">
        <v>-3.594732</v>
      </c>
      <c r="E29" s="7">
        <v>6.0764021976446203E-2</v>
      </c>
      <c r="F29" s="7">
        <f t="shared" si="1"/>
        <v>3.5339679780235498</v>
      </c>
      <c r="G29" s="7">
        <f t="shared" si="2"/>
        <v>3.594732</v>
      </c>
      <c r="H29" s="7">
        <f t="shared" si="3"/>
        <v>6.0764021976450255E-2</v>
      </c>
      <c r="I29" s="8">
        <f t="shared" si="0"/>
        <v>1.6903630639627725E-2</v>
      </c>
      <c r="J29" s="9">
        <v>170.29</v>
      </c>
      <c r="K29" s="9">
        <v>10.347505302368999</v>
      </c>
    </row>
    <row r="30" spans="1:23" ht="12.75" customHeight="1">
      <c r="A30" s="1">
        <v>46175</v>
      </c>
      <c r="B30" s="2">
        <v>5</v>
      </c>
      <c r="C30" s="7">
        <v>-3.4277955034343401</v>
      </c>
      <c r="D30" s="7">
        <v>-3.556559</v>
      </c>
      <c r="E30" s="7">
        <v>0.12876349656566199</v>
      </c>
      <c r="F30" s="7">
        <f t="shared" si="1"/>
        <v>3.4277955034343401</v>
      </c>
      <c r="G30" s="7">
        <f t="shared" si="2"/>
        <v>3.556559</v>
      </c>
      <c r="H30" s="7">
        <f t="shared" si="3"/>
        <v>0.12876349656565989</v>
      </c>
      <c r="I30" s="8">
        <f t="shared" si="0"/>
        <v>3.6204515815893928E-2</v>
      </c>
      <c r="J30" s="9">
        <v>30.23</v>
      </c>
      <c r="K30" s="9">
        <v>3.8925205011799702</v>
      </c>
    </row>
    <row r="31" spans="1:23" ht="12.75" customHeight="1">
      <c r="A31" s="1">
        <v>46175</v>
      </c>
      <c r="B31" s="2">
        <v>6</v>
      </c>
      <c r="C31" s="7">
        <v>-3.3277972575648298</v>
      </c>
      <c r="D31" s="7">
        <v>-3.431041</v>
      </c>
      <c r="E31" s="7">
        <v>0.10330145483516701</v>
      </c>
      <c r="F31" s="7">
        <f t="shared" si="1"/>
        <v>3.3277972575648298</v>
      </c>
      <c r="G31" s="7">
        <f t="shared" si="2"/>
        <v>3.431041</v>
      </c>
      <c r="H31" s="7">
        <f t="shared" si="3"/>
        <v>0.1032437424351702</v>
      </c>
      <c r="I31" s="8">
        <f t="shared" si="0"/>
        <v>3.0091083853317463E-2</v>
      </c>
      <c r="J31" s="9">
        <v>17.32</v>
      </c>
      <c r="K31" s="9">
        <v>1.78918119774508</v>
      </c>
    </row>
    <row r="32" spans="1:23" ht="12.75" customHeight="1">
      <c r="A32" s="1">
        <v>46175</v>
      </c>
      <c r="B32" s="2">
        <v>7</v>
      </c>
      <c r="C32" s="7">
        <v>-3.4846198862216702</v>
      </c>
      <c r="D32" s="7">
        <v>-3.0046680000000001</v>
      </c>
      <c r="E32" s="7">
        <v>-0.47648267222167401</v>
      </c>
      <c r="F32" s="7">
        <f t="shared" si="1"/>
        <v>3.4846198862216702</v>
      </c>
      <c r="G32" s="7">
        <f t="shared" si="2"/>
        <v>3.0046680000000001</v>
      </c>
      <c r="H32" s="7">
        <f t="shared" si="3"/>
        <v>0.47995188622167007</v>
      </c>
      <c r="I32" s="8">
        <f t="shared" si="0"/>
        <v>0.15973541377006378</v>
      </c>
      <c r="J32" s="9">
        <v>118.61</v>
      </c>
      <c r="K32" s="9">
        <v>-56.515609752212796</v>
      </c>
    </row>
    <row r="33" spans="1:11" ht="12.75" customHeight="1">
      <c r="A33" s="1">
        <v>46175</v>
      </c>
      <c r="B33" s="2">
        <v>8</v>
      </c>
      <c r="C33" s="7">
        <v>-3.3954151004018098</v>
      </c>
      <c r="D33" s="7">
        <v>-2.7258110000000002</v>
      </c>
      <c r="E33" s="7">
        <v>-0.62317538040180798</v>
      </c>
      <c r="F33" s="7">
        <f t="shared" si="1"/>
        <v>3.3954151004018098</v>
      </c>
      <c r="G33" s="7">
        <f t="shared" si="2"/>
        <v>2.7258110000000002</v>
      </c>
      <c r="H33" s="7">
        <f t="shared" si="3"/>
        <v>0.66960410040180962</v>
      </c>
      <c r="I33" s="8">
        <f t="shared" si="0"/>
        <v>0.24565316538887311</v>
      </c>
      <c r="J33" s="9">
        <v>122.02</v>
      </c>
      <c r="K33" s="9">
        <v>-76.0398599166286</v>
      </c>
    </row>
    <row r="34" spans="1:11" ht="12.75" customHeight="1">
      <c r="A34" s="1">
        <v>46175</v>
      </c>
      <c r="B34" s="2">
        <v>9</v>
      </c>
      <c r="C34" s="7">
        <v>-3.3826633111727098</v>
      </c>
      <c r="D34" s="7">
        <v>-3.0266660000000001</v>
      </c>
      <c r="E34" s="7">
        <v>6.0758033827289802E-2</v>
      </c>
      <c r="F34" s="7">
        <f t="shared" si="1"/>
        <v>3.3826633111727098</v>
      </c>
      <c r="G34" s="7">
        <f t="shared" si="2"/>
        <v>3.0266660000000001</v>
      </c>
      <c r="H34" s="7">
        <f t="shared" si="3"/>
        <v>0.35599731117270972</v>
      </c>
      <c r="I34" s="8">
        <f t="shared" si="0"/>
        <v>0.11762028290293997</v>
      </c>
      <c r="J34" s="9">
        <v>82.53</v>
      </c>
      <c r="K34" s="9">
        <v>5.0143605317662301</v>
      </c>
    </row>
    <row r="35" spans="1:11" ht="12.75" customHeight="1">
      <c r="A35" s="1">
        <v>46175</v>
      </c>
      <c r="B35" s="2">
        <v>10</v>
      </c>
      <c r="C35" s="7">
        <v>-3.6797285915616502</v>
      </c>
      <c r="D35" s="7">
        <v>-2.9147349999999999</v>
      </c>
      <c r="E35" s="7">
        <v>-0.24076701756164501</v>
      </c>
      <c r="F35" s="7">
        <f t="shared" si="1"/>
        <v>3.6797285915616502</v>
      </c>
      <c r="G35" s="7">
        <f t="shared" si="2"/>
        <v>2.9147349999999999</v>
      </c>
      <c r="H35" s="7">
        <f t="shared" si="3"/>
        <v>0.76499359156165037</v>
      </c>
      <c r="I35" s="8">
        <f t="shared" si="0"/>
        <v>0.26245733885298334</v>
      </c>
      <c r="J35" s="9">
        <v>92.54</v>
      </c>
      <c r="K35" s="9">
        <v>-22.280579805154701</v>
      </c>
    </row>
    <row r="36" spans="1:11" ht="12.75" customHeight="1">
      <c r="A36" s="1">
        <v>46175</v>
      </c>
      <c r="B36" s="2">
        <v>11</v>
      </c>
      <c r="C36" s="7">
        <v>-3.70222867724629</v>
      </c>
      <c r="D36" s="7">
        <v>-2.826743</v>
      </c>
      <c r="E36" s="7">
        <v>-0.22170641124629401</v>
      </c>
      <c r="F36" s="7">
        <f t="shared" si="1"/>
        <v>3.70222867724629</v>
      </c>
      <c r="G36" s="7">
        <f t="shared" si="2"/>
        <v>2.826743</v>
      </c>
      <c r="H36" s="7">
        <f t="shared" si="3"/>
        <v>0.87548567724629001</v>
      </c>
      <c r="I36" s="8">
        <f t="shared" si="0"/>
        <v>0.30971534279780299</v>
      </c>
      <c r="J36" s="9">
        <v>23.03</v>
      </c>
      <c r="K36" s="9">
        <v>-5.1058986510021498</v>
      </c>
    </row>
    <row r="37" spans="1:11" ht="12.75" customHeight="1">
      <c r="A37" s="1">
        <v>46175</v>
      </c>
      <c r="B37" s="2">
        <v>12</v>
      </c>
      <c r="C37" s="7">
        <v>-3.6591334910331499</v>
      </c>
      <c r="D37" s="7">
        <v>-2.8603869999999998</v>
      </c>
      <c r="E37" s="7">
        <v>-9.7853332033144794E-2</v>
      </c>
      <c r="F37" s="7">
        <f t="shared" si="1"/>
        <v>3.6591334910331499</v>
      </c>
      <c r="G37" s="7">
        <f t="shared" si="2"/>
        <v>2.8603869999999998</v>
      </c>
      <c r="H37" s="7">
        <f t="shared" si="3"/>
        <v>0.7987464910331501</v>
      </c>
      <c r="I37" s="8">
        <f t="shared" si="0"/>
        <v>0.27924420403013656</v>
      </c>
      <c r="J37" s="9">
        <v>5.01</v>
      </c>
      <c r="K37" s="9">
        <v>-0.490245193486055</v>
      </c>
    </row>
    <row r="38" spans="1:11" ht="12.75" customHeight="1">
      <c r="A38" s="1">
        <v>46175</v>
      </c>
      <c r="B38" s="2">
        <v>13</v>
      </c>
      <c r="C38" s="7">
        <v>-3.7952426095609999</v>
      </c>
      <c r="D38" s="7">
        <v>-2.7025190000000001</v>
      </c>
      <c r="E38" s="7">
        <v>-0.50673441556100096</v>
      </c>
      <c r="F38" s="7">
        <f t="shared" si="1"/>
        <v>3.7952426095609999</v>
      </c>
      <c r="G38" s="7">
        <f t="shared" si="2"/>
        <v>2.7025190000000001</v>
      </c>
      <c r="H38" s="7">
        <f t="shared" si="3"/>
        <v>1.0927236095609998</v>
      </c>
      <c r="I38" s="8">
        <f t="shared" si="0"/>
        <v>0.40433521820235113</v>
      </c>
      <c r="J38" s="9">
        <v>3.11</v>
      </c>
      <c r="K38" s="9">
        <v>-1.57594403239471</v>
      </c>
    </row>
    <row r="39" spans="1:11" ht="12.75" customHeight="1">
      <c r="A39" s="1">
        <v>46175</v>
      </c>
      <c r="B39" s="2">
        <v>14</v>
      </c>
      <c r="C39" s="7">
        <v>-3.9052555039678598</v>
      </c>
      <c r="D39" s="7">
        <v>-2.777571</v>
      </c>
      <c r="E39" s="7">
        <v>-0.56219032896785803</v>
      </c>
      <c r="F39" s="7">
        <f t="shared" si="1"/>
        <v>3.9052555039678598</v>
      </c>
      <c r="G39" s="7">
        <f t="shared" si="2"/>
        <v>2.777571</v>
      </c>
      <c r="H39" s="7">
        <f t="shared" si="3"/>
        <v>1.1276845039678598</v>
      </c>
      <c r="I39" s="8">
        <f t="shared" si="0"/>
        <v>0.4059966438185954</v>
      </c>
      <c r="J39" s="9">
        <v>2.84</v>
      </c>
      <c r="K39" s="9">
        <v>-1.5966205342687201</v>
      </c>
    </row>
    <row r="40" spans="1:11" ht="12.75" customHeight="1">
      <c r="A40" s="1">
        <v>46175</v>
      </c>
      <c r="B40" s="2">
        <v>15</v>
      </c>
      <c r="C40" s="7">
        <v>-4.1689445616990604</v>
      </c>
      <c r="D40" s="7">
        <v>-2.8526229999999999</v>
      </c>
      <c r="E40" s="7">
        <v>-0.71575739869905897</v>
      </c>
      <c r="F40" s="7">
        <f t="shared" si="1"/>
        <v>4.1689445616990604</v>
      </c>
      <c r="G40" s="7">
        <f t="shared" si="2"/>
        <v>2.8526229999999999</v>
      </c>
      <c r="H40" s="7">
        <f t="shared" si="3"/>
        <v>1.3163215616990604</v>
      </c>
      <c r="I40" s="8">
        <f t="shared" si="0"/>
        <v>0.461442525598041</v>
      </c>
      <c r="J40" s="9">
        <v>23.4</v>
      </c>
      <c r="K40" s="9">
        <v>-16.748723129558002</v>
      </c>
    </row>
    <row r="41" spans="1:11" ht="12.75" customHeight="1">
      <c r="A41" s="1">
        <v>46175</v>
      </c>
      <c r="B41" s="2">
        <v>16</v>
      </c>
      <c r="C41" s="7">
        <v>-3.9189815499387901</v>
      </c>
      <c r="D41" s="7">
        <v>-2.9535550000000002</v>
      </c>
      <c r="E41" s="7">
        <v>-0.50089090193878705</v>
      </c>
      <c r="F41" s="7">
        <f t="shared" si="1"/>
        <v>3.9189815499387901</v>
      </c>
      <c r="G41" s="7">
        <f t="shared" si="2"/>
        <v>2.9535550000000002</v>
      </c>
      <c r="H41" s="7">
        <f t="shared" si="3"/>
        <v>0.96542654993878996</v>
      </c>
      <c r="I41" s="8">
        <f t="shared" si="0"/>
        <v>0.32686933202150964</v>
      </c>
      <c r="J41" s="9">
        <v>28.01</v>
      </c>
      <c r="K41" s="9">
        <v>-14.029954163305399</v>
      </c>
    </row>
    <row r="42" spans="1:11" ht="12.75" customHeight="1">
      <c r="A42" s="1">
        <v>46175</v>
      </c>
      <c r="B42" s="2">
        <v>17</v>
      </c>
      <c r="C42" s="7">
        <v>-3.9990557377810698</v>
      </c>
      <c r="D42" s="7">
        <v>-3.1411850000000001</v>
      </c>
      <c r="E42" s="7">
        <v>-0.43541985178106501</v>
      </c>
      <c r="F42" s="7">
        <f t="shared" si="1"/>
        <v>3.9990557377810698</v>
      </c>
      <c r="G42" s="7">
        <f t="shared" si="2"/>
        <v>3.1411850000000001</v>
      </c>
      <c r="H42" s="7">
        <f t="shared" si="3"/>
        <v>0.8578707377810697</v>
      </c>
      <c r="I42" s="8">
        <f t="shared" si="0"/>
        <v>0.27310417494705652</v>
      </c>
      <c r="J42" s="9">
        <v>88.87</v>
      </c>
      <c r="K42" s="9">
        <v>-38.695762227783199</v>
      </c>
    </row>
    <row r="43" spans="1:11" ht="12.75" customHeight="1">
      <c r="A43" s="1">
        <v>46175</v>
      </c>
      <c r="B43" s="2">
        <v>18</v>
      </c>
      <c r="C43" s="7">
        <v>-4.1386257745768802</v>
      </c>
      <c r="D43" s="7">
        <v>-3.847709</v>
      </c>
      <c r="E43" s="7">
        <v>-5.2369815576875797E-2</v>
      </c>
      <c r="F43" s="7">
        <f t="shared" si="1"/>
        <v>4.1386257745768802</v>
      </c>
      <c r="G43" s="7">
        <f t="shared" si="2"/>
        <v>3.847709</v>
      </c>
      <c r="H43" s="7">
        <f t="shared" si="3"/>
        <v>0.29091677457688014</v>
      </c>
      <c r="I43" s="8">
        <f t="shared" si="0"/>
        <v>7.5607790136125202E-2</v>
      </c>
      <c r="J43" s="9">
        <v>110.93</v>
      </c>
      <c r="K43" s="9">
        <v>-5.80938364194283</v>
      </c>
    </row>
    <row r="44" spans="1:11" ht="12.75" customHeight="1">
      <c r="A44" s="1">
        <v>46175</v>
      </c>
      <c r="B44" s="2">
        <v>19</v>
      </c>
      <c r="C44" s="7">
        <v>-4.4855809656836803</v>
      </c>
      <c r="D44" s="7">
        <v>-4.4125399999999999</v>
      </c>
      <c r="E44" s="7">
        <v>-5.4527707683680399E-2</v>
      </c>
      <c r="F44" s="7">
        <f t="shared" si="1"/>
        <v>4.4855809656836803</v>
      </c>
      <c r="G44" s="7">
        <f t="shared" si="2"/>
        <v>4.4125399999999999</v>
      </c>
      <c r="H44" s="7">
        <f t="shared" si="3"/>
        <v>7.3040965683680348E-2</v>
      </c>
      <c r="I44" s="8">
        <f t="shared" si="0"/>
        <v>1.6553043300158266E-2</v>
      </c>
      <c r="J44" s="9">
        <v>141</v>
      </c>
      <c r="K44" s="9">
        <v>-7.6884067833989302</v>
      </c>
    </row>
    <row r="45" spans="1:11" ht="12.75" customHeight="1">
      <c r="A45" s="1">
        <v>46175</v>
      </c>
      <c r="B45" s="2">
        <v>20</v>
      </c>
      <c r="C45" s="7">
        <v>-5.2410045195723702</v>
      </c>
      <c r="D45" s="7">
        <v>-5.1274749999999996</v>
      </c>
      <c r="E45" s="7">
        <v>-0.111761915572374</v>
      </c>
      <c r="F45" s="7">
        <f t="shared" si="1"/>
        <v>5.2410045195723702</v>
      </c>
      <c r="G45" s="7">
        <f t="shared" si="2"/>
        <v>5.1274749999999996</v>
      </c>
      <c r="H45" s="7">
        <f t="shared" si="3"/>
        <v>0.11352951957237067</v>
      </c>
      <c r="I45" s="8">
        <f t="shared" si="0"/>
        <v>2.2141408699675898E-2</v>
      </c>
      <c r="J45" s="9">
        <v>175.11</v>
      </c>
      <c r="K45" s="9">
        <v>-19.570629035878401</v>
      </c>
    </row>
    <row r="46" spans="1:11" ht="12.75" customHeight="1">
      <c r="A46" s="1">
        <v>46175</v>
      </c>
      <c r="B46" s="2">
        <v>21</v>
      </c>
      <c r="C46" s="7">
        <v>-5.5706227254750997</v>
      </c>
      <c r="D46" s="7">
        <v>-5.3170460000000004</v>
      </c>
      <c r="E46" s="7">
        <v>-0.25357672547510202</v>
      </c>
      <c r="F46" s="7">
        <f t="shared" si="1"/>
        <v>5.5706227254750997</v>
      </c>
      <c r="G46" s="7">
        <f t="shared" si="2"/>
        <v>5.3170460000000004</v>
      </c>
      <c r="H46" s="7">
        <f t="shared" si="3"/>
        <v>0.25357672547509935</v>
      </c>
      <c r="I46" s="8">
        <f t="shared" si="0"/>
        <v>4.7691279231945584E-2</v>
      </c>
      <c r="J46" s="9">
        <v>105.05</v>
      </c>
      <c r="K46" s="9">
        <v>-26.638235011159502</v>
      </c>
    </row>
    <row r="47" spans="1:11" ht="12.75" customHeight="1">
      <c r="A47" s="1">
        <v>46175</v>
      </c>
      <c r="B47" s="2">
        <v>22</v>
      </c>
      <c r="C47" s="7">
        <v>-5.5184387096789003</v>
      </c>
      <c r="D47" s="7">
        <v>-5.0763619999999996</v>
      </c>
      <c r="E47" s="7">
        <v>-0.44207670967889501</v>
      </c>
      <c r="F47" s="7">
        <f t="shared" si="1"/>
        <v>5.5184387096789003</v>
      </c>
      <c r="G47" s="7">
        <f t="shared" si="2"/>
        <v>5.0763619999999996</v>
      </c>
      <c r="H47" s="7">
        <f t="shared" si="3"/>
        <v>0.44207670967890067</v>
      </c>
      <c r="I47" s="8">
        <f t="shared" si="0"/>
        <v>8.7085339792335667E-2</v>
      </c>
      <c r="J47" s="9">
        <v>195.77</v>
      </c>
      <c r="K47" s="9">
        <v>-86.545357453837298</v>
      </c>
    </row>
    <row r="48" spans="1:11" ht="12.75" customHeight="1">
      <c r="A48" s="1">
        <v>46175</v>
      </c>
      <c r="B48" s="2">
        <v>23</v>
      </c>
      <c r="C48" s="7">
        <v>-4.8045362929475104</v>
      </c>
      <c r="D48" s="7">
        <v>-4.2540250000000004</v>
      </c>
      <c r="E48" s="7">
        <v>-0.55051129294751</v>
      </c>
      <c r="F48" s="7">
        <f t="shared" si="1"/>
        <v>4.8045362929475104</v>
      </c>
      <c r="G48" s="7">
        <f t="shared" si="2"/>
        <v>4.2540250000000004</v>
      </c>
      <c r="H48" s="7">
        <f t="shared" si="3"/>
        <v>0.55051129294751</v>
      </c>
      <c r="I48" s="8">
        <f t="shared" si="0"/>
        <v>0.1294095105100487</v>
      </c>
      <c r="J48" s="9">
        <v>152.28</v>
      </c>
      <c r="K48" s="9">
        <v>-83.831859690046798</v>
      </c>
    </row>
    <row r="49" spans="1:11" ht="12.75" customHeight="1">
      <c r="A49" s="1">
        <v>46175</v>
      </c>
      <c r="B49" s="2">
        <v>24</v>
      </c>
      <c r="C49" s="7">
        <v>-4.16584800148493</v>
      </c>
      <c r="D49" s="7">
        <v>-3.696958</v>
      </c>
      <c r="E49" s="7">
        <v>-0.46889000148492699</v>
      </c>
      <c r="F49" s="7">
        <f t="shared" si="1"/>
        <v>4.16584800148493</v>
      </c>
      <c r="G49" s="7">
        <f t="shared" si="2"/>
        <v>3.696958</v>
      </c>
      <c r="H49" s="7">
        <f t="shared" si="3"/>
        <v>0.46889000148492999</v>
      </c>
      <c r="I49" s="8">
        <f t="shared" si="0"/>
        <v>0.12683130332693257</v>
      </c>
      <c r="J49" s="9">
        <v>106.51</v>
      </c>
      <c r="K49" s="9">
        <v>-49.941474058159599</v>
      </c>
    </row>
    <row r="50" spans="1:11" ht="12.75" customHeight="1">
      <c r="A50" s="1">
        <v>46176</v>
      </c>
      <c r="B50" s="2">
        <v>1</v>
      </c>
      <c r="C50" s="7">
        <v>-3.8444001864391999</v>
      </c>
      <c r="D50" s="7">
        <v>-3.6762540000000001</v>
      </c>
      <c r="E50" s="7">
        <v>-0.16814618643920201</v>
      </c>
      <c r="F50" s="7">
        <f t="shared" si="1"/>
        <v>3.8444001864391999</v>
      </c>
      <c r="G50" s="7">
        <f t="shared" si="2"/>
        <v>3.6762540000000001</v>
      </c>
      <c r="H50" s="7">
        <f t="shared" si="3"/>
        <v>0.16814618643919976</v>
      </c>
      <c r="I50" s="8">
        <f t="shared" si="0"/>
        <v>4.5738457255456166E-2</v>
      </c>
      <c r="J50" s="9">
        <v>113.9</v>
      </c>
      <c r="K50" s="9">
        <v>-19.151850635425099</v>
      </c>
    </row>
    <row r="51" spans="1:11" ht="12.75" customHeight="1">
      <c r="A51" s="1">
        <v>46176</v>
      </c>
      <c r="B51" s="2">
        <v>2</v>
      </c>
      <c r="C51" s="7">
        <v>-3.7946539020713299</v>
      </c>
      <c r="D51" s="7">
        <v>-3.5792039999999998</v>
      </c>
      <c r="E51" s="7">
        <v>-0.215449902071326</v>
      </c>
      <c r="F51" s="7">
        <f t="shared" si="1"/>
        <v>3.7946539020713299</v>
      </c>
      <c r="G51" s="7">
        <f t="shared" si="2"/>
        <v>3.5792039999999998</v>
      </c>
      <c r="H51" s="7">
        <f t="shared" si="3"/>
        <v>0.21544990207133008</v>
      </c>
      <c r="I51" s="8">
        <f t="shared" si="0"/>
        <v>6.0194921013535435E-2</v>
      </c>
      <c r="J51" s="9">
        <v>116.94</v>
      </c>
      <c r="K51" s="9">
        <v>-25.194711548220798</v>
      </c>
    </row>
    <row r="52" spans="1:11" ht="12.75" customHeight="1">
      <c r="A52" s="1">
        <v>46176</v>
      </c>
      <c r="B52" s="2">
        <v>3</v>
      </c>
      <c r="C52" s="7">
        <v>-3.5788163329403302</v>
      </c>
      <c r="D52" s="7">
        <v>-3.527444</v>
      </c>
      <c r="E52" s="7">
        <v>-5.1372332940328301E-2</v>
      </c>
      <c r="F52" s="7">
        <f t="shared" si="1"/>
        <v>3.5788163329403302</v>
      </c>
      <c r="G52" s="7">
        <f t="shared" si="2"/>
        <v>3.527444</v>
      </c>
      <c r="H52" s="7">
        <f t="shared" si="3"/>
        <v>5.1372332940330168E-2</v>
      </c>
      <c r="I52" s="8">
        <f t="shared" si="0"/>
        <v>1.4563614033370953E-2</v>
      </c>
      <c r="J52" s="9">
        <v>121.64</v>
      </c>
      <c r="K52" s="9">
        <v>-6.2489305788615299</v>
      </c>
    </row>
    <row r="53" spans="1:11" ht="12.75" customHeight="1">
      <c r="A53" s="1">
        <v>46176</v>
      </c>
      <c r="B53" s="2">
        <v>4</v>
      </c>
      <c r="C53" s="7">
        <v>-3.6399410635002099</v>
      </c>
      <c r="D53" s="7">
        <v>-3.5701459999999998</v>
      </c>
      <c r="E53" s="7">
        <v>-6.9795063500209503E-2</v>
      </c>
      <c r="F53" s="7">
        <f t="shared" si="1"/>
        <v>3.6399410635002099</v>
      </c>
      <c r="G53" s="7">
        <f t="shared" si="2"/>
        <v>3.5701459999999998</v>
      </c>
      <c r="H53" s="7">
        <f t="shared" si="3"/>
        <v>6.9795063500210031E-2</v>
      </c>
      <c r="I53" s="8">
        <f t="shared" si="0"/>
        <v>1.9549638446217616E-2</v>
      </c>
      <c r="J53" s="9">
        <v>118.78</v>
      </c>
      <c r="K53" s="9">
        <v>-8.2902576425548808</v>
      </c>
    </row>
    <row r="54" spans="1:11" ht="12.75" customHeight="1">
      <c r="A54" s="1">
        <v>46176</v>
      </c>
      <c r="B54" s="2">
        <v>5</v>
      </c>
      <c r="C54" s="7">
        <v>-3.7244816381690402</v>
      </c>
      <c r="D54" s="7">
        <v>-3.5921439999999998</v>
      </c>
      <c r="E54" s="7">
        <v>-0.13233763816903599</v>
      </c>
      <c r="F54" s="7">
        <f t="shared" si="1"/>
        <v>3.7244816381690402</v>
      </c>
      <c r="G54" s="7">
        <f t="shared" si="2"/>
        <v>3.5921439999999998</v>
      </c>
      <c r="H54" s="7">
        <f t="shared" si="3"/>
        <v>0.13233763816904043</v>
      </c>
      <c r="I54" s="8">
        <f t="shared" si="0"/>
        <v>3.684084996844237E-2</v>
      </c>
      <c r="J54" s="9">
        <v>118.04</v>
      </c>
      <c r="K54" s="9">
        <v>-15.621134809473</v>
      </c>
    </row>
    <row r="55" spans="1:11" ht="12.75" customHeight="1">
      <c r="A55" s="1">
        <v>46176</v>
      </c>
      <c r="B55" s="2">
        <v>6</v>
      </c>
      <c r="C55" s="7">
        <v>-3.3720026629740101</v>
      </c>
      <c r="D55" s="7">
        <v>-3.3094049999999999</v>
      </c>
      <c r="E55" s="7">
        <v>-4.9774899374004998E-2</v>
      </c>
      <c r="F55" s="7">
        <f t="shared" si="1"/>
        <v>3.3720026629740101</v>
      </c>
      <c r="G55" s="7">
        <f t="shared" si="2"/>
        <v>3.3094049999999999</v>
      </c>
      <c r="H55" s="7">
        <f t="shared" si="3"/>
        <v>6.2597662974010149E-2</v>
      </c>
      <c r="I55" s="8">
        <f t="shared" si="0"/>
        <v>1.8915080799723864E-2</v>
      </c>
      <c r="J55" s="9">
        <v>135.19999999999999</v>
      </c>
      <c r="K55" s="9">
        <v>-6.7295663953654801</v>
      </c>
    </row>
    <row r="56" spans="1:11" ht="12.75" customHeight="1">
      <c r="A56" s="1">
        <v>46176</v>
      </c>
      <c r="B56" s="2">
        <v>7</v>
      </c>
      <c r="C56" s="7">
        <v>-2.8858348207594702</v>
      </c>
      <c r="D56" s="7">
        <v>-2.9386739999999998</v>
      </c>
      <c r="E56" s="7">
        <v>0.14323284324052901</v>
      </c>
      <c r="F56" s="7">
        <f t="shared" si="1"/>
        <v>2.8858348207594702</v>
      </c>
      <c r="G56" s="7">
        <f t="shared" si="2"/>
        <v>2.9386739999999998</v>
      </c>
      <c r="H56" s="7">
        <f t="shared" si="3"/>
        <v>5.283917924052961E-2</v>
      </c>
      <c r="I56" s="8">
        <f t="shared" si="0"/>
        <v>1.7980619572136827E-2</v>
      </c>
      <c r="J56" s="9">
        <v>31</v>
      </c>
      <c r="K56" s="9">
        <v>4.4402181404564001</v>
      </c>
    </row>
    <row r="57" spans="1:11" ht="12.75" customHeight="1">
      <c r="A57" s="1">
        <v>46176</v>
      </c>
      <c r="B57" s="2">
        <v>8</v>
      </c>
      <c r="C57" s="7">
        <v>-2.97754442801567</v>
      </c>
      <c r="D57" s="7">
        <v>-2.7510439999999998</v>
      </c>
      <c r="E57" s="7">
        <v>0.14332024298432799</v>
      </c>
      <c r="F57" s="7">
        <f t="shared" si="1"/>
        <v>2.97754442801567</v>
      </c>
      <c r="G57" s="7">
        <f t="shared" si="2"/>
        <v>2.7510439999999998</v>
      </c>
      <c r="H57" s="7">
        <f t="shared" si="3"/>
        <v>0.22650042801567016</v>
      </c>
      <c r="I57" s="8">
        <f t="shared" si="0"/>
        <v>8.2332535581281202E-2</v>
      </c>
      <c r="J57" s="9">
        <v>166.52</v>
      </c>
      <c r="K57" s="9">
        <v>23.865686861750302</v>
      </c>
    </row>
    <row r="58" spans="1:11" ht="12.75" customHeight="1">
      <c r="A58" s="1">
        <v>46176</v>
      </c>
      <c r="B58" s="2">
        <v>9</v>
      </c>
      <c r="C58" s="7">
        <v>-3.52265114278446</v>
      </c>
      <c r="D58" s="7">
        <v>-3.167065</v>
      </c>
      <c r="E58" s="7">
        <v>6.08334092155354E-2</v>
      </c>
      <c r="F58" s="7">
        <f t="shared" si="1"/>
        <v>3.52265114278446</v>
      </c>
      <c r="G58" s="7">
        <f t="shared" si="2"/>
        <v>3.167065</v>
      </c>
      <c r="H58" s="7">
        <f t="shared" si="3"/>
        <v>0.35558614278445999</v>
      </c>
      <c r="I58" s="8">
        <f t="shared" si="0"/>
        <v>0.11227623771045431</v>
      </c>
      <c r="J58" s="9">
        <v>102.9</v>
      </c>
      <c r="K58" s="9">
        <v>6.2597578082785903</v>
      </c>
    </row>
    <row r="59" spans="1:11" ht="12.75" customHeight="1">
      <c r="A59" s="1">
        <v>46176</v>
      </c>
      <c r="B59" s="2">
        <v>10</v>
      </c>
      <c r="C59" s="7">
        <v>-3.8563248509422201</v>
      </c>
      <c r="D59" s="7">
        <v>-3.0467230000000001</v>
      </c>
      <c r="E59" s="7">
        <v>-0.25538553294222099</v>
      </c>
      <c r="F59" s="7">
        <f t="shared" si="1"/>
        <v>3.8563248509422201</v>
      </c>
      <c r="G59" s="7">
        <f t="shared" si="2"/>
        <v>3.0467230000000001</v>
      </c>
      <c r="H59" s="7">
        <f t="shared" si="3"/>
        <v>0.80960185094222004</v>
      </c>
      <c r="I59" s="8">
        <f t="shared" si="0"/>
        <v>0.26572873574073519</v>
      </c>
      <c r="J59" s="9">
        <v>18.18</v>
      </c>
      <c r="K59" s="9">
        <v>-4.6429089888895803</v>
      </c>
    </row>
    <row r="60" spans="1:11" ht="12.75" customHeight="1">
      <c r="A60" s="1">
        <v>46176</v>
      </c>
      <c r="B60" s="2">
        <v>11</v>
      </c>
      <c r="C60" s="7">
        <v>-3.8258860877637302</v>
      </c>
      <c r="D60" s="7">
        <v>-3.8380040000000002</v>
      </c>
      <c r="E60" s="7">
        <v>0.70800587923627001</v>
      </c>
      <c r="F60" s="7">
        <f t="shared" si="1"/>
        <v>3.8258860877637302</v>
      </c>
      <c r="G60" s="7">
        <f t="shared" si="2"/>
        <v>3.8380040000000002</v>
      </c>
      <c r="H60" s="7">
        <f t="shared" si="3"/>
        <v>1.2117912236270012E-2</v>
      </c>
      <c r="I60" s="8">
        <f t="shared" si="0"/>
        <v>3.1573474744346309E-3</v>
      </c>
      <c r="J60" s="9">
        <v>47.44</v>
      </c>
      <c r="K60" s="9">
        <v>33.587798910968601</v>
      </c>
    </row>
    <row r="61" spans="1:11" ht="12.75" customHeight="1">
      <c r="A61" s="1">
        <v>46176</v>
      </c>
      <c r="B61" s="2">
        <v>12</v>
      </c>
      <c r="C61" s="7">
        <v>-3.7918993301957999</v>
      </c>
      <c r="D61" s="7">
        <v>-3.880706</v>
      </c>
      <c r="E61" s="7">
        <v>0.83864731980420204</v>
      </c>
      <c r="F61" s="7">
        <f t="shared" si="1"/>
        <v>3.7918993301957999</v>
      </c>
      <c r="G61" s="7">
        <f t="shared" si="2"/>
        <v>3.880706</v>
      </c>
      <c r="H61" s="7">
        <f t="shared" si="3"/>
        <v>8.8806669804200045E-2</v>
      </c>
      <c r="I61" s="8">
        <f t="shared" si="0"/>
        <v>2.2884152987678028E-2</v>
      </c>
      <c r="J61" s="9">
        <v>24.69</v>
      </c>
      <c r="K61" s="9">
        <v>20.706202325965801</v>
      </c>
    </row>
    <row r="62" spans="1:11" ht="12.75" customHeight="1">
      <c r="A62" s="1">
        <v>46176</v>
      </c>
      <c r="B62" s="2">
        <v>13</v>
      </c>
      <c r="C62" s="7">
        <v>-3.9758360692562902</v>
      </c>
      <c r="D62" s="7">
        <v>-3.929878</v>
      </c>
      <c r="E62" s="7">
        <v>0.70375965074370594</v>
      </c>
      <c r="F62" s="7">
        <f t="shared" si="1"/>
        <v>3.9758360692562902</v>
      </c>
      <c r="G62" s="7">
        <f t="shared" si="2"/>
        <v>3.929878</v>
      </c>
      <c r="H62" s="7">
        <f t="shared" si="3"/>
        <v>4.5958069256290202E-2</v>
      </c>
      <c r="I62" s="8">
        <f t="shared" si="0"/>
        <v>1.1694528241408562E-2</v>
      </c>
      <c r="J62" s="9">
        <v>39.130000000000003</v>
      </c>
      <c r="K62" s="9">
        <v>27.538115133601199</v>
      </c>
    </row>
    <row r="63" spans="1:11" ht="12.75" customHeight="1">
      <c r="A63" s="1">
        <v>46176</v>
      </c>
      <c r="B63" s="2">
        <v>14</v>
      </c>
      <c r="C63" s="7">
        <v>-4.14639897004822</v>
      </c>
      <c r="D63" s="7">
        <v>-3.9894020000000001</v>
      </c>
      <c r="E63" s="7">
        <v>0.46795197595177701</v>
      </c>
      <c r="F63" s="7">
        <f t="shared" si="1"/>
        <v>4.14639897004822</v>
      </c>
      <c r="G63" s="7">
        <f t="shared" si="2"/>
        <v>3.9894020000000001</v>
      </c>
      <c r="H63" s="7">
        <f t="shared" si="3"/>
        <v>0.15699697004821989</v>
      </c>
      <c r="I63" s="8">
        <f t="shared" si="0"/>
        <v>3.9353509635835116E-2</v>
      </c>
      <c r="J63" s="9">
        <v>9.1999999999999993</v>
      </c>
      <c r="K63" s="9">
        <v>4.3051581787563498</v>
      </c>
    </row>
    <row r="64" spans="1:11" ht="12.75" customHeight="1">
      <c r="A64" s="1">
        <v>46176</v>
      </c>
      <c r="B64" s="2">
        <v>15</v>
      </c>
      <c r="C64" s="7">
        <v>-4.1956327365407899</v>
      </c>
      <c r="D64" s="7">
        <v>-4.0301629999999999</v>
      </c>
      <c r="E64" s="7">
        <v>0.482973720459207</v>
      </c>
      <c r="F64" s="7">
        <f t="shared" si="1"/>
        <v>4.1956327365407899</v>
      </c>
      <c r="G64" s="7">
        <f t="shared" si="2"/>
        <v>4.0301629999999999</v>
      </c>
      <c r="H64" s="7">
        <f t="shared" si="3"/>
        <v>0.16546973654079</v>
      </c>
      <c r="I64" s="8">
        <f t="shared" si="0"/>
        <v>4.1057827323805515E-2</v>
      </c>
      <c r="J64" s="9">
        <v>13.96</v>
      </c>
      <c r="K64" s="9">
        <v>6.7423131376105303</v>
      </c>
    </row>
    <row r="65" spans="1:11" ht="12.75" customHeight="1">
      <c r="A65" s="1">
        <v>46176</v>
      </c>
      <c r="B65" s="2">
        <v>16</v>
      </c>
      <c r="C65" s="7">
        <v>-4.4232097410553797</v>
      </c>
      <c r="D65" s="7">
        <v>-3.8561200000000002</v>
      </c>
      <c r="E65" s="7">
        <v>-0.12776444805537901</v>
      </c>
      <c r="F65" s="7">
        <f t="shared" si="1"/>
        <v>4.4232097410553797</v>
      </c>
      <c r="G65" s="7">
        <f t="shared" si="2"/>
        <v>3.8561200000000002</v>
      </c>
      <c r="H65" s="7">
        <f t="shared" si="3"/>
        <v>0.56708974105537946</v>
      </c>
      <c r="I65" s="8">
        <f t="shared" si="0"/>
        <v>0.14706226493350297</v>
      </c>
      <c r="J65" s="9">
        <v>45.08</v>
      </c>
      <c r="K65" s="9">
        <v>-5.7596213183364799</v>
      </c>
    </row>
    <row r="66" spans="1:11" ht="12.75" customHeight="1">
      <c r="A66" s="1">
        <v>46176</v>
      </c>
      <c r="B66" s="2">
        <v>17</v>
      </c>
      <c r="C66" s="7">
        <v>-4.5079064327360996</v>
      </c>
      <c r="D66" s="7">
        <v>-3.0868370000000001</v>
      </c>
      <c r="E66" s="7">
        <v>-1.2394112427360999</v>
      </c>
      <c r="F66" s="7">
        <f t="shared" ref="F66:F129" si="4">ABS(C66)</f>
        <v>4.5079064327360996</v>
      </c>
      <c r="G66" s="7">
        <f t="shared" ref="G66:G129" si="5">ABS(D66)</f>
        <v>3.0868370000000001</v>
      </c>
      <c r="H66" s="7">
        <f t="shared" ref="H66:H129" si="6">ABS(G66-F66)</f>
        <v>1.4210694327360995</v>
      </c>
      <c r="I66" s="8">
        <f t="shared" ref="I66:I129" si="7">H66/G66</f>
        <v>0.46036426048285006</v>
      </c>
      <c r="J66" s="9">
        <v>62.16</v>
      </c>
      <c r="K66" s="9">
        <v>-77.041802848475896</v>
      </c>
    </row>
    <row r="67" spans="1:11" ht="12.75" customHeight="1">
      <c r="A67" s="1">
        <v>46176</v>
      </c>
      <c r="B67" s="2">
        <v>18</v>
      </c>
      <c r="C67" s="7">
        <v>-4.7488461893552101</v>
      </c>
      <c r="D67" s="7">
        <v>-3.7008399999999999</v>
      </c>
      <c r="E67" s="7">
        <v>-0.89200478435520802</v>
      </c>
      <c r="F67" s="7">
        <f t="shared" si="4"/>
        <v>4.7488461893552101</v>
      </c>
      <c r="G67" s="7">
        <f t="shared" si="5"/>
        <v>3.7008399999999999</v>
      </c>
      <c r="H67" s="7">
        <f t="shared" si="6"/>
        <v>1.0480061893552102</v>
      </c>
      <c r="I67" s="8">
        <f t="shared" si="7"/>
        <v>0.2831806263862286</v>
      </c>
      <c r="J67" s="9">
        <v>104.11</v>
      </c>
      <c r="K67" s="9">
        <v>-92.866618099220702</v>
      </c>
    </row>
    <row r="68" spans="1:11" ht="12.75" customHeight="1">
      <c r="A68" s="1">
        <v>46176</v>
      </c>
      <c r="B68" s="2">
        <v>19</v>
      </c>
      <c r="C68" s="7">
        <v>-4.8864327295185399</v>
      </c>
      <c r="D68" s="7">
        <v>-4.3310180000000003</v>
      </c>
      <c r="E68" s="7">
        <v>-0.51743130051854402</v>
      </c>
      <c r="F68" s="7">
        <f t="shared" si="4"/>
        <v>4.8864327295185399</v>
      </c>
      <c r="G68" s="7">
        <f t="shared" si="5"/>
        <v>4.3310180000000003</v>
      </c>
      <c r="H68" s="7">
        <f t="shared" si="6"/>
        <v>0.55541472951853965</v>
      </c>
      <c r="I68" s="8">
        <f t="shared" si="7"/>
        <v>0.12824115012187426</v>
      </c>
      <c r="J68" s="9">
        <v>79.53</v>
      </c>
      <c r="K68" s="9">
        <v>-41.1513113302398</v>
      </c>
    </row>
    <row r="69" spans="1:11" ht="12.75" customHeight="1">
      <c r="A69" s="1">
        <v>46176</v>
      </c>
      <c r="B69" s="2">
        <v>20</v>
      </c>
      <c r="C69" s="7">
        <v>-5.3474351845163604</v>
      </c>
      <c r="D69" s="7">
        <v>-5.0685979999999997</v>
      </c>
      <c r="E69" s="7">
        <v>-0.27355637051635601</v>
      </c>
      <c r="F69" s="7">
        <f t="shared" si="4"/>
        <v>5.3474351845163604</v>
      </c>
      <c r="G69" s="7">
        <f t="shared" si="5"/>
        <v>5.0685979999999997</v>
      </c>
      <c r="H69" s="7">
        <f t="shared" si="6"/>
        <v>0.27883718451636064</v>
      </c>
      <c r="I69" s="8">
        <f t="shared" si="7"/>
        <v>5.5012684871903562E-2</v>
      </c>
      <c r="J69" s="9">
        <v>120.35</v>
      </c>
      <c r="K69" s="9">
        <v>-32.922509191643499</v>
      </c>
    </row>
    <row r="70" spans="1:11" ht="12.75" customHeight="1">
      <c r="A70" s="1">
        <v>46176</v>
      </c>
      <c r="B70" s="2">
        <v>21</v>
      </c>
      <c r="C70" s="7">
        <v>-5.8457825451010503</v>
      </c>
      <c r="D70" s="7">
        <v>-5.3468080000000002</v>
      </c>
      <c r="E70" s="7">
        <v>-0.49897454510105299</v>
      </c>
      <c r="F70" s="7">
        <f t="shared" si="4"/>
        <v>5.8457825451010503</v>
      </c>
      <c r="G70" s="7">
        <f t="shared" si="5"/>
        <v>5.3468080000000002</v>
      </c>
      <c r="H70" s="7">
        <f t="shared" si="6"/>
        <v>0.4989745451010501</v>
      </c>
      <c r="I70" s="8">
        <f t="shared" si="7"/>
        <v>9.3321949301536561E-2</v>
      </c>
      <c r="J70" s="9">
        <v>164.67</v>
      </c>
      <c r="K70" s="9">
        <v>-82.166138341790401</v>
      </c>
    </row>
    <row r="71" spans="1:11" ht="12.75" customHeight="1">
      <c r="A71" s="1">
        <v>46176</v>
      </c>
      <c r="B71" s="2">
        <v>22</v>
      </c>
      <c r="C71" s="7">
        <v>-5.7358357980210997</v>
      </c>
      <c r="D71" s="7">
        <v>-5.1203580000000004</v>
      </c>
      <c r="E71" s="7">
        <v>-0.61547779802109603</v>
      </c>
      <c r="F71" s="7">
        <f t="shared" si="4"/>
        <v>5.7358357980210997</v>
      </c>
      <c r="G71" s="7">
        <f t="shared" si="5"/>
        <v>5.1203580000000004</v>
      </c>
      <c r="H71" s="7">
        <f t="shared" si="6"/>
        <v>0.61547779802109925</v>
      </c>
      <c r="I71" s="8">
        <f t="shared" si="7"/>
        <v>0.12020210266959834</v>
      </c>
      <c r="J71" s="9">
        <v>15.7</v>
      </c>
      <c r="K71" s="9">
        <v>-9.6630014289312101</v>
      </c>
    </row>
    <row r="72" spans="1:11" ht="12.75" customHeight="1">
      <c r="A72" s="1">
        <v>46176</v>
      </c>
      <c r="B72" s="2">
        <v>23</v>
      </c>
      <c r="C72" s="7">
        <v>-4.8850176168709396</v>
      </c>
      <c r="D72" s="7">
        <v>-4.514119</v>
      </c>
      <c r="E72" s="7">
        <v>-0.370898616870942</v>
      </c>
      <c r="F72" s="7">
        <f t="shared" si="4"/>
        <v>4.8850176168709396</v>
      </c>
      <c r="G72" s="7">
        <f t="shared" si="5"/>
        <v>4.514119</v>
      </c>
      <c r="H72" s="7">
        <f t="shared" si="6"/>
        <v>0.37089861687093961</v>
      </c>
      <c r="I72" s="8">
        <f t="shared" si="7"/>
        <v>8.2164120367881219E-2</v>
      </c>
      <c r="J72" s="9">
        <v>10.17</v>
      </c>
      <c r="K72" s="9">
        <v>-3.77203893357748</v>
      </c>
    </row>
    <row r="73" spans="1:11" ht="12.75" customHeight="1">
      <c r="A73" s="1">
        <v>46176</v>
      </c>
      <c r="B73" s="2">
        <v>24</v>
      </c>
      <c r="C73" s="7">
        <v>-4.1836881966799897</v>
      </c>
      <c r="D73" s="7">
        <v>-3.9939309999999999</v>
      </c>
      <c r="E73" s="7">
        <v>-0.189757196679993</v>
      </c>
      <c r="F73" s="7">
        <f t="shared" si="4"/>
        <v>4.1836881966799897</v>
      </c>
      <c r="G73" s="7">
        <f t="shared" si="5"/>
        <v>3.9939309999999999</v>
      </c>
      <c r="H73" s="7">
        <f t="shared" si="6"/>
        <v>0.1897571966799898</v>
      </c>
      <c r="I73" s="8">
        <f t="shared" si="7"/>
        <v>4.7511385820133048E-2</v>
      </c>
      <c r="J73" s="9">
        <v>12.07</v>
      </c>
      <c r="K73" s="9">
        <v>-2.29036936392751</v>
      </c>
    </row>
    <row r="74" spans="1:11" ht="12.75" customHeight="1">
      <c r="A74" s="1">
        <v>46177</v>
      </c>
      <c r="B74" s="2">
        <v>1</v>
      </c>
      <c r="C74" s="7">
        <v>-3.5770550485590502</v>
      </c>
      <c r="D74" s="7">
        <v>-3.2265890000000002</v>
      </c>
      <c r="E74" s="7">
        <v>-0.35046604855904601</v>
      </c>
      <c r="F74" s="7">
        <f t="shared" si="4"/>
        <v>3.5770550485590502</v>
      </c>
      <c r="G74" s="7">
        <f t="shared" si="5"/>
        <v>3.2265890000000002</v>
      </c>
      <c r="H74" s="7">
        <f t="shared" si="6"/>
        <v>0.35046604855905006</v>
      </c>
      <c r="I74" s="8">
        <f t="shared" si="7"/>
        <v>0.10861812538226903</v>
      </c>
      <c r="J74" s="9">
        <v>23.67</v>
      </c>
      <c r="K74" s="9">
        <v>-8.2955313693926094</v>
      </c>
    </row>
    <row r="75" spans="1:11" ht="12.75" customHeight="1">
      <c r="A75" s="1">
        <v>46177</v>
      </c>
      <c r="B75" s="2">
        <v>2</v>
      </c>
      <c r="C75" s="7">
        <v>-3.66887488286973</v>
      </c>
      <c r="D75" s="7">
        <v>-3.189063</v>
      </c>
      <c r="E75" s="7">
        <v>-0.47981188286972998</v>
      </c>
      <c r="F75" s="7">
        <f t="shared" si="4"/>
        <v>3.66887488286973</v>
      </c>
      <c r="G75" s="7">
        <f t="shared" si="5"/>
        <v>3.189063</v>
      </c>
      <c r="H75" s="7">
        <f t="shared" si="6"/>
        <v>0.47981188286972998</v>
      </c>
      <c r="I75" s="8">
        <f t="shared" si="7"/>
        <v>0.15045544188676421</v>
      </c>
      <c r="J75" s="9">
        <v>20.65</v>
      </c>
      <c r="K75" s="9">
        <v>-9.9081153812599094</v>
      </c>
    </row>
    <row r="76" spans="1:11" ht="12.75" customHeight="1">
      <c r="A76" s="1">
        <v>46177</v>
      </c>
      <c r="B76" s="2">
        <v>3</v>
      </c>
      <c r="C76" s="7">
        <v>-3.7381228950182499</v>
      </c>
      <c r="D76" s="7">
        <v>-3.1094819999999999</v>
      </c>
      <c r="E76" s="7">
        <v>-0.62864089501824505</v>
      </c>
      <c r="F76" s="7">
        <f t="shared" si="4"/>
        <v>3.7381228950182499</v>
      </c>
      <c r="G76" s="7">
        <f t="shared" si="5"/>
        <v>3.1094819999999999</v>
      </c>
      <c r="H76" s="7">
        <f t="shared" si="6"/>
        <v>0.62864089501825005</v>
      </c>
      <c r="I76" s="8">
        <f t="shared" si="7"/>
        <v>0.20216900918488998</v>
      </c>
      <c r="J76" s="9">
        <v>15.46</v>
      </c>
      <c r="K76" s="9">
        <v>-9.7187882369820695</v>
      </c>
    </row>
    <row r="77" spans="1:11" ht="12.75" customHeight="1">
      <c r="A77" s="1">
        <v>46177</v>
      </c>
      <c r="B77" s="2">
        <v>4</v>
      </c>
      <c r="C77" s="7">
        <v>-3.8080084420645299</v>
      </c>
      <c r="D77" s="7">
        <v>-3.09266</v>
      </c>
      <c r="E77" s="7">
        <v>-0.71534844206453096</v>
      </c>
      <c r="F77" s="7">
        <f t="shared" si="4"/>
        <v>3.8080084420645299</v>
      </c>
      <c r="G77" s="7">
        <f t="shared" si="5"/>
        <v>3.09266</v>
      </c>
      <c r="H77" s="7">
        <f t="shared" si="6"/>
        <v>0.71534844206452997</v>
      </c>
      <c r="I77" s="8">
        <f t="shared" si="7"/>
        <v>0.23130523305650474</v>
      </c>
      <c r="J77" s="9">
        <v>112.27</v>
      </c>
      <c r="K77" s="9">
        <v>-80.312169590584801</v>
      </c>
    </row>
    <row r="78" spans="1:11" ht="12.75" customHeight="1">
      <c r="A78" s="1">
        <v>46177</v>
      </c>
      <c r="B78" s="2">
        <v>5</v>
      </c>
      <c r="C78" s="7">
        <v>-3.6555520458364601</v>
      </c>
      <c r="D78" s="7">
        <v>-3.0829550000000001</v>
      </c>
      <c r="E78" s="7">
        <v>-0.57259316383646297</v>
      </c>
      <c r="F78" s="7">
        <f t="shared" si="4"/>
        <v>3.6555520458364601</v>
      </c>
      <c r="G78" s="7">
        <f t="shared" si="5"/>
        <v>3.0829550000000001</v>
      </c>
      <c r="H78" s="7">
        <f t="shared" si="6"/>
        <v>0.57259704583645998</v>
      </c>
      <c r="I78" s="8">
        <f t="shared" si="7"/>
        <v>0.18572993956657166</v>
      </c>
      <c r="J78" s="9">
        <v>122.73</v>
      </c>
      <c r="K78" s="9">
        <v>-70.274358997649102</v>
      </c>
    </row>
    <row r="79" spans="1:11" ht="12.75" customHeight="1">
      <c r="A79" s="1">
        <v>46177</v>
      </c>
      <c r="B79" s="2">
        <v>6</v>
      </c>
      <c r="C79" s="7">
        <v>-3.6202013961991102</v>
      </c>
      <c r="D79" s="7">
        <v>-2.8746209999999999</v>
      </c>
      <c r="E79" s="7">
        <v>-0.745003272199113</v>
      </c>
      <c r="F79" s="7">
        <f t="shared" si="4"/>
        <v>3.6202013961991102</v>
      </c>
      <c r="G79" s="7">
        <f t="shared" si="5"/>
        <v>2.8746209999999999</v>
      </c>
      <c r="H79" s="7">
        <f t="shared" si="6"/>
        <v>0.74558039619911032</v>
      </c>
      <c r="I79" s="8">
        <f t="shared" si="7"/>
        <v>0.25936650299260677</v>
      </c>
      <c r="J79" s="9">
        <v>21.33</v>
      </c>
      <c r="K79" s="9">
        <v>-15.8909197960071</v>
      </c>
    </row>
    <row r="80" spans="1:11" ht="12.75" customHeight="1">
      <c r="A80" s="1">
        <v>46177</v>
      </c>
      <c r="B80" s="2">
        <v>7</v>
      </c>
      <c r="C80" s="7">
        <v>-3.56115620169275</v>
      </c>
      <c r="D80" s="7">
        <v>-2.6436419999999998</v>
      </c>
      <c r="E80" s="7">
        <v>-0.90558740369275204</v>
      </c>
      <c r="F80" s="7">
        <f t="shared" si="4"/>
        <v>3.56115620169275</v>
      </c>
      <c r="G80" s="7">
        <f t="shared" si="5"/>
        <v>2.6436419999999998</v>
      </c>
      <c r="H80" s="7">
        <f t="shared" si="6"/>
        <v>0.91751420169275022</v>
      </c>
      <c r="I80" s="8">
        <f t="shared" si="7"/>
        <v>0.3470644670090543</v>
      </c>
      <c r="J80" s="9">
        <v>16.5</v>
      </c>
      <c r="K80" s="9">
        <v>-14.9421921609304</v>
      </c>
    </row>
    <row r="81" spans="1:11" ht="12.75" customHeight="1">
      <c r="A81" s="1">
        <v>46177</v>
      </c>
      <c r="B81" s="2">
        <v>8</v>
      </c>
      <c r="C81" s="7">
        <v>-4.2691853589403301</v>
      </c>
      <c r="D81" s="7">
        <v>-2.799569</v>
      </c>
      <c r="E81" s="7">
        <v>-1.44185100094033</v>
      </c>
      <c r="F81" s="7">
        <f t="shared" si="4"/>
        <v>4.2691853589403301</v>
      </c>
      <c r="G81" s="7">
        <f t="shared" si="5"/>
        <v>2.799569</v>
      </c>
      <c r="H81" s="7">
        <f t="shared" si="6"/>
        <v>1.4696163589403302</v>
      </c>
      <c r="I81" s="8">
        <f t="shared" si="7"/>
        <v>0.52494378918338147</v>
      </c>
      <c r="J81" s="9">
        <v>102.6</v>
      </c>
      <c r="K81" s="9">
        <v>-147.93391269647799</v>
      </c>
    </row>
    <row r="82" spans="1:11" ht="12.75" customHeight="1">
      <c r="A82" s="1">
        <v>46177</v>
      </c>
      <c r="B82" s="2">
        <v>9</v>
      </c>
      <c r="C82" s="7">
        <v>-4.6664408088615303</v>
      </c>
      <c r="D82" s="7">
        <v>-3.5707930000000001</v>
      </c>
      <c r="E82" s="7">
        <v>-1.0568543358615301</v>
      </c>
      <c r="F82" s="7">
        <f t="shared" si="4"/>
        <v>4.6664408088615303</v>
      </c>
      <c r="G82" s="7">
        <f t="shared" si="5"/>
        <v>3.5707930000000001</v>
      </c>
      <c r="H82" s="7">
        <f t="shared" si="6"/>
        <v>1.0956478088615302</v>
      </c>
      <c r="I82" s="8">
        <f t="shared" si="7"/>
        <v>0.30683599101418935</v>
      </c>
      <c r="J82" s="9">
        <v>133.68</v>
      </c>
      <c r="K82" s="9">
        <v>-141.28028761797</v>
      </c>
    </row>
    <row r="83" spans="1:11" ht="12.75" customHeight="1">
      <c r="A83" s="1">
        <v>46177</v>
      </c>
      <c r="B83" s="2">
        <v>10</v>
      </c>
      <c r="C83" s="7">
        <v>-4.2306290721376296</v>
      </c>
      <c r="D83" s="7">
        <v>-3.4096899999999999</v>
      </c>
      <c r="E83" s="7">
        <v>-0.60092801613762903</v>
      </c>
      <c r="F83" s="7">
        <f t="shared" si="4"/>
        <v>4.2306290721376296</v>
      </c>
      <c r="G83" s="7">
        <f t="shared" si="5"/>
        <v>3.4096899999999999</v>
      </c>
      <c r="H83" s="7">
        <f t="shared" si="6"/>
        <v>0.82093907213762973</v>
      </c>
      <c r="I83" s="8">
        <f t="shared" si="7"/>
        <v>0.24076648379695215</v>
      </c>
      <c r="J83" s="9">
        <v>9</v>
      </c>
      <c r="K83" s="9">
        <v>-5.40835214523866</v>
      </c>
    </row>
    <row r="84" spans="1:11" ht="12.75" customHeight="1">
      <c r="A84" s="1">
        <v>46177</v>
      </c>
      <c r="B84" s="2">
        <v>11</v>
      </c>
      <c r="C84" s="7">
        <v>-3.9654512289207702</v>
      </c>
      <c r="D84" s="7">
        <v>-3.2097669999999998</v>
      </c>
      <c r="E84" s="7">
        <v>-0.250295059920767</v>
      </c>
      <c r="F84" s="7">
        <f t="shared" si="4"/>
        <v>3.9654512289207702</v>
      </c>
      <c r="G84" s="7">
        <f t="shared" si="5"/>
        <v>3.2097669999999998</v>
      </c>
      <c r="H84" s="7">
        <f t="shared" si="6"/>
        <v>0.75568422892077036</v>
      </c>
      <c r="I84" s="8">
        <f t="shared" si="7"/>
        <v>0.23543273668174991</v>
      </c>
      <c r="J84" s="9">
        <v>47.98</v>
      </c>
      <c r="K84" s="9">
        <v>-12.009156974998399</v>
      </c>
    </row>
    <row r="85" spans="1:11" ht="12.75" customHeight="1">
      <c r="A85" s="1">
        <v>46177</v>
      </c>
      <c r="B85" s="2">
        <v>12</v>
      </c>
      <c r="C85" s="7">
        <v>-3.84464430532595</v>
      </c>
      <c r="D85" s="7">
        <v>-3.265409</v>
      </c>
      <c r="E85" s="7">
        <v>4.6996641674051501E-2</v>
      </c>
      <c r="F85" s="7">
        <f t="shared" si="4"/>
        <v>3.84464430532595</v>
      </c>
      <c r="G85" s="7">
        <f t="shared" si="5"/>
        <v>3.265409</v>
      </c>
      <c r="H85" s="7">
        <f t="shared" si="6"/>
        <v>0.57923530532595002</v>
      </c>
      <c r="I85" s="8">
        <f t="shared" si="7"/>
        <v>0.17738522351287389</v>
      </c>
      <c r="J85" s="9">
        <v>14.82</v>
      </c>
      <c r="K85" s="9">
        <v>0.69649022960944296</v>
      </c>
    </row>
    <row r="86" spans="1:11" ht="12.75" customHeight="1">
      <c r="A86" s="1">
        <v>46177</v>
      </c>
      <c r="B86" s="2">
        <v>13</v>
      </c>
      <c r="C86" s="7">
        <v>-3.7659611295490101</v>
      </c>
      <c r="D86" s="7">
        <v>-3.5119159999999998</v>
      </c>
      <c r="E86" s="7">
        <v>0.33060800945098601</v>
      </c>
      <c r="F86" s="7">
        <f t="shared" si="4"/>
        <v>3.7659611295490101</v>
      </c>
      <c r="G86" s="7">
        <f t="shared" si="5"/>
        <v>3.5119159999999998</v>
      </c>
      <c r="H86" s="7">
        <f t="shared" si="6"/>
        <v>0.25404512954901026</v>
      </c>
      <c r="I86" s="8">
        <f t="shared" si="7"/>
        <v>7.2338042694930715E-2</v>
      </c>
      <c r="J86" s="9">
        <v>7.46</v>
      </c>
      <c r="K86" s="9">
        <v>2.4663357505043599</v>
      </c>
    </row>
    <row r="87" spans="1:11" ht="12.75" customHeight="1">
      <c r="A87" s="1">
        <v>46177</v>
      </c>
      <c r="B87" s="2">
        <v>14</v>
      </c>
      <c r="C87" s="7">
        <v>-4.10526949795661</v>
      </c>
      <c r="D87" s="7">
        <v>-3.871648</v>
      </c>
      <c r="E87" s="7">
        <v>0.21925650404339</v>
      </c>
      <c r="F87" s="7">
        <f t="shared" si="4"/>
        <v>4.10526949795661</v>
      </c>
      <c r="G87" s="7">
        <f t="shared" si="5"/>
        <v>3.871648</v>
      </c>
      <c r="H87" s="7">
        <f t="shared" si="6"/>
        <v>0.23362149795661002</v>
      </c>
      <c r="I87" s="8">
        <f t="shared" si="7"/>
        <v>6.0341616272091378E-2</v>
      </c>
      <c r="J87" s="9">
        <v>2.85</v>
      </c>
      <c r="K87" s="9">
        <v>0.624881036523661</v>
      </c>
    </row>
    <row r="88" spans="1:11" ht="12.75" customHeight="1">
      <c r="A88" s="1">
        <v>46177</v>
      </c>
      <c r="B88" s="2">
        <v>15</v>
      </c>
      <c r="C88" s="7">
        <v>-4.3961898468524998</v>
      </c>
      <c r="D88" s="7">
        <v>-3.5306790000000001</v>
      </c>
      <c r="E88" s="7">
        <v>-0.46132865285249902</v>
      </c>
      <c r="F88" s="7">
        <f t="shared" si="4"/>
        <v>4.3961898468524998</v>
      </c>
      <c r="G88" s="7">
        <f t="shared" si="5"/>
        <v>3.5306790000000001</v>
      </c>
      <c r="H88" s="7">
        <f t="shared" si="6"/>
        <v>0.86551084685249968</v>
      </c>
      <c r="I88" s="8">
        <f t="shared" si="7"/>
        <v>0.24514005573786221</v>
      </c>
      <c r="J88" s="9">
        <v>1.02</v>
      </c>
      <c r="K88" s="9">
        <v>-0.47055522590954901</v>
      </c>
    </row>
    <row r="89" spans="1:11" ht="12.75" customHeight="1">
      <c r="A89" s="1">
        <v>46177</v>
      </c>
      <c r="B89" s="2">
        <v>16</v>
      </c>
      <c r="C89" s="7">
        <v>-4.1471432893218498</v>
      </c>
      <c r="D89" s="7">
        <v>-3.3579300000000001</v>
      </c>
      <c r="E89" s="7">
        <v>-0.44669666532184799</v>
      </c>
      <c r="F89" s="7">
        <f t="shared" si="4"/>
        <v>4.1471432893218498</v>
      </c>
      <c r="G89" s="7">
        <f t="shared" si="5"/>
        <v>3.3579300000000001</v>
      </c>
      <c r="H89" s="7">
        <f t="shared" si="6"/>
        <v>0.78921328932184975</v>
      </c>
      <c r="I89" s="8">
        <f t="shared" si="7"/>
        <v>0.23502970262091519</v>
      </c>
      <c r="J89" s="9">
        <v>23.04</v>
      </c>
      <c r="K89" s="9">
        <v>-10.2918911690154</v>
      </c>
    </row>
    <row r="90" spans="1:11" ht="12.75" customHeight="1">
      <c r="A90" s="1">
        <v>46177</v>
      </c>
      <c r="B90" s="2">
        <v>17</v>
      </c>
      <c r="C90" s="7">
        <v>-4.2072913155476002</v>
      </c>
      <c r="D90" s="7">
        <v>-3.773304</v>
      </c>
      <c r="E90" s="7">
        <v>-0.133088966547598</v>
      </c>
      <c r="F90" s="7">
        <f t="shared" si="4"/>
        <v>4.2072913155476002</v>
      </c>
      <c r="G90" s="7">
        <f t="shared" si="5"/>
        <v>3.773304</v>
      </c>
      <c r="H90" s="7">
        <f t="shared" si="6"/>
        <v>0.43398731554760017</v>
      </c>
      <c r="I90" s="8">
        <f t="shared" si="7"/>
        <v>0.11501520035162822</v>
      </c>
      <c r="J90" s="9">
        <v>108</v>
      </c>
      <c r="K90" s="9">
        <v>-14.3736083871406</v>
      </c>
    </row>
    <row r="91" spans="1:11" ht="12.75" customHeight="1">
      <c r="A91" s="1">
        <v>46177</v>
      </c>
      <c r="B91" s="2">
        <v>18</v>
      </c>
      <c r="C91" s="7">
        <v>-4.6387478161783804</v>
      </c>
      <c r="D91" s="7">
        <v>-4.062513</v>
      </c>
      <c r="E91" s="7">
        <v>-0.479798172178375</v>
      </c>
      <c r="F91" s="7">
        <f t="shared" si="4"/>
        <v>4.6387478161783804</v>
      </c>
      <c r="G91" s="7">
        <f t="shared" si="5"/>
        <v>4.062513</v>
      </c>
      <c r="H91" s="7">
        <f t="shared" si="6"/>
        <v>0.57623481617838035</v>
      </c>
      <c r="I91" s="8">
        <f t="shared" si="7"/>
        <v>0.1418419623957832</v>
      </c>
      <c r="J91" s="9">
        <v>100.93</v>
      </c>
      <c r="K91" s="9">
        <v>-48.4260295179634</v>
      </c>
    </row>
    <row r="92" spans="1:11" ht="12.75" customHeight="1">
      <c r="A92" s="1">
        <v>46177</v>
      </c>
      <c r="B92" s="2">
        <v>19</v>
      </c>
      <c r="C92" s="7">
        <v>-4.8908973235784403</v>
      </c>
      <c r="D92" s="7">
        <v>-4.2876690000000002</v>
      </c>
      <c r="E92" s="7">
        <v>-0.59818495857844101</v>
      </c>
      <c r="F92" s="7">
        <f t="shared" si="4"/>
        <v>4.8908973235784403</v>
      </c>
      <c r="G92" s="7">
        <f t="shared" si="5"/>
        <v>4.2876690000000002</v>
      </c>
      <c r="H92" s="7">
        <f t="shared" si="6"/>
        <v>0.60322832357844014</v>
      </c>
      <c r="I92" s="8">
        <f t="shared" si="7"/>
        <v>0.14068910719984218</v>
      </c>
      <c r="J92" s="9">
        <v>172.85</v>
      </c>
      <c r="K92" s="9">
        <v>-103.39627009028401</v>
      </c>
    </row>
    <row r="93" spans="1:11" ht="12.75" customHeight="1">
      <c r="A93" s="1">
        <v>46177</v>
      </c>
      <c r="B93" s="2">
        <v>20</v>
      </c>
      <c r="C93" s="7">
        <v>-5.4451798856413998</v>
      </c>
      <c r="D93" s="7">
        <v>-5.0905959999999997</v>
      </c>
      <c r="E93" s="7">
        <v>-0.35454506564140198</v>
      </c>
      <c r="F93" s="7">
        <f t="shared" si="4"/>
        <v>5.4451798856413998</v>
      </c>
      <c r="G93" s="7">
        <f t="shared" si="5"/>
        <v>5.0905959999999997</v>
      </c>
      <c r="H93" s="7">
        <f t="shared" si="6"/>
        <v>0.35458388564140009</v>
      </c>
      <c r="I93" s="8">
        <f t="shared" si="7"/>
        <v>6.9654689871559261E-2</v>
      </c>
      <c r="J93" s="9">
        <v>129.47</v>
      </c>
      <c r="K93" s="9">
        <v>-45.902949648592397</v>
      </c>
    </row>
    <row r="94" spans="1:11" ht="12.75" customHeight="1">
      <c r="A94" s="1">
        <v>46177</v>
      </c>
      <c r="B94" s="2">
        <v>21</v>
      </c>
      <c r="C94" s="7">
        <v>-5.9144102566293304</v>
      </c>
      <c r="D94" s="7">
        <v>-5.3532780000000004</v>
      </c>
      <c r="E94" s="7">
        <v>-0.56113225662933297</v>
      </c>
      <c r="F94" s="7">
        <f t="shared" si="4"/>
        <v>5.9144102566293304</v>
      </c>
      <c r="G94" s="7">
        <f t="shared" si="5"/>
        <v>5.3532780000000004</v>
      </c>
      <c r="H94" s="7">
        <f t="shared" si="6"/>
        <v>0.56113225662932997</v>
      </c>
      <c r="I94" s="8">
        <f t="shared" si="7"/>
        <v>0.10482030946820432</v>
      </c>
      <c r="J94" s="9">
        <v>16.11</v>
      </c>
      <c r="K94" s="9">
        <v>-9.0398406542985601</v>
      </c>
    </row>
    <row r="95" spans="1:11" ht="12.75" customHeight="1">
      <c r="A95" s="1">
        <v>46177</v>
      </c>
      <c r="B95" s="2">
        <v>22</v>
      </c>
      <c r="C95" s="7">
        <v>-5.71842863740408</v>
      </c>
      <c r="D95" s="7">
        <v>-5.2199960000000001</v>
      </c>
      <c r="E95" s="7">
        <v>-0.498432637404084</v>
      </c>
      <c r="F95" s="7">
        <f t="shared" si="4"/>
        <v>5.71842863740408</v>
      </c>
      <c r="G95" s="7">
        <f t="shared" si="5"/>
        <v>5.2199960000000001</v>
      </c>
      <c r="H95" s="7">
        <f t="shared" si="6"/>
        <v>0.49843263740407995</v>
      </c>
      <c r="I95" s="8">
        <f t="shared" si="7"/>
        <v>9.5485252748101712E-2</v>
      </c>
      <c r="J95" s="9">
        <v>29.16</v>
      </c>
      <c r="K95" s="9">
        <v>-14.5342957067031</v>
      </c>
    </row>
    <row r="96" spans="1:11" ht="12.75" customHeight="1">
      <c r="A96" s="1">
        <v>46177</v>
      </c>
      <c r="B96" s="2">
        <v>23</v>
      </c>
      <c r="C96" s="7">
        <v>-4.9509447151529598</v>
      </c>
      <c r="D96" s="7">
        <v>-4.415775</v>
      </c>
      <c r="E96" s="7">
        <v>-0.53516971515295597</v>
      </c>
      <c r="F96" s="7">
        <f t="shared" si="4"/>
        <v>4.9509447151529598</v>
      </c>
      <c r="G96" s="7">
        <f t="shared" si="5"/>
        <v>4.415775</v>
      </c>
      <c r="H96" s="7">
        <f t="shared" si="6"/>
        <v>0.53516971515295975</v>
      </c>
      <c r="I96" s="8">
        <f t="shared" si="7"/>
        <v>0.12119496920766111</v>
      </c>
      <c r="J96" s="9">
        <v>45.17</v>
      </c>
      <c r="K96" s="9">
        <v>-24.173616033458998</v>
      </c>
    </row>
    <row r="97" spans="1:11" ht="12.75" customHeight="1">
      <c r="A97" s="1">
        <v>46177</v>
      </c>
      <c r="B97" s="2">
        <v>24</v>
      </c>
      <c r="C97" s="7">
        <v>-4.23830419416658</v>
      </c>
      <c r="D97" s="7">
        <v>-3.9693450000000001</v>
      </c>
      <c r="E97" s="7">
        <v>-0.26895919416658298</v>
      </c>
      <c r="F97" s="7">
        <f t="shared" si="4"/>
        <v>4.23830419416658</v>
      </c>
      <c r="G97" s="7">
        <f t="shared" si="5"/>
        <v>3.9693450000000001</v>
      </c>
      <c r="H97" s="7">
        <f t="shared" si="6"/>
        <v>0.26895919416657987</v>
      </c>
      <c r="I97" s="8">
        <f t="shared" si="7"/>
        <v>6.7759087246530569E-2</v>
      </c>
      <c r="J97" s="9">
        <v>133.34</v>
      </c>
      <c r="K97" s="9">
        <v>-35.863018950172197</v>
      </c>
    </row>
    <row r="98" spans="1:11" ht="12.75" customHeight="1">
      <c r="A98" s="1">
        <v>46178</v>
      </c>
      <c r="B98" s="2">
        <v>1</v>
      </c>
      <c r="C98" s="7">
        <v>-3.9680462462902599</v>
      </c>
      <c r="D98" s="7">
        <v>-3.3559890000000001</v>
      </c>
      <c r="E98" s="7">
        <v>-0.61205724629026104</v>
      </c>
      <c r="F98" s="7">
        <f t="shared" si="4"/>
        <v>3.9680462462902599</v>
      </c>
      <c r="G98" s="7">
        <f t="shared" si="5"/>
        <v>3.3559890000000001</v>
      </c>
      <c r="H98" s="7">
        <f t="shared" si="6"/>
        <v>0.61205724629025982</v>
      </c>
      <c r="I98" s="8">
        <f t="shared" si="7"/>
        <v>0.18237760799879255</v>
      </c>
      <c r="J98" s="9">
        <v>19.510000000000002</v>
      </c>
      <c r="K98" s="9">
        <v>-11.941236875123</v>
      </c>
    </row>
    <row r="99" spans="1:11" ht="12.75" customHeight="1">
      <c r="A99" s="1">
        <v>46178</v>
      </c>
      <c r="B99" s="2">
        <v>2</v>
      </c>
      <c r="C99" s="7">
        <v>-3.8215518074242198</v>
      </c>
      <c r="D99" s="7">
        <v>-3.276408</v>
      </c>
      <c r="E99" s="7">
        <v>-0.54514380742421698</v>
      </c>
      <c r="F99" s="7">
        <f t="shared" si="4"/>
        <v>3.8215518074242198</v>
      </c>
      <c r="G99" s="7">
        <f t="shared" si="5"/>
        <v>3.276408</v>
      </c>
      <c r="H99" s="7">
        <f t="shared" si="6"/>
        <v>0.54514380742421986</v>
      </c>
      <c r="I99" s="8">
        <f t="shared" si="7"/>
        <v>0.16638459173101147</v>
      </c>
      <c r="J99" s="9">
        <v>69.63</v>
      </c>
      <c r="K99" s="9">
        <v>-37.958363310948201</v>
      </c>
    </row>
    <row r="100" spans="1:11" ht="12.75" customHeight="1">
      <c r="A100" s="1">
        <v>46178</v>
      </c>
      <c r="B100" s="2">
        <v>3</v>
      </c>
      <c r="C100" s="7">
        <v>-3.6529641586670198</v>
      </c>
      <c r="D100" s="7">
        <v>-3.1638299999999999</v>
      </c>
      <c r="E100" s="7">
        <v>-0.48913415866701598</v>
      </c>
      <c r="F100" s="7">
        <f t="shared" si="4"/>
        <v>3.6529641586670198</v>
      </c>
      <c r="G100" s="7">
        <f t="shared" si="5"/>
        <v>3.1638299999999999</v>
      </c>
      <c r="H100" s="7">
        <f t="shared" si="6"/>
        <v>0.48913415866701992</v>
      </c>
      <c r="I100" s="8">
        <f t="shared" si="7"/>
        <v>0.15460190928938025</v>
      </c>
      <c r="J100" s="9">
        <v>15.1</v>
      </c>
      <c r="K100" s="9">
        <v>-7.3859257958719402</v>
      </c>
    </row>
    <row r="101" spans="1:11" ht="12.75" customHeight="1">
      <c r="A101" s="1">
        <v>46178</v>
      </c>
      <c r="B101" s="2">
        <v>4</v>
      </c>
      <c r="C101" s="7">
        <v>-3.5935219053288199</v>
      </c>
      <c r="D101" s="7">
        <v>-3.1968269999999999</v>
      </c>
      <c r="E101" s="7">
        <v>-0.39669490532881702</v>
      </c>
      <c r="F101" s="7">
        <f t="shared" si="4"/>
        <v>3.5935219053288199</v>
      </c>
      <c r="G101" s="7">
        <f t="shared" si="5"/>
        <v>3.1968269999999999</v>
      </c>
      <c r="H101" s="7">
        <f t="shared" si="6"/>
        <v>0.39669490532882001</v>
      </c>
      <c r="I101" s="8">
        <f t="shared" si="7"/>
        <v>0.12409020110528972</v>
      </c>
      <c r="J101" s="9">
        <v>1.4</v>
      </c>
      <c r="K101" s="9">
        <v>-0.55537286746034298</v>
      </c>
    </row>
    <row r="102" spans="1:11" ht="12.75" customHeight="1">
      <c r="A102" s="1">
        <v>46178</v>
      </c>
      <c r="B102" s="2">
        <v>5</v>
      </c>
      <c r="C102" s="7">
        <v>-3.5528295568533599</v>
      </c>
      <c r="D102" s="7">
        <v>-3.1204809999999998</v>
      </c>
      <c r="E102" s="7">
        <v>-0.43232914685335699</v>
      </c>
      <c r="F102" s="7">
        <f t="shared" si="4"/>
        <v>3.5528295568533599</v>
      </c>
      <c r="G102" s="7">
        <f t="shared" si="5"/>
        <v>3.1204809999999998</v>
      </c>
      <c r="H102" s="7">
        <f t="shared" si="6"/>
        <v>0.43234855685336004</v>
      </c>
      <c r="I102" s="8">
        <f t="shared" si="7"/>
        <v>0.13855189531785647</v>
      </c>
      <c r="J102" s="9">
        <v>10.06</v>
      </c>
      <c r="K102" s="9">
        <v>-4.3492312173447703</v>
      </c>
    </row>
    <row r="103" spans="1:11" ht="12.75" customHeight="1">
      <c r="A103" s="1">
        <v>46178</v>
      </c>
      <c r="B103" s="2">
        <v>6</v>
      </c>
      <c r="C103" s="7">
        <v>-3.2712851619921199</v>
      </c>
      <c r="D103" s="7">
        <v>-2.9296160000000002</v>
      </c>
      <c r="E103" s="7">
        <v>-0.32819008159212099</v>
      </c>
      <c r="F103" s="7">
        <f t="shared" si="4"/>
        <v>3.2712851619921199</v>
      </c>
      <c r="G103" s="7">
        <f t="shared" si="5"/>
        <v>2.9296160000000002</v>
      </c>
      <c r="H103" s="7">
        <f t="shared" si="6"/>
        <v>0.34166916199211972</v>
      </c>
      <c r="I103" s="8">
        <f t="shared" si="7"/>
        <v>0.11662592025443597</v>
      </c>
      <c r="J103" s="9">
        <v>19.43</v>
      </c>
      <c r="K103" s="9">
        <v>-6.3767332853349101</v>
      </c>
    </row>
    <row r="104" spans="1:11" ht="12.75" customHeight="1">
      <c r="A104" s="1">
        <v>46178</v>
      </c>
      <c r="B104" s="2">
        <v>7</v>
      </c>
      <c r="C104" s="7">
        <v>-2.7855038992268302</v>
      </c>
      <c r="D104" s="7">
        <v>-2.6947549999999998</v>
      </c>
      <c r="E104" s="7">
        <v>1.91195941731723E-2</v>
      </c>
      <c r="F104" s="7">
        <f t="shared" si="4"/>
        <v>2.7855038992268302</v>
      </c>
      <c r="G104" s="7">
        <f t="shared" si="5"/>
        <v>2.6947549999999998</v>
      </c>
      <c r="H104" s="7">
        <f t="shared" si="6"/>
        <v>9.0748899226830382E-2</v>
      </c>
      <c r="I104" s="8">
        <f t="shared" si="7"/>
        <v>3.3676122403272425E-2</v>
      </c>
      <c r="J104" s="9">
        <v>3.54</v>
      </c>
      <c r="K104" s="9">
        <v>6.7683363373030006E-2</v>
      </c>
    </row>
    <row r="105" spans="1:11" ht="12.75" customHeight="1">
      <c r="A105" s="1">
        <v>46178</v>
      </c>
      <c r="B105" s="2">
        <v>8</v>
      </c>
      <c r="C105" s="7">
        <v>-2.8168828720342001</v>
      </c>
      <c r="D105" s="7">
        <v>-3.5552649999999999</v>
      </c>
      <c r="E105" s="7">
        <v>1.1120932099658001</v>
      </c>
      <c r="F105" s="7">
        <f t="shared" si="4"/>
        <v>2.8168828720342001</v>
      </c>
      <c r="G105" s="7">
        <f t="shared" si="5"/>
        <v>3.5552649999999999</v>
      </c>
      <c r="H105" s="7">
        <f t="shared" si="6"/>
        <v>0.73838212796579983</v>
      </c>
      <c r="I105" s="8">
        <f t="shared" si="7"/>
        <v>0.20768694540795127</v>
      </c>
      <c r="J105" s="9">
        <v>2.63</v>
      </c>
      <c r="K105" s="9">
        <v>2.9248051422100501</v>
      </c>
    </row>
    <row r="106" spans="1:11" ht="12.75" customHeight="1">
      <c r="A106" s="1">
        <v>46178</v>
      </c>
      <c r="B106" s="2">
        <v>9</v>
      </c>
      <c r="C106" s="7">
        <v>-3.36943540369001</v>
      </c>
      <c r="D106" s="7">
        <v>-2.9871989999999999</v>
      </c>
      <c r="E106" s="7">
        <v>7.5157658309986705E-2</v>
      </c>
      <c r="F106" s="7">
        <f t="shared" si="4"/>
        <v>3.36943540369001</v>
      </c>
      <c r="G106" s="7">
        <f t="shared" si="5"/>
        <v>2.9871989999999999</v>
      </c>
      <c r="H106" s="7">
        <f t="shared" si="6"/>
        <v>0.38223640369001011</v>
      </c>
      <c r="I106" s="8">
        <f t="shared" si="7"/>
        <v>0.12795813191220609</v>
      </c>
      <c r="J106" s="9">
        <v>27.2</v>
      </c>
      <c r="K106" s="9">
        <v>2.0442883060316399</v>
      </c>
    </row>
    <row r="107" spans="1:11" ht="12.75" customHeight="1">
      <c r="A107" s="1">
        <v>46178</v>
      </c>
      <c r="B107" s="2">
        <v>10</v>
      </c>
      <c r="C107" s="7">
        <v>-3.6385882846834701</v>
      </c>
      <c r="D107" s="7">
        <v>-2.9774940000000001</v>
      </c>
      <c r="E107" s="7">
        <v>-6.1435921683470902E-2</v>
      </c>
      <c r="F107" s="7">
        <f t="shared" si="4"/>
        <v>3.6385882846834701</v>
      </c>
      <c r="G107" s="7">
        <f t="shared" si="5"/>
        <v>2.9774940000000001</v>
      </c>
      <c r="H107" s="7">
        <f t="shared" si="6"/>
        <v>0.66109428468346998</v>
      </c>
      <c r="I107" s="8">
        <f t="shared" si="7"/>
        <v>0.22203043387609511</v>
      </c>
      <c r="J107" s="9">
        <v>5.7</v>
      </c>
      <c r="K107" s="9">
        <v>-0.35018475359578399</v>
      </c>
    </row>
    <row r="108" spans="1:11" ht="12.75" customHeight="1">
      <c r="A108" s="1">
        <v>46178</v>
      </c>
      <c r="B108" s="2">
        <v>11</v>
      </c>
      <c r="C108" s="7">
        <v>-3.6541103354103099</v>
      </c>
      <c r="D108" s="7">
        <v>-2.9134410000000002</v>
      </c>
      <c r="E108" s="7">
        <v>2.46197335896867E-2</v>
      </c>
      <c r="F108" s="7">
        <f t="shared" si="4"/>
        <v>3.6541103354103099</v>
      </c>
      <c r="G108" s="7">
        <f t="shared" si="5"/>
        <v>2.9134410000000002</v>
      </c>
      <c r="H108" s="7">
        <f t="shared" si="6"/>
        <v>0.74066933541030977</v>
      </c>
      <c r="I108" s="8">
        <f t="shared" si="7"/>
        <v>0.25422493038654626</v>
      </c>
      <c r="J108" s="9">
        <v>60.86</v>
      </c>
      <c r="K108" s="9">
        <v>1.4983569862683299</v>
      </c>
    </row>
    <row r="109" spans="1:11" ht="12.75" customHeight="1">
      <c r="A109" s="1">
        <v>46178</v>
      </c>
      <c r="B109" s="2">
        <v>12</v>
      </c>
      <c r="C109" s="7">
        <v>-3.7077872122364299</v>
      </c>
      <c r="D109" s="7">
        <v>-3.5902029999999998</v>
      </c>
      <c r="E109" s="7">
        <v>0.70497147376356895</v>
      </c>
      <c r="F109" s="7">
        <f t="shared" si="4"/>
        <v>3.7077872122364299</v>
      </c>
      <c r="G109" s="7">
        <f t="shared" si="5"/>
        <v>3.5902029999999998</v>
      </c>
      <c r="H109" s="7">
        <f t="shared" si="6"/>
        <v>0.11758421223643012</v>
      </c>
      <c r="I109" s="8">
        <f t="shared" si="7"/>
        <v>3.275141050142015E-2</v>
      </c>
      <c r="J109" s="9">
        <v>52.11</v>
      </c>
      <c r="K109" s="9">
        <v>36.7360634978196</v>
      </c>
    </row>
    <row r="110" spans="1:11" ht="12.75" customHeight="1">
      <c r="A110" s="1">
        <v>46178</v>
      </c>
      <c r="B110" s="2">
        <v>13</v>
      </c>
      <c r="C110" s="7">
        <v>-3.71080036090004</v>
      </c>
      <c r="D110" s="7">
        <v>-3.6005549999999999</v>
      </c>
      <c r="E110" s="7">
        <v>0.66973643109995895</v>
      </c>
      <c r="F110" s="7">
        <f t="shared" si="4"/>
        <v>3.71080036090004</v>
      </c>
      <c r="G110" s="7">
        <f t="shared" si="5"/>
        <v>3.6005549999999999</v>
      </c>
      <c r="H110" s="7">
        <f t="shared" si="6"/>
        <v>0.11024536090004</v>
      </c>
      <c r="I110" s="8">
        <f t="shared" si="7"/>
        <v>3.0618990933353331E-2</v>
      </c>
      <c r="J110" s="9">
        <v>33.36</v>
      </c>
      <c r="K110" s="9">
        <v>22.342407341494599</v>
      </c>
    </row>
    <row r="111" spans="1:11" ht="12.75" customHeight="1">
      <c r="A111" s="1">
        <v>46178</v>
      </c>
      <c r="B111" s="2">
        <v>14</v>
      </c>
      <c r="C111" s="7">
        <v>-3.95676096468519</v>
      </c>
      <c r="D111" s="7">
        <v>-3.6024959999999999</v>
      </c>
      <c r="E111" s="7">
        <v>0.43434327831481201</v>
      </c>
      <c r="F111" s="7">
        <f t="shared" si="4"/>
        <v>3.95676096468519</v>
      </c>
      <c r="G111" s="7">
        <f t="shared" si="5"/>
        <v>3.6024959999999999</v>
      </c>
      <c r="H111" s="7">
        <f t="shared" si="6"/>
        <v>0.35426496468519009</v>
      </c>
      <c r="I111" s="8">
        <f t="shared" si="7"/>
        <v>9.8338753099292853E-2</v>
      </c>
      <c r="J111" s="9">
        <v>25.54</v>
      </c>
      <c r="K111" s="9">
        <v>11.0931273281603</v>
      </c>
    </row>
    <row r="112" spans="1:11" ht="12.75" customHeight="1">
      <c r="A112" s="1">
        <v>46178</v>
      </c>
      <c r="B112" s="2">
        <v>15</v>
      </c>
      <c r="C112" s="7">
        <v>-4.2111256091432701</v>
      </c>
      <c r="D112" s="7">
        <v>-3.5973199999999999</v>
      </c>
      <c r="E112" s="7">
        <v>8.2224050856725503E-2</v>
      </c>
      <c r="F112" s="7">
        <f t="shared" si="4"/>
        <v>4.2111256091432701</v>
      </c>
      <c r="G112" s="7">
        <f t="shared" si="5"/>
        <v>3.5973199999999999</v>
      </c>
      <c r="H112" s="7">
        <f t="shared" si="6"/>
        <v>0.6138056091432702</v>
      </c>
      <c r="I112" s="8">
        <f t="shared" si="7"/>
        <v>0.17062858159498467</v>
      </c>
      <c r="J112" s="9">
        <v>33.909999999999997</v>
      </c>
      <c r="K112" s="9">
        <v>2.7882175645515601</v>
      </c>
    </row>
    <row r="113" spans="1:11" ht="12.75" customHeight="1">
      <c r="A113" s="1">
        <v>46178</v>
      </c>
      <c r="B113" s="2">
        <v>16</v>
      </c>
      <c r="C113" s="7">
        <v>-4.1904172227223597</v>
      </c>
      <c r="D113" s="7">
        <v>-3.5817920000000001</v>
      </c>
      <c r="E113" s="7">
        <v>9.3081277638114402E-5</v>
      </c>
      <c r="F113" s="7">
        <f t="shared" si="4"/>
        <v>4.1904172227223597</v>
      </c>
      <c r="G113" s="7">
        <f t="shared" si="5"/>
        <v>3.5817920000000001</v>
      </c>
      <c r="H113" s="7">
        <f t="shared" si="6"/>
        <v>0.60862522272235964</v>
      </c>
      <c r="I113" s="8">
        <f t="shared" si="7"/>
        <v>0.16992198952992235</v>
      </c>
      <c r="J113" s="9">
        <v>41.29</v>
      </c>
      <c r="K113" s="9">
        <v>3.8433259536777399E-3</v>
      </c>
    </row>
    <row r="114" spans="1:11" ht="12.75" customHeight="1">
      <c r="A114" s="1">
        <v>46178</v>
      </c>
      <c r="B114" s="2">
        <v>17</v>
      </c>
      <c r="C114" s="7">
        <v>-4.1350126997562704</v>
      </c>
      <c r="D114" s="7">
        <v>-3.9046449999999999</v>
      </c>
      <c r="E114" s="7">
        <v>0.208878659243731</v>
      </c>
      <c r="F114" s="7">
        <f t="shared" si="4"/>
        <v>4.1350126997562704</v>
      </c>
      <c r="G114" s="7">
        <f t="shared" si="5"/>
        <v>3.9046449999999999</v>
      </c>
      <c r="H114" s="7">
        <f t="shared" si="6"/>
        <v>0.23036769975627047</v>
      </c>
      <c r="I114" s="8">
        <f t="shared" si="7"/>
        <v>5.8998372388852374E-2</v>
      </c>
      <c r="J114" s="9">
        <v>54.24</v>
      </c>
      <c r="K114" s="9">
        <v>11.32957847738</v>
      </c>
    </row>
    <row r="115" spans="1:11" ht="12.75" customHeight="1">
      <c r="A115" s="1">
        <v>46178</v>
      </c>
      <c r="B115" s="2">
        <v>18</v>
      </c>
      <c r="C115" s="7">
        <v>-4.4989187868970797</v>
      </c>
      <c r="D115" s="7">
        <v>-4.0204579999999996</v>
      </c>
      <c r="E115" s="7">
        <v>-0.17952802389707501</v>
      </c>
      <c r="F115" s="7">
        <f t="shared" si="4"/>
        <v>4.4989187868970797</v>
      </c>
      <c r="G115" s="7">
        <f t="shared" si="5"/>
        <v>4.0204579999999996</v>
      </c>
      <c r="H115" s="7">
        <f t="shared" si="6"/>
        <v>0.47846078689708005</v>
      </c>
      <c r="I115" s="8">
        <f t="shared" si="7"/>
        <v>0.11900653778675964</v>
      </c>
      <c r="J115" s="9">
        <v>80.3</v>
      </c>
      <c r="K115" s="9">
        <v>-14.416100318935101</v>
      </c>
    </row>
    <row r="116" spans="1:11" ht="12.75" customHeight="1">
      <c r="A116" s="1">
        <v>46178</v>
      </c>
      <c r="B116" s="2">
        <v>19</v>
      </c>
      <c r="C116" s="7">
        <v>-4.6910824938709901</v>
      </c>
      <c r="D116" s="7">
        <v>-4.2042060000000001</v>
      </c>
      <c r="E116" s="7">
        <v>-0.41927211087098798</v>
      </c>
      <c r="F116" s="7">
        <f t="shared" si="4"/>
        <v>4.6910824938709901</v>
      </c>
      <c r="G116" s="7">
        <f t="shared" si="5"/>
        <v>4.2042060000000001</v>
      </c>
      <c r="H116" s="7">
        <f t="shared" si="6"/>
        <v>0.48687649387098997</v>
      </c>
      <c r="I116" s="8">
        <f t="shared" si="7"/>
        <v>0.11580700229032306</v>
      </c>
      <c r="J116" s="9">
        <v>116.67</v>
      </c>
      <c r="K116" s="9">
        <v>-48.916477175318199</v>
      </c>
    </row>
    <row r="117" spans="1:11" ht="12.75" customHeight="1">
      <c r="A117" s="1">
        <v>46178</v>
      </c>
      <c r="B117" s="2">
        <v>20</v>
      </c>
      <c r="C117" s="7">
        <v>-5.7527083907548899</v>
      </c>
      <c r="D117" s="7">
        <v>-4.8285609999999997</v>
      </c>
      <c r="E117" s="7">
        <v>-0.91978531675489095</v>
      </c>
      <c r="F117" s="7">
        <f t="shared" si="4"/>
        <v>5.7527083907548899</v>
      </c>
      <c r="G117" s="7">
        <f t="shared" si="5"/>
        <v>4.8285609999999997</v>
      </c>
      <c r="H117" s="7">
        <f t="shared" si="6"/>
        <v>0.92414739075489027</v>
      </c>
      <c r="I117" s="8">
        <f t="shared" si="7"/>
        <v>0.19139188481928474</v>
      </c>
      <c r="J117" s="9">
        <v>199.29</v>
      </c>
      <c r="K117" s="9">
        <v>-183.304015776082</v>
      </c>
    </row>
    <row r="118" spans="1:11" ht="12.75" customHeight="1">
      <c r="A118" s="1">
        <v>46178</v>
      </c>
      <c r="B118" s="2">
        <v>21</v>
      </c>
      <c r="C118" s="7">
        <v>-6.0500000868658397</v>
      </c>
      <c r="D118" s="7">
        <v>-5.107418</v>
      </c>
      <c r="E118" s="7">
        <v>-0.94258208686584</v>
      </c>
      <c r="F118" s="7">
        <f t="shared" si="4"/>
        <v>6.0500000868658397</v>
      </c>
      <c r="G118" s="7">
        <f t="shared" si="5"/>
        <v>5.107418</v>
      </c>
      <c r="H118" s="7">
        <f t="shared" si="6"/>
        <v>0.94258208686583966</v>
      </c>
      <c r="I118" s="8">
        <f t="shared" si="7"/>
        <v>0.1845515849428889</v>
      </c>
      <c r="J118" s="9">
        <v>102.31</v>
      </c>
      <c r="K118" s="9">
        <v>-96.435573307244098</v>
      </c>
    </row>
    <row r="119" spans="1:11" ht="12.75" customHeight="1">
      <c r="A119" s="1">
        <v>46178</v>
      </c>
      <c r="B119" s="2">
        <v>22</v>
      </c>
      <c r="C119" s="7">
        <v>-5.6826249038853698</v>
      </c>
      <c r="D119" s="7">
        <v>-5.0323659999999997</v>
      </c>
      <c r="E119" s="7">
        <v>-0.650258903885372</v>
      </c>
      <c r="F119" s="7">
        <f t="shared" si="4"/>
        <v>5.6826249038853698</v>
      </c>
      <c r="G119" s="7">
        <f t="shared" si="5"/>
        <v>5.0323659999999997</v>
      </c>
      <c r="H119" s="7">
        <f t="shared" si="6"/>
        <v>0.65025890388537011</v>
      </c>
      <c r="I119" s="8">
        <f t="shared" si="7"/>
        <v>0.12921534401221416</v>
      </c>
      <c r="J119" s="9">
        <v>36.299999999999997</v>
      </c>
      <c r="K119" s="9">
        <v>-23.604398211039001</v>
      </c>
    </row>
    <row r="120" spans="1:11" ht="12.75" customHeight="1">
      <c r="A120" s="1">
        <v>46178</v>
      </c>
      <c r="B120" s="2">
        <v>23</v>
      </c>
      <c r="C120" s="7">
        <v>-4.8175537538054902</v>
      </c>
      <c r="D120" s="7">
        <v>-4.2281449999999996</v>
      </c>
      <c r="E120" s="7">
        <v>-0.58940875380548796</v>
      </c>
      <c r="F120" s="7">
        <f t="shared" si="4"/>
        <v>4.8175537538054902</v>
      </c>
      <c r="G120" s="7">
        <f t="shared" si="5"/>
        <v>4.2281449999999996</v>
      </c>
      <c r="H120" s="7">
        <f t="shared" si="6"/>
        <v>0.58940875380549063</v>
      </c>
      <c r="I120" s="8">
        <f t="shared" si="7"/>
        <v>0.13940126315570792</v>
      </c>
      <c r="J120" s="9">
        <v>23.81</v>
      </c>
      <c r="K120" s="9">
        <v>-14.033822428108699</v>
      </c>
    </row>
    <row r="121" spans="1:11" ht="12.75" customHeight="1">
      <c r="A121" s="1">
        <v>46178</v>
      </c>
      <c r="B121" s="2">
        <v>24</v>
      </c>
      <c r="C121" s="7">
        <v>-4.1834005484723296</v>
      </c>
      <c r="D121" s="7">
        <v>-3.7506590000000002</v>
      </c>
      <c r="E121" s="7">
        <v>-0.43274154847232699</v>
      </c>
      <c r="F121" s="7">
        <f t="shared" si="4"/>
        <v>4.1834005484723296</v>
      </c>
      <c r="G121" s="7">
        <f t="shared" si="5"/>
        <v>3.7506590000000002</v>
      </c>
      <c r="H121" s="7">
        <f t="shared" si="6"/>
        <v>0.43274154847232937</v>
      </c>
      <c r="I121" s="8">
        <f t="shared" si="7"/>
        <v>0.11537747059178917</v>
      </c>
      <c r="J121" s="9">
        <v>133.78</v>
      </c>
      <c r="K121" s="9">
        <v>-57.892164354627901</v>
      </c>
    </row>
    <row r="122" spans="1:11" ht="12.75" customHeight="1">
      <c r="A122" s="1">
        <v>46179</v>
      </c>
      <c r="B122" s="2">
        <v>1</v>
      </c>
      <c r="C122" s="7">
        <v>-3.8038369677822499</v>
      </c>
      <c r="D122" s="7">
        <v>-3.37087</v>
      </c>
      <c r="E122" s="7">
        <v>-0.43296696778224802</v>
      </c>
      <c r="F122" s="7">
        <f t="shared" si="4"/>
        <v>3.8038369677822499</v>
      </c>
      <c r="G122" s="7">
        <f t="shared" si="5"/>
        <v>3.37087</v>
      </c>
      <c r="H122" s="7">
        <f t="shared" si="6"/>
        <v>0.43296696778224986</v>
      </c>
      <c r="I122" s="8">
        <f t="shared" si="7"/>
        <v>0.12844368598677786</v>
      </c>
      <c r="J122" s="9">
        <v>119.13</v>
      </c>
      <c r="K122" s="9">
        <v>-51.579354871899199</v>
      </c>
    </row>
    <row r="123" spans="1:11" ht="12.75" customHeight="1">
      <c r="A123" s="1">
        <v>46179</v>
      </c>
      <c r="B123" s="2">
        <v>2</v>
      </c>
      <c r="C123" s="7">
        <v>-3.7319490591123801</v>
      </c>
      <c r="D123" s="7">
        <v>-3.2789959999999998</v>
      </c>
      <c r="E123" s="7">
        <v>-0.45295305911238098</v>
      </c>
      <c r="F123" s="7">
        <f t="shared" si="4"/>
        <v>3.7319490591123801</v>
      </c>
      <c r="G123" s="7">
        <f t="shared" si="5"/>
        <v>3.2789959999999998</v>
      </c>
      <c r="H123" s="7">
        <f t="shared" si="6"/>
        <v>0.45295305911238026</v>
      </c>
      <c r="I123" s="8">
        <f t="shared" si="7"/>
        <v>0.13813772847309977</v>
      </c>
      <c r="J123" s="9">
        <v>117.58</v>
      </c>
      <c r="K123" s="9">
        <v>-53.258220690433802</v>
      </c>
    </row>
    <row r="124" spans="1:11" ht="12.75" customHeight="1">
      <c r="A124" s="1">
        <v>46179</v>
      </c>
      <c r="B124" s="2">
        <v>3</v>
      </c>
      <c r="C124" s="7">
        <v>-3.4953015929080098</v>
      </c>
      <c r="D124" s="7">
        <v>-3.1612420000000001</v>
      </c>
      <c r="E124" s="7">
        <v>-0.33405959290800502</v>
      </c>
      <c r="F124" s="7">
        <f t="shared" si="4"/>
        <v>3.4953015929080098</v>
      </c>
      <c r="G124" s="7">
        <f t="shared" si="5"/>
        <v>3.1612420000000001</v>
      </c>
      <c r="H124" s="7">
        <f t="shared" si="6"/>
        <v>0.33405959290800968</v>
      </c>
      <c r="I124" s="8">
        <f t="shared" si="7"/>
        <v>0.10567352733767604</v>
      </c>
      <c r="J124" s="9">
        <v>113.72</v>
      </c>
      <c r="K124" s="9">
        <v>-37.989256905498301</v>
      </c>
    </row>
    <row r="125" spans="1:11" ht="12.75" customHeight="1">
      <c r="A125" s="1">
        <v>46179</v>
      </c>
      <c r="B125" s="2">
        <v>4</v>
      </c>
      <c r="C125" s="7">
        <v>-3.50866631632229</v>
      </c>
      <c r="D125" s="7">
        <v>-3.2421169999999999</v>
      </c>
      <c r="E125" s="7">
        <v>-0.26654931632229301</v>
      </c>
      <c r="F125" s="7">
        <f t="shared" si="4"/>
        <v>3.50866631632229</v>
      </c>
      <c r="G125" s="7">
        <f t="shared" si="5"/>
        <v>3.2421169999999999</v>
      </c>
      <c r="H125" s="7">
        <f t="shared" si="6"/>
        <v>0.26654931632229006</v>
      </c>
      <c r="I125" s="8">
        <f t="shared" si="7"/>
        <v>8.2214588900490035E-2</v>
      </c>
      <c r="J125" s="9">
        <v>106.71</v>
      </c>
      <c r="K125" s="9">
        <v>-28.443477544751801</v>
      </c>
    </row>
    <row r="126" spans="1:11" ht="12.75" customHeight="1">
      <c r="A126" s="1">
        <v>46179</v>
      </c>
      <c r="B126" s="2">
        <v>5</v>
      </c>
      <c r="C126" s="7">
        <v>-3.4530985464315802</v>
      </c>
      <c r="D126" s="7">
        <v>-3.227236</v>
      </c>
      <c r="E126" s="7">
        <v>-0.22586254643157999</v>
      </c>
      <c r="F126" s="7">
        <f t="shared" si="4"/>
        <v>3.4530985464315802</v>
      </c>
      <c r="G126" s="7">
        <f t="shared" si="5"/>
        <v>3.227236</v>
      </c>
      <c r="H126" s="7">
        <f t="shared" si="6"/>
        <v>0.22586254643158021</v>
      </c>
      <c r="I126" s="8">
        <f t="shared" si="7"/>
        <v>6.9986374232185136E-2</v>
      </c>
      <c r="J126" s="9">
        <v>116.17</v>
      </c>
      <c r="K126" s="9">
        <v>-26.2384520189567</v>
      </c>
    </row>
    <row r="127" spans="1:11" ht="12.75" customHeight="1">
      <c r="A127" s="1">
        <v>46179</v>
      </c>
      <c r="B127" s="2">
        <v>6</v>
      </c>
      <c r="C127" s="7">
        <v>-3.0563683271799298</v>
      </c>
      <c r="D127" s="7">
        <v>-3.0557810000000001</v>
      </c>
      <c r="E127" s="7">
        <v>9.6773278200664708E-3</v>
      </c>
      <c r="F127" s="7">
        <f t="shared" si="4"/>
        <v>3.0563683271799298</v>
      </c>
      <c r="G127" s="7">
        <f t="shared" si="5"/>
        <v>3.0557810000000001</v>
      </c>
      <c r="H127" s="7">
        <f t="shared" si="6"/>
        <v>5.8732717992970862E-4</v>
      </c>
      <c r="I127" s="8">
        <f t="shared" si="7"/>
        <v>1.9220198696493911E-4</v>
      </c>
      <c r="J127" s="9">
        <v>92.07</v>
      </c>
      <c r="K127" s="9">
        <v>0.89099157239352</v>
      </c>
    </row>
    <row r="128" spans="1:11" ht="12.75" customHeight="1">
      <c r="A128" s="1">
        <v>46179</v>
      </c>
      <c r="B128" s="2">
        <v>7</v>
      </c>
      <c r="C128" s="7">
        <v>-2.5186794679044802</v>
      </c>
      <c r="D128" s="7">
        <v>-2.681168</v>
      </c>
      <c r="E128" s="7">
        <v>0.31407907929551598</v>
      </c>
      <c r="F128" s="7">
        <f t="shared" si="4"/>
        <v>2.5186794679044802</v>
      </c>
      <c r="G128" s="7">
        <f t="shared" si="5"/>
        <v>2.681168</v>
      </c>
      <c r="H128" s="7">
        <f t="shared" si="6"/>
        <v>0.16248853209551983</v>
      </c>
      <c r="I128" s="8">
        <f t="shared" si="7"/>
        <v>6.0603636958042106E-2</v>
      </c>
      <c r="J128" s="9">
        <v>23.57</v>
      </c>
      <c r="K128" s="9">
        <v>7.4028438989953198</v>
      </c>
    </row>
    <row r="129" spans="1:11" ht="12.75" customHeight="1">
      <c r="A129" s="1">
        <v>46179</v>
      </c>
      <c r="B129" s="2">
        <v>8</v>
      </c>
      <c r="C129" s="7">
        <v>-2.4170768690595099</v>
      </c>
      <c r="D129" s="7">
        <v>-2.5304169999999999</v>
      </c>
      <c r="E129" s="7">
        <v>0.64344172374049402</v>
      </c>
      <c r="F129" s="7">
        <f t="shared" si="4"/>
        <v>2.4170768690595099</v>
      </c>
      <c r="G129" s="7">
        <f t="shared" si="5"/>
        <v>2.5304169999999999</v>
      </c>
      <c r="H129" s="7">
        <f t="shared" si="6"/>
        <v>0.11334013094049</v>
      </c>
      <c r="I129" s="8">
        <f t="shared" si="7"/>
        <v>4.4791088164713569E-2</v>
      </c>
      <c r="J129" s="9">
        <v>13.06</v>
      </c>
      <c r="K129" s="9">
        <v>8.4033489120508609</v>
      </c>
    </row>
    <row r="130" spans="1:11" ht="12.75" customHeight="1">
      <c r="A130" s="1">
        <v>46179</v>
      </c>
      <c r="B130" s="2">
        <v>9</v>
      </c>
      <c r="C130" s="7">
        <v>-2.9162387159988699</v>
      </c>
      <c r="D130" s="7">
        <v>-3.5487950000000001</v>
      </c>
      <c r="E130" s="7">
        <v>1.34456671460113</v>
      </c>
      <c r="F130" s="7">
        <f t="shared" ref="F130:F193" si="8">ABS(C130)</f>
        <v>2.9162387159988699</v>
      </c>
      <c r="G130" s="7">
        <f t="shared" ref="G130:G193" si="9">ABS(D130)</f>
        <v>3.5487950000000001</v>
      </c>
      <c r="H130" s="7">
        <f t="shared" ref="H130:H193" si="10">ABS(G130-F130)</f>
        <v>0.63255628400113029</v>
      </c>
      <c r="I130" s="8">
        <f t="shared" ref="I130:I193" si="11">H130/G130</f>
        <v>0.17824537173917632</v>
      </c>
      <c r="J130" s="9">
        <v>10.32</v>
      </c>
      <c r="K130" s="9">
        <v>13.875928494683601</v>
      </c>
    </row>
    <row r="131" spans="1:11" ht="12.75" customHeight="1">
      <c r="A131" s="1">
        <v>46179</v>
      </c>
      <c r="B131" s="2">
        <v>10</v>
      </c>
      <c r="C131" s="7">
        <v>-3.1524366083112199</v>
      </c>
      <c r="D131" s="7">
        <v>-3.3488720000000001</v>
      </c>
      <c r="E131" s="7">
        <v>1.0844029070887899</v>
      </c>
      <c r="F131" s="7">
        <f t="shared" si="8"/>
        <v>3.1524366083112199</v>
      </c>
      <c r="G131" s="7">
        <f t="shared" si="9"/>
        <v>3.3488720000000001</v>
      </c>
      <c r="H131" s="7">
        <f t="shared" si="10"/>
        <v>0.19643539168878021</v>
      </c>
      <c r="I131" s="8">
        <f t="shared" si="11"/>
        <v>5.8657181190795056E-2</v>
      </c>
      <c r="J131" s="9">
        <v>5.45</v>
      </c>
      <c r="K131" s="9">
        <v>5.9099958436338804</v>
      </c>
    </row>
    <row r="132" spans="1:11" ht="12.75" customHeight="1">
      <c r="A132" s="1">
        <v>46179</v>
      </c>
      <c r="B132" s="2">
        <v>11</v>
      </c>
      <c r="C132" s="7">
        <v>-3.2631397763233498</v>
      </c>
      <c r="D132" s="7">
        <v>-3.5617350000000001</v>
      </c>
      <c r="E132" s="7">
        <v>1.33725654427665</v>
      </c>
      <c r="F132" s="7">
        <f t="shared" si="8"/>
        <v>3.2631397763233498</v>
      </c>
      <c r="G132" s="7">
        <f t="shared" si="9"/>
        <v>3.5617350000000001</v>
      </c>
      <c r="H132" s="7">
        <f t="shared" si="10"/>
        <v>0.29859522367665026</v>
      </c>
      <c r="I132" s="8">
        <f t="shared" si="11"/>
        <v>8.3834205429839742E-2</v>
      </c>
      <c r="J132" s="9">
        <v>3.82</v>
      </c>
      <c r="K132" s="9">
        <v>5.1083199991368096</v>
      </c>
    </row>
    <row r="133" spans="1:11" ht="12.75" customHeight="1">
      <c r="A133" s="1">
        <v>46179</v>
      </c>
      <c r="B133" s="2">
        <v>12</v>
      </c>
      <c r="C133" s="7">
        <v>-3.42550298583649</v>
      </c>
      <c r="D133" s="7">
        <v>-3.5701459999999998</v>
      </c>
      <c r="E133" s="7">
        <v>1.1405566565635199</v>
      </c>
      <c r="F133" s="7">
        <f t="shared" si="8"/>
        <v>3.42550298583649</v>
      </c>
      <c r="G133" s="7">
        <f t="shared" si="9"/>
        <v>3.5701459999999998</v>
      </c>
      <c r="H133" s="7">
        <f t="shared" si="10"/>
        <v>0.14464301416350978</v>
      </c>
      <c r="I133" s="8">
        <f t="shared" si="11"/>
        <v>4.0514593566624388E-2</v>
      </c>
      <c r="J133" s="9">
        <v>0.68</v>
      </c>
      <c r="K133" s="9">
        <v>0.77557852646319003</v>
      </c>
    </row>
    <row r="134" spans="1:11" ht="12.75" customHeight="1">
      <c r="A134" s="1">
        <v>46179</v>
      </c>
      <c r="B134" s="2">
        <v>13</v>
      </c>
      <c r="C134" s="7">
        <v>-3.5523918701647599</v>
      </c>
      <c r="D134" s="7">
        <v>-3.5811449999999998</v>
      </c>
      <c r="E134" s="7">
        <v>0.99342404803523698</v>
      </c>
      <c r="F134" s="7">
        <f t="shared" si="8"/>
        <v>3.5523918701647599</v>
      </c>
      <c r="G134" s="7">
        <f t="shared" si="9"/>
        <v>3.5811449999999998</v>
      </c>
      <c r="H134" s="7">
        <f t="shared" si="10"/>
        <v>2.8753129835239921E-2</v>
      </c>
      <c r="I134" s="8">
        <f t="shared" si="11"/>
        <v>8.0290325678630502E-3</v>
      </c>
      <c r="J134" s="9">
        <v>0.84</v>
      </c>
      <c r="K134" s="9">
        <v>0.83447620034959902</v>
      </c>
    </row>
    <row r="135" spans="1:11" ht="12.75" customHeight="1">
      <c r="A135" s="1">
        <v>46179</v>
      </c>
      <c r="B135" s="2">
        <v>14</v>
      </c>
      <c r="C135" s="7">
        <v>-3.6321277206747</v>
      </c>
      <c r="D135" s="7">
        <v>-3.5811449999999998</v>
      </c>
      <c r="E135" s="7">
        <v>0.91998130772530395</v>
      </c>
      <c r="F135" s="7">
        <f t="shared" si="8"/>
        <v>3.6321277206747</v>
      </c>
      <c r="G135" s="7">
        <f t="shared" si="9"/>
        <v>3.5811449999999998</v>
      </c>
      <c r="H135" s="7">
        <f t="shared" si="10"/>
        <v>5.0982720674700222E-2</v>
      </c>
      <c r="I135" s="8">
        <f t="shared" si="11"/>
        <v>1.4236430157030844E-2</v>
      </c>
      <c r="J135" s="9">
        <v>21.6</v>
      </c>
      <c r="K135" s="9">
        <v>19.871596246866599</v>
      </c>
    </row>
    <row r="136" spans="1:11" ht="12.75" customHeight="1">
      <c r="A136" s="1">
        <v>46179</v>
      </c>
      <c r="B136" s="2">
        <v>15</v>
      </c>
      <c r="C136" s="7">
        <v>-3.72422970766053</v>
      </c>
      <c r="D136" s="7">
        <v>-3.5882619999999998</v>
      </c>
      <c r="E136" s="7">
        <v>0.72870198473947401</v>
      </c>
      <c r="F136" s="7">
        <f t="shared" si="8"/>
        <v>3.72422970766053</v>
      </c>
      <c r="G136" s="7">
        <f t="shared" si="9"/>
        <v>3.5882619999999998</v>
      </c>
      <c r="H136" s="7">
        <f t="shared" si="10"/>
        <v>0.13596770766053012</v>
      </c>
      <c r="I136" s="8">
        <f t="shared" si="11"/>
        <v>3.7892357821287893E-2</v>
      </c>
      <c r="J136" s="9">
        <v>0</v>
      </c>
      <c r="K136" s="9">
        <v>0</v>
      </c>
    </row>
    <row r="137" spans="1:11" ht="12.75" customHeight="1">
      <c r="A137" s="1">
        <v>46179</v>
      </c>
      <c r="B137" s="2">
        <v>16</v>
      </c>
      <c r="C137" s="7">
        <v>-3.9148492730494699</v>
      </c>
      <c r="D137" s="7">
        <v>-3.5850270000000002</v>
      </c>
      <c r="E137" s="7">
        <v>0.22368713275053301</v>
      </c>
      <c r="F137" s="7">
        <f t="shared" si="8"/>
        <v>3.9148492730494699</v>
      </c>
      <c r="G137" s="7">
        <f t="shared" si="9"/>
        <v>3.5850270000000002</v>
      </c>
      <c r="H137" s="7">
        <f t="shared" si="10"/>
        <v>0.32982227304946976</v>
      </c>
      <c r="I137" s="8">
        <f t="shared" si="11"/>
        <v>9.1999941157896364E-2</v>
      </c>
      <c r="J137" s="9">
        <v>38.04</v>
      </c>
      <c r="K137" s="9">
        <v>8.5090585298302894</v>
      </c>
    </row>
    <row r="138" spans="1:11" ht="12.75" customHeight="1">
      <c r="A138" s="1">
        <v>46179</v>
      </c>
      <c r="B138" s="2">
        <v>17</v>
      </c>
      <c r="C138" s="7">
        <v>-3.8032323748874299</v>
      </c>
      <c r="D138" s="7">
        <v>-3.0946009999999999</v>
      </c>
      <c r="E138" s="7">
        <v>-0.235117696087426</v>
      </c>
      <c r="F138" s="7">
        <f t="shared" si="8"/>
        <v>3.8032323748874299</v>
      </c>
      <c r="G138" s="7">
        <f t="shared" si="9"/>
        <v>3.0946009999999999</v>
      </c>
      <c r="H138" s="7">
        <f t="shared" si="10"/>
        <v>0.70863137488743</v>
      </c>
      <c r="I138" s="8">
        <f t="shared" si="11"/>
        <v>0.22898957729524097</v>
      </c>
      <c r="J138" s="9">
        <v>64.56</v>
      </c>
      <c r="K138" s="9">
        <v>-15.1791984594042</v>
      </c>
    </row>
    <row r="139" spans="1:11" ht="12.75" customHeight="1">
      <c r="A139" s="1">
        <v>46179</v>
      </c>
      <c r="B139" s="2">
        <v>18</v>
      </c>
      <c r="C139" s="7">
        <v>-3.6396934129685801</v>
      </c>
      <c r="D139" s="7">
        <v>-3.5390899999999998</v>
      </c>
      <c r="E139" s="7">
        <v>0.35955579763142298</v>
      </c>
      <c r="F139" s="7">
        <f t="shared" si="8"/>
        <v>3.6396934129685801</v>
      </c>
      <c r="G139" s="7">
        <f t="shared" si="9"/>
        <v>3.5390899999999998</v>
      </c>
      <c r="H139" s="7">
        <f t="shared" si="10"/>
        <v>0.10060341296858022</v>
      </c>
      <c r="I139" s="8">
        <f t="shared" si="11"/>
        <v>2.8426350550164087E-2</v>
      </c>
      <c r="J139" s="9">
        <v>16.03</v>
      </c>
      <c r="K139" s="9">
        <v>5.7636794360317198</v>
      </c>
    </row>
    <row r="140" spans="1:11" ht="12.75" customHeight="1">
      <c r="A140" s="1">
        <v>46179</v>
      </c>
      <c r="B140" s="2">
        <v>19</v>
      </c>
      <c r="C140" s="7">
        <v>-4.0540359193495696</v>
      </c>
      <c r="D140" s="7">
        <v>-4.0980980000000002</v>
      </c>
      <c r="E140" s="7">
        <v>0.224343584050434</v>
      </c>
      <c r="F140" s="7">
        <f t="shared" si="8"/>
        <v>4.0540359193495696</v>
      </c>
      <c r="G140" s="7">
        <f t="shared" si="9"/>
        <v>4.0980980000000002</v>
      </c>
      <c r="H140" s="7">
        <f t="shared" si="10"/>
        <v>4.4062080650430602E-2</v>
      </c>
      <c r="I140" s="8">
        <f t="shared" si="11"/>
        <v>1.0751836742418214E-2</v>
      </c>
      <c r="J140" s="9">
        <v>113.8</v>
      </c>
      <c r="K140" s="9">
        <v>25.530299864939401</v>
      </c>
    </row>
    <row r="141" spans="1:11" ht="12.75" customHeight="1">
      <c r="A141" s="1">
        <v>46179</v>
      </c>
      <c r="B141" s="2">
        <v>20</v>
      </c>
      <c r="C141" s="7">
        <v>-5.0659493959627797</v>
      </c>
      <c r="D141" s="7">
        <v>-4.856382</v>
      </c>
      <c r="E141" s="7">
        <v>-0.196149521762777</v>
      </c>
      <c r="F141" s="7">
        <f t="shared" si="8"/>
        <v>5.0659493959627797</v>
      </c>
      <c r="G141" s="7">
        <f t="shared" si="9"/>
        <v>4.856382</v>
      </c>
      <c r="H141" s="7">
        <f t="shared" si="10"/>
        <v>0.20956739596277973</v>
      </c>
      <c r="I141" s="8">
        <f t="shared" si="11"/>
        <v>4.3152988369279791E-2</v>
      </c>
      <c r="J141" s="9">
        <v>107.27</v>
      </c>
      <c r="K141" s="9">
        <v>-21.040959199493098</v>
      </c>
    </row>
    <row r="142" spans="1:11" ht="12.75" customHeight="1">
      <c r="A142" s="1">
        <v>46179</v>
      </c>
      <c r="B142" s="2">
        <v>21</v>
      </c>
      <c r="C142" s="7">
        <v>-5.3681697799656298</v>
      </c>
      <c r="D142" s="7">
        <v>-5.1138880000000002</v>
      </c>
      <c r="E142" s="7">
        <v>-0.254277897965625</v>
      </c>
      <c r="F142" s="7">
        <f t="shared" si="8"/>
        <v>5.3681697799656298</v>
      </c>
      <c r="G142" s="7">
        <f t="shared" si="9"/>
        <v>5.1138880000000002</v>
      </c>
      <c r="H142" s="7">
        <f t="shared" si="10"/>
        <v>0.25428177996562962</v>
      </c>
      <c r="I142" s="8">
        <f t="shared" si="11"/>
        <v>4.9723767897464632E-2</v>
      </c>
      <c r="J142" s="9">
        <v>96.17</v>
      </c>
      <c r="K142" s="9">
        <v>-24.453905447354199</v>
      </c>
    </row>
    <row r="143" spans="1:11" ht="12.75" customHeight="1">
      <c r="A143" s="1">
        <v>46179</v>
      </c>
      <c r="B143" s="2">
        <v>22</v>
      </c>
      <c r="C143" s="7">
        <v>-5.27299809657345</v>
      </c>
      <c r="D143" s="7">
        <v>-4.9954869999999998</v>
      </c>
      <c r="E143" s="7">
        <v>-0.27751109657345102</v>
      </c>
      <c r="F143" s="7">
        <f t="shared" si="8"/>
        <v>5.27299809657345</v>
      </c>
      <c r="G143" s="7">
        <f t="shared" si="9"/>
        <v>4.9954869999999998</v>
      </c>
      <c r="H143" s="7">
        <f t="shared" si="10"/>
        <v>0.27751109657345019</v>
      </c>
      <c r="I143" s="8">
        <f t="shared" si="11"/>
        <v>5.5552360875616373E-2</v>
      </c>
      <c r="J143" s="9">
        <v>80.39</v>
      </c>
      <c r="K143" s="9">
        <v>-22.309117053539701</v>
      </c>
    </row>
    <row r="144" spans="1:11" ht="12.75" customHeight="1">
      <c r="A144" s="1">
        <v>46179</v>
      </c>
      <c r="B144" s="2">
        <v>23</v>
      </c>
      <c r="C144" s="7">
        <v>-4.3094643366695697</v>
      </c>
      <c r="D144" s="7">
        <v>-4.2184400000000002</v>
      </c>
      <c r="E144" s="7">
        <v>-9.1024336669573394E-2</v>
      </c>
      <c r="F144" s="7">
        <f t="shared" si="8"/>
        <v>4.3094643366695697</v>
      </c>
      <c r="G144" s="7">
        <f t="shared" si="9"/>
        <v>4.2184400000000002</v>
      </c>
      <c r="H144" s="7">
        <f t="shared" si="10"/>
        <v>9.102433666956955E-2</v>
      </c>
      <c r="I144" s="8">
        <f t="shared" si="11"/>
        <v>2.1577724625588973E-2</v>
      </c>
      <c r="J144" s="9">
        <v>102.05</v>
      </c>
      <c r="K144" s="9">
        <v>-9.2890335571299705</v>
      </c>
    </row>
    <row r="145" spans="1:11" ht="12.75" customHeight="1">
      <c r="A145" s="1">
        <v>46179</v>
      </c>
      <c r="B145" s="2">
        <v>24</v>
      </c>
      <c r="C145" s="7">
        <v>-3.7121762431920402</v>
      </c>
      <c r="D145" s="7">
        <v>-3.7571289999999999</v>
      </c>
      <c r="E145" s="7">
        <v>4.49527568079644E-2</v>
      </c>
      <c r="F145" s="7">
        <f t="shared" si="8"/>
        <v>3.7121762431920402</v>
      </c>
      <c r="G145" s="7">
        <f t="shared" si="9"/>
        <v>3.7571289999999999</v>
      </c>
      <c r="H145" s="7">
        <f t="shared" si="10"/>
        <v>4.4952756807959737E-2</v>
      </c>
      <c r="I145" s="8">
        <f t="shared" si="11"/>
        <v>1.1964656206363885E-2</v>
      </c>
      <c r="J145" s="9">
        <v>65.92</v>
      </c>
      <c r="K145" s="9">
        <v>2.9632857287810102</v>
      </c>
    </row>
    <row r="146" spans="1:11" ht="12.75" customHeight="1">
      <c r="A146" s="1">
        <v>46180</v>
      </c>
      <c r="B146" s="2">
        <v>1</v>
      </c>
      <c r="C146" s="7">
        <v>-3.4962056280419298</v>
      </c>
      <c r="D146" s="7">
        <v>-3.3786339999999999</v>
      </c>
      <c r="E146" s="7">
        <v>-0.117571628041928</v>
      </c>
      <c r="F146" s="7">
        <f t="shared" si="8"/>
        <v>3.4962056280419298</v>
      </c>
      <c r="G146" s="7">
        <f t="shared" si="9"/>
        <v>3.3786339999999999</v>
      </c>
      <c r="H146" s="7">
        <f t="shared" si="10"/>
        <v>0.11757162804192989</v>
      </c>
      <c r="I146" s="8">
        <f t="shared" si="11"/>
        <v>3.4798568901493888E-2</v>
      </c>
      <c r="J146" s="9">
        <v>39.85</v>
      </c>
      <c r="K146" s="9">
        <v>-4.6852293774708498</v>
      </c>
    </row>
    <row r="147" spans="1:11" ht="12.75" customHeight="1">
      <c r="A147" s="1">
        <v>46180</v>
      </c>
      <c r="B147" s="2">
        <v>2</v>
      </c>
      <c r="C147" s="7">
        <v>-3.4363102623506698</v>
      </c>
      <c r="D147" s="7">
        <v>-3.3281679999999998</v>
      </c>
      <c r="E147" s="7">
        <v>-0.108142262350668</v>
      </c>
      <c r="F147" s="7">
        <f t="shared" si="8"/>
        <v>3.4363102623506698</v>
      </c>
      <c r="G147" s="7">
        <f t="shared" si="9"/>
        <v>3.3281679999999998</v>
      </c>
      <c r="H147" s="7">
        <f t="shared" si="10"/>
        <v>0.10814226235067004</v>
      </c>
      <c r="I147" s="8">
        <f t="shared" si="11"/>
        <v>3.2493029904340782E-2</v>
      </c>
      <c r="J147" s="9">
        <v>83.24</v>
      </c>
      <c r="K147" s="9">
        <v>-9.0017619180696204</v>
      </c>
    </row>
    <row r="148" spans="1:11" ht="12.75" customHeight="1">
      <c r="A148" s="1">
        <v>46180</v>
      </c>
      <c r="B148" s="2">
        <v>3</v>
      </c>
      <c r="C148" s="7">
        <v>-3.4395106193150902</v>
      </c>
      <c r="D148" s="7">
        <v>-3.2505280000000001</v>
      </c>
      <c r="E148" s="7">
        <v>-0.188982619315089</v>
      </c>
      <c r="F148" s="7">
        <f t="shared" si="8"/>
        <v>3.4395106193150902</v>
      </c>
      <c r="G148" s="7">
        <f t="shared" si="9"/>
        <v>3.2505280000000001</v>
      </c>
      <c r="H148" s="7">
        <f t="shared" si="10"/>
        <v>0.18898261931509008</v>
      </c>
      <c r="I148" s="8">
        <f t="shared" si="11"/>
        <v>5.8139052890819609E-2</v>
      </c>
      <c r="J148" s="9">
        <v>87.91</v>
      </c>
      <c r="K148" s="9">
        <v>-16.613462063989399</v>
      </c>
    </row>
    <row r="149" spans="1:11" ht="12.75" customHeight="1">
      <c r="A149" s="1">
        <v>46180</v>
      </c>
      <c r="B149" s="2">
        <v>4</v>
      </c>
      <c r="C149" s="7">
        <v>-3.4266437583092002</v>
      </c>
      <c r="D149" s="7">
        <v>-3.294524</v>
      </c>
      <c r="E149" s="7">
        <v>-0.132119758309205</v>
      </c>
      <c r="F149" s="7">
        <f t="shared" si="8"/>
        <v>3.4266437583092002</v>
      </c>
      <c r="G149" s="7">
        <f t="shared" si="9"/>
        <v>3.294524</v>
      </c>
      <c r="H149" s="7">
        <f t="shared" si="10"/>
        <v>0.1321197583092002</v>
      </c>
      <c r="I149" s="8">
        <f t="shared" si="11"/>
        <v>4.0102836801067528E-2</v>
      </c>
      <c r="J149" s="9">
        <v>88.19</v>
      </c>
      <c r="K149" s="9">
        <v>-11.6516414852887</v>
      </c>
    </row>
    <row r="150" spans="1:11" ht="12.75" customHeight="1">
      <c r="A150" s="1">
        <v>46180</v>
      </c>
      <c r="B150" s="2">
        <v>5</v>
      </c>
      <c r="C150" s="7">
        <v>-3.3631682546388899</v>
      </c>
      <c r="D150" s="7">
        <v>-3.2511749999999999</v>
      </c>
      <c r="E150" s="7">
        <v>-0.111993254638887</v>
      </c>
      <c r="F150" s="7">
        <f t="shared" si="8"/>
        <v>3.3631682546388899</v>
      </c>
      <c r="G150" s="7">
        <f t="shared" si="9"/>
        <v>3.2511749999999999</v>
      </c>
      <c r="H150" s="7">
        <f t="shared" si="10"/>
        <v>0.11199325463888998</v>
      </c>
      <c r="I150" s="8">
        <f t="shared" si="11"/>
        <v>3.4447009047156793E-2</v>
      </c>
      <c r="J150" s="9">
        <v>30.86</v>
      </c>
      <c r="K150" s="9">
        <v>-3.4561118381560498</v>
      </c>
    </row>
    <row r="151" spans="1:11" ht="12.75" customHeight="1">
      <c r="A151" s="1">
        <v>46180</v>
      </c>
      <c r="B151" s="2">
        <v>6</v>
      </c>
      <c r="C151" s="7">
        <v>-2.9459566674090798</v>
      </c>
      <c r="D151" s="7">
        <v>-3.0370180000000002</v>
      </c>
      <c r="E151" s="7">
        <v>0.108867678390918</v>
      </c>
      <c r="F151" s="7">
        <f t="shared" si="8"/>
        <v>2.9459566674090798</v>
      </c>
      <c r="G151" s="7">
        <f t="shared" si="9"/>
        <v>3.0370180000000002</v>
      </c>
      <c r="H151" s="7">
        <f t="shared" si="10"/>
        <v>9.1061332590920419E-2</v>
      </c>
      <c r="I151" s="8">
        <f t="shared" si="11"/>
        <v>2.9983797458862742E-2</v>
      </c>
      <c r="J151" s="9">
        <v>23.22</v>
      </c>
      <c r="K151" s="9">
        <v>2.5279074922371101</v>
      </c>
    </row>
    <row r="152" spans="1:11" ht="12.75" customHeight="1">
      <c r="A152" s="1">
        <v>46180</v>
      </c>
      <c r="B152" s="2">
        <v>7</v>
      </c>
      <c r="C152" s="7">
        <v>-2.4301786622363699</v>
      </c>
      <c r="D152" s="7">
        <v>-3.538443</v>
      </c>
      <c r="E152" s="7">
        <v>1.2702995353636299</v>
      </c>
      <c r="F152" s="7">
        <f t="shared" si="8"/>
        <v>2.4301786622363699</v>
      </c>
      <c r="G152" s="7">
        <f t="shared" si="9"/>
        <v>3.538443</v>
      </c>
      <c r="H152" s="7">
        <f t="shared" si="10"/>
        <v>1.1082643377636301</v>
      </c>
      <c r="I152" s="8">
        <f t="shared" si="11"/>
        <v>0.31320677986437256</v>
      </c>
      <c r="J152" s="9">
        <v>26</v>
      </c>
      <c r="K152" s="9">
        <v>33.027787919454497</v>
      </c>
    </row>
    <row r="153" spans="1:11" ht="12.75" customHeight="1">
      <c r="A153" s="1">
        <v>46180</v>
      </c>
      <c r="B153" s="2">
        <v>8</v>
      </c>
      <c r="C153" s="7">
        <v>-2.2917667274231102</v>
      </c>
      <c r="D153" s="7">
        <v>-3.5507360000000001</v>
      </c>
      <c r="E153" s="7">
        <v>1.80095496137689</v>
      </c>
      <c r="F153" s="7">
        <f t="shared" si="8"/>
        <v>2.2917667274231102</v>
      </c>
      <c r="G153" s="7">
        <f t="shared" si="9"/>
        <v>3.5507360000000001</v>
      </c>
      <c r="H153" s="7">
        <f t="shared" si="10"/>
        <v>1.25896927257689</v>
      </c>
      <c r="I153" s="8">
        <f t="shared" si="11"/>
        <v>0.35456572174807982</v>
      </c>
      <c r="J153" s="9">
        <v>17.96</v>
      </c>
      <c r="K153" s="9">
        <v>32.345151106328998</v>
      </c>
    </row>
    <row r="154" spans="1:11" ht="12.75" customHeight="1">
      <c r="A154" s="1">
        <v>46180</v>
      </c>
      <c r="B154" s="2">
        <v>9</v>
      </c>
      <c r="C154" s="7">
        <v>-2.4138495045789501</v>
      </c>
      <c r="D154" s="7">
        <v>-3.5649700000000002</v>
      </c>
      <c r="E154" s="7">
        <v>1.9220897068210501</v>
      </c>
      <c r="F154" s="7">
        <f t="shared" si="8"/>
        <v>2.4138495045789501</v>
      </c>
      <c r="G154" s="7">
        <f t="shared" si="9"/>
        <v>3.5649700000000002</v>
      </c>
      <c r="H154" s="7">
        <f t="shared" si="10"/>
        <v>1.1511204954210501</v>
      </c>
      <c r="I154" s="8">
        <f t="shared" si="11"/>
        <v>0.32289766685864119</v>
      </c>
      <c r="J154" s="9">
        <v>-0.02</v>
      </c>
      <c r="K154" s="9">
        <v>-3.8441794136421001E-2</v>
      </c>
    </row>
    <row r="155" spans="1:11" ht="12.75" customHeight="1">
      <c r="A155" s="1">
        <v>46180</v>
      </c>
      <c r="B155" s="2">
        <v>10</v>
      </c>
      <c r="C155" s="7">
        <v>-2.6180355802078501</v>
      </c>
      <c r="D155" s="7">
        <v>-3.5837330000000001</v>
      </c>
      <c r="E155" s="7">
        <v>1.86202236359215</v>
      </c>
      <c r="F155" s="7">
        <f t="shared" si="8"/>
        <v>2.6180355802078501</v>
      </c>
      <c r="G155" s="7">
        <f t="shared" si="9"/>
        <v>3.5837330000000001</v>
      </c>
      <c r="H155" s="7">
        <f t="shared" si="10"/>
        <v>0.96569741979214996</v>
      </c>
      <c r="I155" s="8">
        <f t="shared" si="11"/>
        <v>0.26946689940130863</v>
      </c>
      <c r="J155" s="9">
        <v>3.06</v>
      </c>
      <c r="K155" s="9">
        <v>5.6977884325919801</v>
      </c>
    </row>
    <row r="156" spans="1:11" ht="12.75" customHeight="1">
      <c r="A156" s="1">
        <v>46180</v>
      </c>
      <c r="B156" s="2">
        <v>11</v>
      </c>
      <c r="C156" s="7">
        <v>-2.79672664298878</v>
      </c>
      <c r="D156" s="7">
        <v>-3.5908500000000001</v>
      </c>
      <c r="E156" s="7">
        <v>1.7692640292112201</v>
      </c>
      <c r="F156" s="7">
        <f t="shared" si="8"/>
        <v>2.79672664298878</v>
      </c>
      <c r="G156" s="7">
        <f t="shared" si="9"/>
        <v>3.5908500000000001</v>
      </c>
      <c r="H156" s="7">
        <f t="shared" si="10"/>
        <v>0.79412335701122005</v>
      </c>
      <c r="I156" s="8">
        <f t="shared" si="11"/>
        <v>0.2211519158447777</v>
      </c>
      <c r="J156" s="9">
        <v>-0.41</v>
      </c>
      <c r="K156" s="9">
        <v>-0.72539825197660102</v>
      </c>
    </row>
    <row r="157" spans="1:11" ht="12.75" customHeight="1">
      <c r="A157" s="1">
        <v>46180</v>
      </c>
      <c r="B157" s="2">
        <v>12</v>
      </c>
      <c r="C157" s="7">
        <v>-2.8604493037471399</v>
      </c>
      <c r="D157" s="7">
        <v>-3.6044369999999999</v>
      </c>
      <c r="E157" s="7">
        <v>1.71718659205286</v>
      </c>
      <c r="F157" s="7">
        <f t="shared" si="8"/>
        <v>2.8604493037471399</v>
      </c>
      <c r="G157" s="7">
        <f t="shared" si="9"/>
        <v>3.6044369999999999</v>
      </c>
      <c r="H157" s="7">
        <f t="shared" si="10"/>
        <v>0.74398769625285999</v>
      </c>
      <c r="I157" s="8">
        <f t="shared" si="11"/>
        <v>0.20640885005143939</v>
      </c>
      <c r="J157" s="9">
        <v>0.3</v>
      </c>
      <c r="K157" s="9">
        <v>0.51515597761585796</v>
      </c>
    </row>
    <row r="158" spans="1:11" ht="12.75" customHeight="1">
      <c r="A158" s="1">
        <v>46180</v>
      </c>
      <c r="B158" s="2">
        <v>13</v>
      </c>
      <c r="C158" s="7">
        <v>-2.9017659887434601</v>
      </c>
      <c r="D158" s="7">
        <v>-3.61673</v>
      </c>
      <c r="E158" s="7">
        <v>1.6454403324565401</v>
      </c>
      <c r="F158" s="7">
        <f t="shared" si="8"/>
        <v>2.9017659887434601</v>
      </c>
      <c r="G158" s="7">
        <f t="shared" si="9"/>
        <v>3.61673</v>
      </c>
      <c r="H158" s="7">
        <f t="shared" si="10"/>
        <v>0.71496401125653986</v>
      </c>
      <c r="I158" s="8">
        <f t="shared" si="11"/>
        <v>0.19768244000977123</v>
      </c>
      <c r="J158" s="9">
        <v>-4.79</v>
      </c>
      <c r="K158" s="9">
        <v>-7.8816591924668096</v>
      </c>
    </row>
    <row r="159" spans="1:11" ht="12.75" customHeight="1">
      <c r="A159" s="1">
        <v>46180</v>
      </c>
      <c r="B159" s="2">
        <v>14</v>
      </c>
      <c r="C159" s="7">
        <v>-3.0006650220128699</v>
      </c>
      <c r="D159" s="7">
        <v>-3.6264349999999999</v>
      </c>
      <c r="E159" s="7">
        <v>1.5470968133871299</v>
      </c>
      <c r="F159" s="7">
        <f t="shared" si="8"/>
        <v>3.0006650220128699</v>
      </c>
      <c r="G159" s="7">
        <f t="shared" si="9"/>
        <v>3.6264349999999999</v>
      </c>
      <c r="H159" s="7">
        <f t="shared" si="10"/>
        <v>0.62576997798712997</v>
      </c>
      <c r="I159" s="8">
        <f t="shared" si="11"/>
        <v>0.17255789170001118</v>
      </c>
      <c r="J159" s="9">
        <v>-7.75</v>
      </c>
      <c r="K159" s="9">
        <v>-11.9900003037502</v>
      </c>
    </row>
    <row r="160" spans="1:11" ht="12.75" customHeight="1">
      <c r="A160" s="1">
        <v>46180</v>
      </c>
      <c r="B160" s="2">
        <v>15</v>
      </c>
      <c r="C160" s="7">
        <v>-3.0817414244405401</v>
      </c>
      <c r="D160" s="7">
        <v>-3.6451980000000002</v>
      </c>
      <c r="E160" s="7">
        <v>1.47328945595946</v>
      </c>
      <c r="F160" s="7">
        <f t="shared" si="8"/>
        <v>3.0817414244405401</v>
      </c>
      <c r="G160" s="7">
        <f t="shared" si="9"/>
        <v>3.6451980000000002</v>
      </c>
      <c r="H160" s="7">
        <f t="shared" si="10"/>
        <v>0.56345657555946005</v>
      </c>
      <c r="I160" s="8">
        <f t="shared" si="11"/>
        <v>0.15457502598197959</v>
      </c>
      <c r="J160" s="9">
        <v>-13.91</v>
      </c>
      <c r="K160" s="9">
        <v>-20.4934563323961</v>
      </c>
    </row>
    <row r="161" spans="1:11" ht="12.75" customHeight="1">
      <c r="A161" s="1">
        <v>46180</v>
      </c>
      <c r="B161" s="2">
        <v>16</v>
      </c>
      <c r="C161" s="7">
        <v>-3.1029218251589499</v>
      </c>
      <c r="D161" s="7">
        <v>-3.645845</v>
      </c>
      <c r="E161" s="7">
        <v>1.3337942356410499</v>
      </c>
      <c r="F161" s="7">
        <f t="shared" si="8"/>
        <v>3.1029218251589499</v>
      </c>
      <c r="G161" s="7">
        <f t="shared" si="9"/>
        <v>3.645845</v>
      </c>
      <c r="H161" s="7">
        <f t="shared" si="10"/>
        <v>0.54292317484105013</v>
      </c>
      <c r="I161" s="8">
        <f t="shared" si="11"/>
        <v>0.14891559428364348</v>
      </c>
      <c r="J161" s="9">
        <v>-11.53</v>
      </c>
      <c r="K161" s="9">
        <v>-15.378647536941299</v>
      </c>
    </row>
    <row r="162" spans="1:11" ht="12.75" customHeight="1">
      <c r="A162" s="1">
        <v>46180</v>
      </c>
      <c r="B162" s="2">
        <v>17</v>
      </c>
      <c r="C162" s="7">
        <v>-3.1957353081137501</v>
      </c>
      <c r="D162" s="7">
        <v>-3.6594319999999998</v>
      </c>
      <c r="E162" s="7">
        <v>1.0752715008862499</v>
      </c>
      <c r="F162" s="7">
        <f t="shared" si="8"/>
        <v>3.1957353081137501</v>
      </c>
      <c r="G162" s="7">
        <f t="shared" si="9"/>
        <v>3.6594319999999998</v>
      </c>
      <c r="H162" s="7">
        <f t="shared" si="10"/>
        <v>0.46369669188624973</v>
      </c>
      <c r="I162" s="8">
        <f t="shared" si="11"/>
        <v>0.12671274992573978</v>
      </c>
      <c r="J162" s="9">
        <v>21.75</v>
      </c>
      <c r="K162" s="9">
        <v>23.387155144276001</v>
      </c>
    </row>
    <row r="163" spans="1:11" ht="12.75" customHeight="1">
      <c r="A163" s="1">
        <v>46180</v>
      </c>
      <c r="B163" s="2">
        <v>18</v>
      </c>
      <c r="C163" s="7">
        <v>-3.4240453891609901</v>
      </c>
      <c r="D163" s="7">
        <v>-3.6723720000000002</v>
      </c>
      <c r="E163" s="7">
        <v>0.68409094523901104</v>
      </c>
      <c r="F163" s="7">
        <f t="shared" si="8"/>
        <v>3.4240453891609901</v>
      </c>
      <c r="G163" s="7">
        <f t="shared" si="9"/>
        <v>3.6723720000000002</v>
      </c>
      <c r="H163" s="7">
        <f t="shared" si="10"/>
        <v>0.24832661083901009</v>
      </c>
      <c r="I163" s="8">
        <f t="shared" si="11"/>
        <v>6.7620222253902948E-2</v>
      </c>
      <c r="J163" s="9">
        <v>13.35</v>
      </c>
      <c r="K163" s="9">
        <v>9.1326141189408006</v>
      </c>
    </row>
    <row r="164" spans="1:11" ht="12.75" customHeight="1">
      <c r="A164" s="1">
        <v>46180</v>
      </c>
      <c r="B164" s="2">
        <v>19</v>
      </c>
      <c r="C164" s="7">
        <v>-3.9556336764278601</v>
      </c>
      <c r="D164" s="7">
        <v>-3.7008399999999999</v>
      </c>
      <c r="E164" s="7">
        <v>-9.6862658627862294E-2</v>
      </c>
      <c r="F164" s="7">
        <f t="shared" si="8"/>
        <v>3.9556336764278601</v>
      </c>
      <c r="G164" s="7">
        <f t="shared" si="9"/>
        <v>3.7008399999999999</v>
      </c>
      <c r="H164" s="7">
        <f t="shared" si="10"/>
        <v>0.25479367642786022</v>
      </c>
      <c r="I164" s="8">
        <f t="shared" si="11"/>
        <v>6.884752554227154E-2</v>
      </c>
      <c r="J164" s="9">
        <v>71.7</v>
      </c>
      <c r="K164" s="9">
        <v>-6.9450526236177303</v>
      </c>
    </row>
    <row r="165" spans="1:11" ht="12.75" customHeight="1">
      <c r="A165" s="1">
        <v>46180</v>
      </c>
      <c r="B165" s="2">
        <v>20</v>
      </c>
      <c r="C165" s="7">
        <v>-4.50862022177252</v>
      </c>
      <c r="D165" s="7">
        <v>-4.3640150000000002</v>
      </c>
      <c r="E165" s="7">
        <v>-0.126411322972518</v>
      </c>
      <c r="F165" s="7">
        <f t="shared" si="8"/>
        <v>4.50862022177252</v>
      </c>
      <c r="G165" s="7">
        <f t="shared" si="9"/>
        <v>4.3640150000000002</v>
      </c>
      <c r="H165" s="7">
        <f t="shared" si="10"/>
        <v>0.14460522177251978</v>
      </c>
      <c r="I165" s="8">
        <f t="shared" si="11"/>
        <v>3.3135821433363487E-2</v>
      </c>
      <c r="J165" s="9">
        <v>68.569999999999993</v>
      </c>
      <c r="K165" s="9">
        <v>-8.6680244162255597</v>
      </c>
    </row>
    <row r="166" spans="1:11" ht="12.75" customHeight="1">
      <c r="A166" s="1">
        <v>46180</v>
      </c>
      <c r="B166" s="2">
        <v>21</v>
      </c>
      <c r="C166" s="7">
        <v>-4.7504080832144204</v>
      </c>
      <c r="D166" s="7">
        <v>-4.7476859999999999</v>
      </c>
      <c r="E166" s="7">
        <v>-2.72208321442294E-3</v>
      </c>
      <c r="F166" s="7">
        <f t="shared" si="8"/>
        <v>4.7504080832144204</v>
      </c>
      <c r="G166" s="7">
        <f t="shared" si="9"/>
        <v>4.7476859999999999</v>
      </c>
      <c r="H166" s="7">
        <f t="shared" si="10"/>
        <v>2.7220832144205787E-3</v>
      </c>
      <c r="I166" s="8">
        <f t="shared" si="11"/>
        <v>5.7334946212124786E-4</v>
      </c>
      <c r="J166" s="9">
        <v>101.89</v>
      </c>
      <c r="K166" s="9">
        <v>-0.277353058717554</v>
      </c>
    </row>
    <row r="167" spans="1:11" ht="12.75" customHeight="1">
      <c r="A167" s="1">
        <v>46180</v>
      </c>
      <c r="B167" s="2">
        <v>22</v>
      </c>
      <c r="C167" s="7">
        <v>-4.4409935848886404</v>
      </c>
      <c r="D167" s="7">
        <v>-4.5755840000000001</v>
      </c>
      <c r="E167" s="7">
        <v>0.13459041511136199</v>
      </c>
      <c r="F167" s="7">
        <f t="shared" si="8"/>
        <v>4.4409935848886404</v>
      </c>
      <c r="G167" s="7">
        <f t="shared" si="9"/>
        <v>4.5755840000000001</v>
      </c>
      <c r="H167" s="7">
        <f t="shared" si="10"/>
        <v>0.13459041511135972</v>
      </c>
      <c r="I167" s="8">
        <f t="shared" si="11"/>
        <v>2.9414915147740642E-2</v>
      </c>
      <c r="J167" s="9">
        <v>37.909999999999997</v>
      </c>
      <c r="K167" s="9">
        <v>5.1023226368717296</v>
      </c>
    </row>
    <row r="168" spans="1:11" ht="12.75" customHeight="1">
      <c r="A168" s="1">
        <v>46180</v>
      </c>
      <c r="B168" s="2">
        <v>23</v>
      </c>
      <c r="C168" s="7">
        <v>-3.7945189345651</v>
      </c>
      <c r="D168" s="7">
        <v>-3.882647</v>
      </c>
      <c r="E168" s="7">
        <v>8.8128065434899303E-2</v>
      </c>
      <c r="F168" s="7">
        <f t="shared" si="8"/>
        <v>3.7945189345651</v>
      </c>
      <c r="G168" s="7">
        <f t="shared" si="9"/>
        <v>3.882647</v>
      </c>
      <c r="H168" s="7">
        <f t="shared" si="10"/>
        <v>8.8128065434899927E-2</v>
      </c>
      <c r="I168" s="8">
        <f t="shared" si="11"/>
        <v>2.2697934021532199E-2</v>
      </c>
      <c r="J168" s="9">
        <v>72.83</v>
      </c>
      <c r="K168" s="9">
        <v>6.4183670056237201</v>
      </c>
    </row>
    <row r="169" spans="1:11" ht="12.75" customHeight="1">
      <c r="A169" s="1">
        <v>46180</v>
      </c>
      <c r="B169" s="2">
        <v>24</v>
      </c>
      <c r="C169" s="7">
        <v>-3.41464665680836</v>
      </c>
      <c r="D169" s="7">
        <v>-3.471155</v>
      </c>
      <c r="E169" s="7">
        <v>5.6508343191638701E-2</v>
      </c>
      <c r="F169" s="7">
        <f t="shared" si="8"/>
        <v>3.41464665680836</v>
      </c>
      <c r="G169" s="7">
        <f t="shared" si="9"/>
        <v>3.471155</v>
      </c>
      <c r="H169" s="7">
        <f t="shared" si="10"/>
        <v>5.6508343191639998E-2</v>
      </c>
      <c r="I169" s="8">
        <f t="shared" si="11"/>
        <v>1.6279406477567263E-2</v>
      </c>
      <c r="J169" s="9">
        <v>86.48</v>
      </c>
      <c r="K169" s="9">
        <v>4.8868415192129104</v>
      </c>
    </row>
    <row r="170" spans="1:11" ht="12.75" customHeight="1">
      <c r="A170" s="1">
        <v>46181</v>
      </c>
      <c r="B170" s="2">
        <v>1</v>
      </c>
      <c r="C170" s="7">
        <v>-3.3043696190530198</v>
      </c>
      <c r="D170" s="7">
        <v>-3.3100520000000002</v>
      </c>
      <c r="E170" s="7">
        <v>5.6823809469805104E-3</v>
      </c>
      <c r="F170" s="7">
        <f t="shared" si="8"/>
        <v>3.3043696190530198</v>
      </c>
      <c r="G170" s="7">
        <f t="shared" si="9"/>
        <v>3.3100520000000002</v>
      </c>
      <c r="H170" s="7">
        <f t="shared" si="10"/>
        <v>5.6823809469803699E-3</v>
      </c>
      <c r="I170" s="8">
        <f t="shared" si="11"/>
        <v>1.7167044345467591E-3</v>
      </c>
      <c r="J170" s="9">
        <v>49.78</v>
      </c>
      <c r="K170" s="9">
        <v>0.28286892354068999</v>
      </c>
    </row>
    <row r="171" spans="1:11" ht="12.75" customHeight="1">
      <c r="A171" s="1">
        <v>46181</v>
      </c>
      <c r="B171" s="2">
        <v>2</v>
      </c>
      <c r="C171" s="7">
        <v>-3.2001500980861</v>
      </c>
      <c r="D171" s="7">
        <v>-3.3314029999999999</v>
      </c>
      <c r="E171" s="7">
        <v>0.13125290191389599</v>
      </c>
      <c r="F171" s="7">
        <f t="shared" si="8"/>
        <v>3.2001500980861</v>
      </c>
      <c r="G171" s="7">
        <f t="shared" si="9"/>
        <v>3.3314029999999999</v>
      </c>
      <c r="H171" s="7">
        <f t="shared" si="10"/>
        <v>0.13125290191389993</v>
      </c>
      <c r="I171" s="8">
        <f t="shared" si="11"/>
        <v>3.9398686353437254E-2</v>
      </c>
      <c r="J171" s="9">
        <v>47.99</v>
      </c>
      <c r="K171" s="9">
        <v>6.2988267628478596</v>
      </c>
    </row>
    <row r="172" spans="1:11" ht="12.75" customHeight="1">
      <c r="A172" s="1">
        <v>46181</v>
      </c>
      <c r="B172" s="2">
        <v>3</v>
      </c>
      <c r="C172" s="7">
        <v>-3.1743882488130799</v>
      </c>
      <c r="D172" s="7">
        <v>-3.3268740000000001</v>
      </c>
      <c r="E172" s="7">
        <v>0.15248575118692301</v>
      </c>
      <c r="F172" s="7">
        <f t="shared" si="8"/>
        <v>3.1743882488130799</v>
      </c>
      <c r="G172" s="7">
        <f t="shared" si="9"/>
        <v>3.3268740000000001</v>
      </c>
      <c r="H172" s="7">
        <f t="shared" si="10"/>
        <v>0.1524857511869202</v>
      </c>
      <c r="I172" s="8">
        <f t="shared" si="11"/>
        <v>4.5834543534537288E-2</v>
      </c>
      <c r="J172" s="9">
        <v>38.15</v>
      </c>
      <c r="K172" s="9">
        <v>5.8173314077811096</v>
      </c>
    </row>
    <row r="173" spans="1:11" ht="12.75" customHeight="1">
      <c r="A173" s="1">
        <v>46181</v>
      </c>
      <c r="B173" s="2">
        <v>4</v>
      </c>
      <c r="C173" s="7">
        <v>-3.1450407022420399</v>
      </c>
      <c r="D173" s="7">
        <v>-3.7377189999999998</v>
      </c>
      <c r="E173" s="7">
        <v>0.59267829775796499</v>
      </c>
      <c r="F173" s="7">
        <f t="shared" si="8"/>
        <v>3.1450407022420399</v>
      </c>
      <c r="G173" s="7">
        <f t="shared" si="9"/>
        <v>3.7377189999999998</v>
      </c>
      <c r="H173" s="7">
        <f t="shared" si="10"/>
        <v>0.59267829775795988</v>
      </c>
      <c r="I173" s="8">
        <f t="shared" si="11"/>
        <v>0.15856684190490508</v>
      </c>
      <c r="J173" s="9">
        <v>24.02</v>
      </c>
      <c r="K173" s="9">
        <v>14.236132712146301</v>
      </c>
    </row>
    <row r="174" spans="1:11" ht="12.75" customHeight="1">
      <c r="A174" s="1">
        <v>46181</v>
      </c>
      <c r="B174" s="2">
        <v>5</v>
      </c>
      <c r="C174" s="7">
        <v>-3.1177705770794599</v>
      </c>
      <c r="D174" s="7">
        <v>-3.285466</v>
      </c>
      <c r="E174" s="7">
        <v>0.16769542292054301</v>
      </c>
      <c r="F174" s="7">
        <f t="shared" si="8"/>
        <v>3.1177705770794599</v>
      </c>
      <c r="G174" s="7">
        <f t="shared" si="9"/>
        <v>3.285466</v>
      </c>
      <c r="H174" s="7">
        <f t="shared" si="10"/>
        <v>0.16769542292054007</v>
      </c>
      <c r="I174" s="8">
        <f t="shared" si="11"/>
        <v>5.1041594379774458E-2</v>
      </c>
      <c r="J174" s="9">
        <v>27</v>
      </c>
      <c r="K174" s="9">
        <v>4.5277764188546499</v>
      </c>
    </row>
    <row r="175" spans="1:11" ht="12.75" customHeight="1">
      <c r="A175" s="1">
        <v>46181</v>
      </c>
      <c r="B175" s="2">
        <v>6</v>
      </c>
      <c r="C175" s="7">
        <v>-2.7601325645231198</v>
      </c>
      <c r="D175" s="7">
        <v>-3.1968269999999999</v>
      </c>
      <c r="E175" s="7">
        <v>0.460772411076878</v>
      </c>
      <c r="F175" s="7">
        <f t="shared" si="8"/>
        <v>2.7601325645231198</v>
      </c>
      <c r="G175" s="7">
        <f t="shared" si="9"/>
        <v>3.1968269999999999</v>
      </c>
      <c r="H175" s="7">
        <f t="shared" si="10"/>
        <v>0.43669443547688003</v>
      </c>
      <c r="I175" s="8">
        <f t="shared" si="11"/>
        <v>0.13660246096422485</v>
      </c>
      <c r="J175" s="9">
        <v>23.25</v>
      </c>
      <c r="K175" s="9">
        <v>10.7129585575374</v>
      </c>
    </row>
    <row r="176" spans="1:11" ht="12.75" customHeight="1">
      <c r="A176" s="1">
        <v>46181</v>
      </c>
      <c r="B176" s="2">
        <v>7</v>
      </c>
      <c r="C176" s="7">
        <v>-2.5565587877218299</v>
      </c>
      <c r="D176" s="7">
        <v>-3.7014870000000002</v>
      </c>
      <c r="E176" s="7">
        <v>1.2823943612781701</v>
      </c>
      <c r="F176" s="7">
        <f t="shared" si="8"/>
        <v>2.5565587877218299</v>
      </c>
      <c r="G176" s="7">
        <f t="shared" si="9"/>
        <v>3.7014870000000002</v>
      </c>
      <c r="H176" s="7">
        <f t="shared" si="10"/>
        <v>1.1449282122781703</v>
      </c>
      <c r="I176" s="8">
        <f t="shared" si="11"/>
        <v>0.30931574588217392</v>
      </c>
      <c r="J176" s="9">
        <v>16.22</v>
      </c>
      <c r="K176" s="9">
        <v>20.800436539931901</v>
      </c>
    </row>
    <row r="177" spans="1:11" ht="12.75" customHeight="1">
      <c r="A177" s="1">
        <v>46181</v>
      </c>
      <c r="B177" s="2">
        <v>8</v>
      </c>
      <c r="C177" s="7">
        <v>-2.9941735399336098</v>
      </c>
      <c r="D177" s="7">
        <v>-3.6451980000000002</v>
      </c>
      <c r="E177" s="7">
        <v>1.05402846706639</v>
      </c>
      <c r="F177" s="7">
        <f t="shared" si="8"/>
        <v>2.9941735399336098</v>
      </c>
      <c r="G177" s="7">
        <f t="shared" si="9"/>
        <v>3.6451980000000002</v>
      </c>
      <c r="H177" s="7">
        <f t="shared" si="10"/>
        <v>0.65102446006639036</v>
      </c>
      <c r="I177" s="8">
        <f t="shared" si="11"/>
        <v>0.17859783201526785</v>
      </c>
      <c r="J177" s="9">
        <v>16.66</v>
      </c>
      <c r="K177" s="9">
        <v>17.560114261326099</v>
      </c>
    </row>
    <row r="178" spans="1:11" ht="12.75" customHeight="1">
      <c r="A178" s="1">
        <v>46181</v>
      </c>
      <c r="B178" s="2">
        <v>9</v>
      </c>
      <c r="C178" s="7">
        <v>-3.8417612215391301</v>
      </c>
      <c r="D178" s="7">
        <v>-3.6154359999999999</v>
      </c>
      <c r="E178" s="7">
        <v>0.115376182460868</v>
      </c>
      <c r="F178" s="7">
        <f t="shared" si="8"/>
        <v>3.8417612215391301</v>
      </c>
      <c r="G178" s="7">
        <f t="shared" si="9"/>
        <v>3.6154359999999999</v>
      </c>
      <c r="H178" s="7">
        <f t="shared" si="10"/>
        <v>0.22632522153913026</v>
      </c>
      <c r="I178" s="8">
        <f t="shared" si="11"/>
        <v>6.2599703476739807E-2</v>
      </c>
      <c r="J178" s="9">
        <v>25.25</v>
      </c>
      <c r="K178" s="9">
        <v>2.9132486071369201</v>
      </c>
    </row>
    <row r="179" spans="1:11" ht="12.75" customHeight="1">
      <c r="A179" s="1">
        <v>46181</v>
      </c>
      <c r="B179" s="2">
        <v>10</v>
      </c>
      <c r="C179" s="7">
        <v>-4.0819553876141503</v>
      </c>
      <c r="D179" s="7">
        <v>-3.625788</v>
      </c>
      <c r="E179" s="7">
        <v>4.2908663858505901E-3</v>
      </c>
      <c r="F179" s="7">
        <f t="shared" si="8"/>
        <v>4.0819553876141503</v>
      </c>
      <c r="G179" s="7">
        <f t="shared" si="9"/>
        <v>3.625788</v>
      </c>
      <c r="H179" s="7">
        <f t="shared" si="10"/>
        <v>0.45616738761415032</v>
      </c>
      <c r="I179" s="8">
        <f t="shared" si="11"/>
        <v>0.12581193043116429</v>
      </c>
      <c r="J179" s="9">
        <v>8.5</v>
      </c>
      <c r="K179" s="9">
        <v>3.6472364279730003E-2</v>
      </c>
    </row>
    <row r="180" spans="1:11" ht="12.75" customHeight="1">
      <c r="A180" s="1">
        <v>46181</v>
      </c>
      <c r="B180" s="2">
        <v>11</v>
      </c>
      <c r="C180" s="7">
        <v>-4.2264795395522698</v>
      </c>
      <c r="D180" s="7">
        <v>-3.1547719999999999</v>
      </c>
      <c r="E180" s="7">
        <v>-0.53872964355226904</v>
      </c>
      <c r="F180" s="7">
        <f t="shared" si="8"/>
        <v>4.2264795395522698</v>
      </c>
      <c r="G180" s="7">
        <f t="shared" si="9"/>
        <v>3.1547719999999999</v>
      </c>
      <c r="H180" s="7">
        <f t="shared" si="10"/>
        <v>1.0717075395522699</v>
      </c>
      <c r="I180" s="8">
        <f t="shared" si="11"/>
        <v>0.33970998206915426</v>
      </c>
      <c r="J180" s="9">
        <v>24.27</v>
      </c>
      <c r="K180" s="9">
        <v>-13.0749684490136</v>
      </c>
    </row>
    <row r="181" spans="1:11" ht="12.75" customHeight="1">
      <c r="A181" s="1">
        <v>46181</v>
      </c>
      <c r="B181" s="2">
        <v>12</v>
      </c>
      <c r="C181" s="7">
        <v>-4.2125681572560101</v>
      </c>
      <c r="D181" s="7">
        <v>-3.609613</v>
      </c>
      <c r="E181" s="7">
        <v>-2.95102456005939E-4</v>
      </c>
      <c r="F181" s="7">
        <f t="shared" si="8"/>
        <v>4.2125681572560101</v>
      </c>
      <c r="G181" s="7">
        <f t="shared" si="9"/>
        <v>3.609613</v>
      </c>
      <c r="H181" s="7">
        <f t="shared" si="10"/>
        <v>0.60295515725601012</v>
      </c>
      <c r="I181" s="8">
        <f t="shared" si="11"/>
        <v>0.16704149648619121</v>
      </c>
      <c r="J181" s="9">
        <v>16.8</v>
      </c>
      <c r="K181" s="9">
        <v>-4.9577212608997697E-3</v>
      </c>
    </row>
    <row r="182" spans="1:11" ht="12.75" customHeight="1">
      <c r="A182" s="1">
        <v>46181</v>
      </c>
      <c r="B182" s="2">
        <v>13</v>
      </c>
      <c r="C182" s="7">
        <v>-4.1347996015623396</v>
      </c>
      <c r="D182" s="7">
        <v>-3.6083189999999998</v>
      </c>
      <c r="E182" s="7">
        <v>2.7705307437662498E-2</v>
      </c>
      <c r="F182" s="7">
        <f t="shared" si="8"/>
        <v>4.1347996015623396</v>
      </c>
      <c r="G182" s="7">
        <f t="shared" si="9"/>
        <v>3.6083189999999998</v>
      </c>
      <c r="H182" s="7">
        <f t="shared" si="10"/>
        <v>0.52648060156233978</v>
      </c>
      <c r="I182" s="8">
        <f t="shared" si="11"/>
        <v>0.14590744376047124</v>
      </c>
      <c r="J182" s="9">
        <v>26</v>
      </c>
      <c r="K182" s="9">
        <v>0.72033799337922499</v>
      </c>
    </row>
    <row r="183" spans="1:11" ht="12.75" customHeight="1">
      <c r="A183" s="1">
        <v>46181</v>
      </c>
      <c r="B183" s="2">
        <v>14</v>
      </c>
      <c r="C183" s="7">
        <v>-4.3060506994972299</v>
      </c>
      <c r="D183" s="7">
        <v>-3.6012019999999998</v>
      </c>
      <c r="E183" s="7">
        <v>-0.203098905497231</v>
      </c>
      <c r="F183" s="7">
        <f t="shared" si="8"/>
        <v>4.3060506994972299</v>
      </c>
      <c r="G183" s="7">
        <f t="shared" si="9"/>
        <v>3.6012019999999998</v>
      </c>
      <c r="H183" s="7">
        <f t="shared" si="10"/>
        <v>0.70484869949723006</v>
      </c>
      <c r="I183" s="8">
        <f t="shared" si="11"/>
        <v>0.19572595469435763</v>
      </c>
      <c r="J183" s="9">
        <v>23.62</v>
      </c>
      <c r="K183" s="9">
        <v>-4.7971961478445904</v>
      </c>
    </row>
    <row r="184" spans="1:11" ht="12.75" customHeight="1">
      <c r="A184" s="1">
        <v>46181</v>
      </c>
      <c r="B184" s="2">
        <v>15</v>
      </c>
      <c r="C184" s="7">
        <v>-4.4761845481588303</v>
      </c>
      <c r="D184" s="7">
        <v>-3.6050840000000002</v>
      </c>
      <c r="E184" s="7">
        <v>-0.392759861158826</v>
      </c>
      <c r="F184" s="7">
        <f t="shared" si="8"/>
        <v>4.4761845481588303</v>
      </c>
      <c r="G184" s="7">
        <f t="shared" si="9"/>
        <v>3.6050840000000002</v>
      </c>
      <c r="H184" s="7">
        <f t="shared" si="10"/>
        <v>0.87110054815883009</v>
      </c>
      <c r="I184" s="8">
        <f t="shared" si="11"/>
        <v>0.24163113762642702</v>
      </c>
      <c r="J184" s="9">
        <v>40.020000000000003</v>
      </c>
      <c r="K184" s="9">
        <v>-15.7182496435762</v>
      </c>
    </row>
    <row r="185" spans="1:11" ht="12.75" customHeight="1">
      <c r="A185" s="1">
        <v>46181</v>
      </c>
      <c r="B185" s="2">
        <v>16</v>
      </c>
      <c r="C185" s="7">
        <v>-4.5744112459340904</v>
      </c>
      <c r="D185" s="7">
        <v>-3.37087</v>
      </c>
      <c r="E185" s="7">
        <v>-0.83308586793409201</v>
      </c>
      <c r="F185" s="7">
        <f t="shared" si="8"/>
        <v>4.5744112459340904</v>
      </c>
      <c r="G185" s="7">
        <f t="shared" si="9"/>
        <v>3.37087</v>
      </c>
      <c r="H185" s="7">
        <f t="shared" si="10"/>
        <v>1.2035412459340904</v>
      </c>
      <c r="I185" s="8">
        <f t="shared" si="11"/>
        <v>0.35704172689367741</v>
      </c>
      <c r="J185" s="9">
        <v>0.9</v>
      </c>
      <c r="K185" s="9">
        <v>-0.74977728114068298</v>
      </c>
    </row>
    <row r="186" spans="1:11" ht="12.75" customHeight="1">
      <c r="A186" s="1">
        <v>46181</v>
      </c>
      <c r="B186" s="2">
        <v>17</v>
      </c>
      <c r="C186" s="7">
        <v>-4.69099752370097</v>
      </c>
      <c r="D186" s="7">
        <v>-3.6115539999999999</v>
      </c>
      <c r="E186" s="7">
        <v>-0.86338369670096804</v>
      </c>
      <c r="F186" s="7">
        <f t="shared" si="8"/>
        <v>4.69099752370097</v>
      </c>
      <c r="G186" s="7">
        <f t="shared" si="9"/>
        <v>3.6115539999999999</v>
      </c>
      <c r="H186" s="7">
        <f t="shared" si="10"/>
        <v>1.0794435237009701</v>
      </c>
      <c r="I186" s="8">
        <f t="shared" si="11"/>
        <v>0.29888616470942153</v>
      </c>
      <c r="J186" s="9">
        <v>23.91</v>
      </c>
      <c r="K186" s="9">
        <v>-20.6435041881202</v>
      </c>
    </row>
    <row r="187" spans="1:11" ht="12.75" customHeight="1">
      <c r="A187" s="1">
        <v>46181</v>
      </c>
      <c r="B187" s="2">
        <v>18</v>
      </c>
      <c r="C187" s="7">
        <v>-4.7676746741871696</v>
      </c>
      <c r="D187" s="7">
        <v>-4.1705620000000003</v>
      </c>
      <c r="E187" s="7">
        <v>-0.431016128187174</v>
      </c>
      <c r="F187" s="7">
        <f t="shared" si="8"/>
        <v>4.7676746741871696</v>
      </c>
      <c r="G187" s="7">
        <f t="shared" si="9"/>
        <v>4.1705620000000003</v>
      </c>
      <c r="H187" s="7">
        <f t="shared" si="10"/>
        <v>0.59711267418716929</v>
      </c>
      <c r="I187" s="8">
        <f t="shared" si="11"/>
        <v>0.14317319205113585</v>
      </c>
      <c r="J187" s="9">
        <v>20.05</v>
      </c>
      <c r="K187" s="9">
        <v>-8.6418733701528296</v>
      </c>
    </row>
    <row r="188" spans="1:11" ht="12.75" customHeight="1">
      <c r="A188" s="1">
        <v>46181</v>
      </c>
      <c r="B188" s="2">
        <v>19</v>
      </c>
      <c r="C188" s="7">
        <v>-4.9855630225200098</v>
      </c>
      <c r="D188" s="7">
        <v>-4.67781</v>
      </c>
      <c r="E188" s="7">
        <v>-0.28039850952001399</v>
      </c>
      <c r="F188" s="7">
        <f t="shared" si="8"/>
        <v>4.9855630225200098</v>
      </c>
      <c r="G188" s="7">
        <f t="shared" si="9"/>
        <v>4.67781</v>
      </c>
      <c r="H188" s="7">
        <f t="shared" si="10"/>
        <v>0.3077530225200098</v>
      </c>
      <c r="I188" s="8">
        <f t="shared" si="11"/>
        <v>6.5789979182568292E-2</v>
      </c>
      <c r="J188" s="9">
        <v>63.37</v>
      </c>
      <c r="K188" s="9">
        <v>-17.7688535482833</v>
      </c>
    </row>
    <row r="189" spans="1:11" ht="12.75" customHeight="1">
      <c r="A189" s="1">
        <v>46181</v>
      </c>
      <c r="B189" s="2">
        <v>20</v>
      </c>
      <c r="C189" s="7">
        <v>-5.8241818857172296</v>
      </c>
      <c r="D189" s="7">
        <v>-5.4904419999999998</v>
      </c>
      <c r="E189" s="7">
        <v>-0.33285996571722898</v>
      </c>
      <c r="F189" s="7">
        <f t="shared" si="8"/>
        <v>5.8241818857172296</v>
      </c>
      <c r="G189" s="7">
        <f t="shared" si="9"/>
        <v>5.4904419999999998</v>
      </c>
      <c r="H189" s="7">
        <f t="shared" si="10"/>
        <v>0.33373988571722979</v>
      </c>
      <c r="I189" s="8">
        <f t="shared" si="11"/>
        <v>6.0785613565762064E-2</v>
      </c>
      <c r="J189" s="9">
        <v>41.47</v>
      </c>
      <c r="K189" s="9">
        <v>-13.8037027782935</v>
      </c>
    </row>
    <row r="190" spans="1:11" ht="12.75" customHeight="1">
      <c r="A190" s="1">
        <v>46181</v>
      </c>
      <c r="B190" s="2">
        <v>21</v>
      </c>
      <c r="C190" s="7">
        <v>-6.38026498156868</v>
      </c>
      <c r="D190" s="7">
        <v>-5.8081189999999996</v>
      </c>
      <c r="E190" s="7">
        <v>-0.57214598156867702</v>
      </c>
      <c r="F190" s="7">
        <f t="shared" si="8"/>
        <v>6.38026498156868</v>
      </c>
      <c r="G190" s="7">
        <f t="shared" si="9"/>
        <v>5.8081189999999996</v>
      </c>
      <c r="H190" s="7">
        <f t="shared" si="10"/>
        <v>0.57214598156868046</v>
      </c>
      <c r="I190" s="8">
        <f t="shared" si="11"/>
        <v>9.850796472466912E-2</v>
      </c>
      <c r="J190" s="9">
        <v>67.23</v>
      </c>
      <c r="K190" s="9">
        <v>-38.465374340862198</v>
      </c>
    </row>
    <row r="191" spans="1:11" ht="12.75" customHeight="1">
      <c r="A191" s="1">
        <v>46181</v>
      </c>
      <c r="B191" s="2">
        <v>22</v>
      </c>
      <c r="C191" s="7">
        <v>-6.2767196063829296</v>
      </c>
      <c r="D191" s="7">
        <v>-5.4872069999999997</v>
      </c>
      <c r="E191" s="7">
        <v>-0.78951260638292997</v>
      </c>
      <c r="F191" s="7">
        <f t="shared" si="8"/>
        <v>6.2767196063829296</v>
      </c>
      <c r="G191" s="7">
        <f t="shared" si="9"/>
        <v>5.4872069999999997</v>
      </c>
      <c r="H191" s="7">
        <f t="shared" si="10"/>
        <v>0.78951260638292986</v>
      </c>
      <c r="I191" s="8">
        <f t="shared" si="11"/>
        <v>0.14388241711729299</v>
      </c>
      <c r="J191" s="9">
        <v>108.97</v>
      </c>
      <c r="K191" s="9">
        <v>-86.033188717547901</v>
      </c>
    </row>
    <row r="192" spans="1:11" ht="12.75" customHeight="1">
      <c r="A192" s="1">
        <v>46181</v>
      </c>
      <c r="B192" s="2">
        <v>23</v>
      </c>
      <c r="C192" s="7">
        <v>-5.3446806252017298</v>
      </c>
      <c r="D192" s="7">
        <v>-4.688809</v>
      </c>
      <c r="E192" s="7">
        <v>-0.65587162520173403</v>
      </c>
      <c r="F192" s="7">
        <f t="shared" si="8"/>
        <v>5.3446806252017298</v>
      </c>
      <c r="G192" s="7">
        <f t="shared" si="9"/>
        <v>4.688809</v>
      </c>
      <c r="H192" s="7">
        <f t="shared" si="10"/>
        <v>0.65587162520172981</v>
      </c>
      <c r="I192" s="8">
        <f t="shared" si="11"/>
        <v>0.13988021802588457</v>
      </c>
      <c r="J192" s="9">
        <v>108.12</v>
      </c>
      <c r="K192" s="9">
        <v>-70.912840116811395</v>
      </c>
    </row>
    <row r="193" spans="1:11" ht="12.75" customHeight="1">
      <c r="A193" s="1">
        <v>46181</v>
      </c>
      <c r="B193" s="2">
        <v>24</v>
      </c>
      <c r="C193" s="7">
        <v>-4.6202056250904304</v>
      </c>
      <c r="D193" s="7">
        <v>-4.1045680000000004</v>
      </c>
      <c r="E193" s="7">
        <v>-0.51563762509042999</v>
      </c>
      <c r="F193" s="7">
        <f t="shared" si="8"/>
        <v>4.6202056250904304</v>
      </c>
      <c r="G193" s="7">
        <f t="shared" si="9"/>
        <v>4.1045680000000004</v>
      </c>
      <c r="H193" s="7">
        <f t="shared" si="10"/>
        <v>0.51563762509042999</v>
      </c>
      <c r="I193" s="8">
        <f t="shared" si="11"/>
        <v>0.12562530943339956</v>
      </c>
      <c r="J193" s="9">
        <v>109.86</v>
      </c>
      <c r="K193" s="9">
        <v>-56.647949492434698</v>
      </c>
    </row>
    <row r="194" spans="1:11" ht="12.75" customHeight="1">
      <c r="A194" s="1">
        <v>46182</v>
      </c>
      <c r="B194" s="2">
        <v>1</v>
      </c>
      <c r="C194" s="7">
        <v>-4.3307549690784199</v>
      </c>
      <c r="D194" s="7">
        <v>-3.8949400000000001</v>
      </c>
      <c r="E194" s="7">
        <v>-0.43581496907841499</v>
      </c>
      <c r="F194" s="7">
        <f t="shared" ref="F194:F257" si="12">ABS(C194)</f>
        <v>4.3307549690784199</v>
      </c>
      <c r="G194" s="7">
        <f t="shared" ref="G194:G257" si="13">ABS(D194)</f>
        <v>3.8949400000000001</v>
      </c>
      <c r="H194" s="7">
        <f t="shared" ref="H194:H257" si="14">ABS(G194-F194)</f>
        <v>0.43581496907841988</v>
      </c>
      <c r="I194" s="8">
        <f t="shared" ref="I194:I257" si="15">H194/G194</f>
        <v>0.11189260144659992</v>
      </c>
      <c r="J194" s="9">
        <v>110.96</v>
      </c>
      <c r="K194" s="9">
        <v>-48.3580289689409</v>
      </c>
    </row>
    <row r="195" spans="1:11" ht="12.75" customHeight="1">
      <c r="A195" s="1">
        <v>46182</v>
      </c>
      <c r="B195" s="2">
        <v>2</v>
      </c>
      <c r="C195" s="7">
        <v>-4.1055921429486197</v>
      </c>
      <c r="D195" s="7">
        <v>-3.8554729999999999</v>
      </c>
      <c r="E195" s="7">
        <v>-0.25011914294861798</v>
      </c>
      <c r="F195" s="7">
        <f t="shared" si="12"/>
        <v>4.1055921429486197</v>
      </c>
      <c r="G195" s="7">
        <f t="shared" si="13"/>
        <v>3.8554729999999999</v>
      </c>
      <c r="H195" s="7">
        <f t="shared" si="14"/>
        <v>0.25011914294861981</v>
      </c>
      <c r="I195" s="8">
        <f t="shared" si="15"/>
        <v>6.4873789272709162E-2</v>
      </c>
      <c r="J195" s="9">
        <v>105.66</v>
      </c>
      <c r="K195" s="9">
        <v>-26.427588643951001</v>
      </c>
    </row>
    <row r="196" spans="1:11" ht="12.75" customHeight="1">
      <c r="A196" s="1">
        <v>46182</v>
      </c>
      <c r="B196" s="2">
        <v>3</v>
      </c>
      <c r="C196" s="7">
        <v>-3.9255835227235099</v>
      </c>
      <c r="D196" s="7">
        <v>-3.7538939999999998</v>
      </c>
      <c r="E196" s="7">
        <v>-0.17168952272350499</v>
      </c>
      <c r="F196" s="7">
        <f t="shared" si="12"/>
        <v>3.9255835227235099</v>
      </c>
      <c r="G196" s="7">
        <f t="shared" si="13"/>
        <v>3.7538939999999998</v>
      </c>
      <c r="H196" s="7">
        <f t="shared" si="14"/>
        <v>0.17168952272351001</v>
      </c>
      <c r="I196" s="8">
        <f t="shared" si="15"/>
        <v>4.5736380069205475E-2</v>
      </c>
      <c r="J196" s="9">
        <v>107.08</v>
      </c>
      <c r="K196" s="9">
        <v>-18.384514093232902</v>
      </c>
    </row>
    <row r="197" spans="1:11" ht="12.75" customHeight="1">
      <c r="A197" s="1">
        <v>46182</v>
      </c>
      <c r="B197" s="2">
        <v>4</v>
      </c>
      <c r="C197" s="7">
        <v>-3.8995608345831201</v>
      </c>
      <c r="D197" s="7">
        <v>-3.8075950000000001</v>
      </c>
      <c r="E197" s="7">
        <v>-9.19658345831188E-2</v>
      </c>
      <c r="F197" s="7">
        <f t="shared" si="12"/>
        <v>3.8995608345831201</v>
      </c>
      <c r="G197" s="7">
        <f t="shared" si="13"/>
        <v>3.8075950000000001</v>
      </c>
      <c r="H197" s="7">
        <f t="shared" si="14"/>
        <v>9.1965834583120021E-2</v>
      </c>
      <c r="I197" s="8">
        <f t="shared" si="15"/>
        <v>2.4153260675864954E-2</v>
      </c>
      <c r="J197" s="9">
        <v>93.95</v>
      </c>
      <c r="K197" s="9">
        <v>-8.6401901590840193</v>
      </c>
    </row>
    <row r="198" spans="1:11" ht="12.75" customHeight="1">
      <c r="A198" s="1">
        <v>46182</v>
      </c>
      <c r="B198" s="2">
        <v>5</v>
      </c>
      <c r="C198" s="7">
        <v>-3.9769593586896201</v>
      </c>
      <c r="D198" s="7">
        <v>-3.6988989999999999</v>
      </c>
      <c r="E198" s="7">
        <v>-0.278048712689621</v>
      </c>
      <c r="F198" s="7">
        <f t="shared" si="12"/>
        <v>3.9769593586896201</v>
      </c>
      <c r="G198" s="7">
        <f t="shared" si="13"/>
        <v>3.6988989999999999</v>
      </c>
      <c r="H198" s="7">
        <f t="shared" si="14"/>
        <v>0.2780603586896202</v>
      </c>
      <c r="I198" s="8">
        <f t="shared" si="15"/>
        <v>7.5173817584535341E-2</v>
      </c>
      <c r="J198" s="9">
        <v>103.14</v>
      </c>
      <c r="K198" s="9">
        <v>-28.677944226807501</v>
      </c>
    </row>
    <row r="199" spans="1:11" ht="12.75" customHeight="1">
      <c r="A199" s="1">
        <v>46182</v>
      </c>
      <c r="B199" s="2">
        <v>6</v>
      </c>
      <c r="C199" s="7">
        <v>-3.62044484694716</v>
      </c>
      <c r="D199" s="7">
        <v>-3.667843</v>
      </c>
      <c r="E199" s="7">
        <v>5.3679487852839103E-2</v>
      </c>
      <c r="F199" s="7">
        <f t="shared" si="12"/>
        <v>3.62044484694716</v>
      </c>
      <c r="G199" s="7">
        <f t="shared" si="13"/>
        <v>3.667843</v>
      </c>
      <c r="H199" s="7">
        <f t="shared" si="14"/>
        <v>4.7398153052840009E-2</v>
      </c>
      <c r="I199" s="8">
        <f t="shared" si="15"/>
        <v>1.2922623201930947E-2</v>
      </c>
      <c r="J199" s="9">
        <v>68.88</v>
      </c>
      <c r="K199" s="9">
        <v>3.6974431233035499</v>
      </c>
    </row>
    <row r="200" spans="1:11" ht="12.75" customHeight="1">
      <c r="A200" s="1">
        <v>46182</v>
      </c>
      <c r="B200" s="2">
        <v>7</v>
      </c>
      <c r="C200" s="7">
        <v>-3.2091472448744001</v>
      </c>
      <c r="D200" s="7">
        <v>-3.365694</v>
      </c>
      <c r="E200" s="7">
        <v>0.20577413832559999</v>
      </c>
      <c r="F200" s="7">
        <f t="shared" si="12"/>
        <v>3.2091472448744001</v>
      </c>
      <c r="G200" s="7">
        <f t="shared" si="13"/>
        <v>3.365694</v>
      </c>
      <c r="H200" s="7">
        <f t="shared" si="14"/>
        <v>0.1565467551255999</v>
      </c>
      <c r="I200" s="8">
        <f t="shared" si="15"/>
        <v>4.6512474136270229E-2</v>
      </c>
      <c r="J200" s="9">
        <v>44.74</v>
      </c>
      <c r="K200" s="9">
        <v>9.2063349486873296</v>
      </c>
    </row>
    <row r="201" spans="1:11" ht="12.75" customHeight="1">
      <c r="A201" s="1">
        <v>46182</v>
      </c>
      <c r="B201" s="2">
        <v>8</v>
      </c>
      <c r="C201" s="7">
        <v>-3.2014649489976099</v>
      </c>
      <c r="D201" s="7">
        <v>-3.6982520000000001</v>
      </c>
      <c r="E201" s="7">
        <v>0.70928449600238697</v>
      </c>
      <c r="F201" s="7">
        <f t="shared" si="12"/>
        <v>3.2014649489976099</v>
      </c>
      <c r="G201" s="7">
        <f t="shared" si="13"/>
        <v>3.6982520000000001</v>
      </c>
      <c r="H201" s="7">
        <f t="shared" si="14"/>
        <v>0.49678705100239018</v>
      </c>
      <c r="I201" s="8">
        <f t="shared" si="15"/>
        <v>0.13433023249967557</v>
      </c>
      <c r="J201" s="9">
        <v>22.06</v>
      </c>
      <c r="K201" s="9">
        <v>15.646815981812701</v>
      </c>
    </row>
    <row r="202" spans="1:11" ht="12.75" customHeight="1">
      <c r="A202" s="1">
        <v>46182</v>
      </c>
      <c r="B202" s="2">
        <v>9</v>
      </c>
      <c r="C202" s="7">
        <v>-3.84618162237614</v>
      </c>
      <c r="D202" s="7">
        <v>-4.0754530000000004</v>
      </c>
      <c r="E202" s="7">
        <v>0.53170893962386101</v>
      </c>
      <c r="F202" s="7">
        <f t="shared" si="12"/>
        <v>3.84618162237614</v>
      </c>
      <c r="G202" s="7">
        <f t="shared" si="13"/>
        <v>4.0754530000000004</v>
      </c>
      <c r="H202" s="7">
        <f t="shared" si="14"/>
        <v>0.22927137762386041</v>
      </c>
      <c r="I202" s="8">
        <f t="shared" si="15"/>
        <v>5.6256660946368511E-2</v>
      </c>
      <c r="J202" s="9">
        <v>24.48</v>
      </c>
      <c r="K202" s="9">
        <v>13.0162348419921</v>
      </c>
    </row>
    <row r="203" spans="1:11" ht="12.75" customHeight="1">
      <c r="A203" s="1">
        <v>46182</v>
      </c>
      <c r="B203" s="2">
        <v>10</v>
      </c>
      <c r="C203" s="7">
        <v>-4.0979368107539296</v>
      </c>
      <c r="D203" s="7">
        <v>-3.8082419999999999</v>
      </c>
      <c r="E203" s="7">
        <v>0.20938157924606701</v>
      </c>
      <c r="F203" s="7">
        <f t="shared" si="12"/>
        <v>4.0979368107539296</v>
      </c>
      <c r="G203" s="7">
        <f t="shared" si="13"/>
        <v>3.8082419999999999</v>
      </c>
      <c r="H203" s="7">
        <f t="shared" si="14"/>
        <v>0.28969481075392967</v>
      </c>
      <c r="I203" s="8">
        <f t="shared" si="15"/>
        <v>7.6070483638888936E-2</v>
      </c>
      <c r="J203" s="9">
        <v>14.34</v>
      </c>
      <c r="K203" s="9">
        <v>3.0025318463885999</v>
      </c>
    </row>
    <row r="204" spans="1:11" ht="12.75" customHeight="1">
      <c r="A204" s="1">
        <v>46182</v>
      </c>
      <c r="B204" s="2">
        <v>11</v>
      </c>
      <c r="C204" s="7">
        <v>-4.2399262014461803</v>
      </c>
      <c r="D204" s="7">
        <v>-3.5229149999999998</v>
      </c>
      <c r="E204" s="7">
        <v>-8.8580101446183404E-2</v>
      </c>
      <c r="F204" s="7">
        <f t="shared" si="12"/>
        <v>4.2399262014461803</v>
      </c>
      <c r="G204" s="7">
        <f t="shared" si="13"/>
        <v>3.5229149999999998</v>
      </c>
      <c r="H204" s="7">
        <f t="shared" si="14"/>
        <v>0.71701120144618047</v>
      </c>
      <c r="I204" s="8">
        <f t="shared" si="15"/>
        <v>0.2035278175732825</v>
      </c>
      <c r="J204" s="9">
        <v>11.99</v>
      </c>
      <c r="K204" s="9">
        <v>-1.0620754163397399</v>
      </c>
    </row>
    <row r="205" spans="1:11" ht="12.75" customHeight="1">
      <c r="A205" s="1">
        <v>46182</v>
      </c>
      <c r="B205" s="2">
        <v>12</v>
      </c>
      <c r="C205" s="7">
        <v>-4.3104155625786102</v>
      </c>
      <c r="D205" s="7">
        <v>-3.529385</v>
      </c>
      <c r="E205" s="7">
        <v>-0.105602676578608</v>
      </c>
      <c r="F205" s="7">
        <f t="shared" si="12"/>
        <v>4.3104155625786102</v>
      </c>
      <c r="G205" s="7">
        <f t="shared" si="13"/>
        <v>3.529385</v>
      </c>
      <c r="H205" s="7">
        <f t="shared" si="14"/>
        <v>0.78103056257861025</v>
      </c>
      <c r="I205" s="8">
        <f t="shared" si="15"/>
        <v>0.22129367087427704</v>
      </c>
      <c r="J205" s="9">
        <v>25.98</v>
      </c>
      <c r="K205" s="9">
        <v>-2.7435575375122401</v>
      </c>
    </row>
    <row r="206" spans="1:11" ht="12.75" customHeight="1">
      <c r="A206" s="1">
        <v>46182</v>
      </c>
      <c r="B206" s="2">
        <v>13</v>
      </c>
      <c r="C206" s="7">
        <v>-4.2000586822466301</v>
      </c>
      <c r="D206" s="7">
        <v>-3.5319729999999998</v>
      </c>
      <c r="E206" s="7">
        <v>-1.3632112846628601E-2</v>
      </c>
      <c r="F206" s="7">
        <f t="shared" si="12"/>
        <v>4.2000586822466301</v>
      </c>
      <c r="G206" s="7">
        <f t="shared" si="13"/>
        <v>3.5319729999999998</v>
      </c>
      <c r="H206" s="7">
        <f t="shared" si="14"/>
        <v>0.66808568224663034</v>
      </c>
      <c r="I206" s="8">
        <f t="shared" si="15"/>
        <v>0.18915367763191576</v>
      </c>
      <c r="J206" s="9">
        <v>11.99</v>
      </c>
      <c r="K206" s="9">
        <v>-0.163449033031077</v>
      </c>
    </row>
    <row r="207" spans="1:11" ht="12.75" customHeight="1">
      <c r="A207" s="1">
        <v>46182</v>
      </c>
      <c r="B207" s="2">
        <v>14</v>
      </c>
      <c r="C207" s="7">
        <v>-4.58419741448962</v>
      </c>
      <c r="D207" s="7">
        <v>-3.5261499999999999</v>
      </c>
      <c r="E207" s="7">
        <v>-0.45877595748962002</v>
      </c>
      <c r="F207" s="7">
        <f t="shared" si="12"/>
        <v>4.58419741448962</v>
      </c>
      <c r="G207" s="7">
        <f t="shared" si="13"/>
        <v>3.5261499999999999</v>
      </c>
      <c r="H207" s="7">
        <f t="shared" si="14"/>
        <v>1.0580474144896201</v>
      </c>
      <c r="I207" s="8">
        <f t="shared" si="15"/>
        <v>0.30005740382275858</v>
      </c>
      <c r="J207" s="9">
        <v>4.97</v>
      </c>
      <c r="K207" s="9">
        <v>-2.2801165087234101</v>
      </c>
    </row>
    <row r="208" spans="1:11" ht="12.75" customHeight="1">
      <c r="A208" s="1">
        <v>46182</v>
      </c>
      <c r="B208" s="2">
        <v>15</v>
      </c>
      <c r="C208" s="7">
        <v>-4.5508133089724296</v>
      </c>
      <c r="D208" s="7">
        <v>-3.6879</v>
      </c>
      <c r="E208" s="7">
        <v>-0.305127491972429</v>
      </c>
      <c r="F208" s="7">
        <f t="shared" si="12"/>
        <v>4.5508133089724296</v>
      </c>
      <c r="G208" s="7">
        <f t="shared" si="13"/>
        <v>3.6879</v>
      </c>
      <c r="H208" s="7">
        <f t="shared" si="14"/>
        <v>0.86291330897242968</v>
      </c>
      <c r="I208" s="8">
        <f t="shared" si="15"/>
        <v>0.23398500744934236</v>
      </c>
      <c r="J208" s="9">
        <v>4.5199999999999996</v>
      </c>
      <c r="K208" s="9">
        <v>-1.3791762637153799</v>
      </c>
    </row>
    <row r="209" spans="1:11" ht="12.75" customHeight="1">
      <c r="A209" s="1">
        <v>46182</v>
      </c>
      <c r="B209" s="2">
        <v>16</v>
      </c>
      <c r="C209" s="7">
        <v>-4.50947858371606</v>
      </c>
      <c r="D209" s="7">
        <v>-3.5242089999999999</v>
      </c>
      <c r="E209" s="7">
        <v>-0.47221022971605597</v>
      </c>
      <c r="F209" s="7">
        <f t="shared" si="12"/>
        <v>4.50947858371606</v>
      </c>
      <c r="G209" s="7">
        <f t="shared" si="13"/>
        <v>3.5242089999999999</v>
      </c>
      <c r="H209" s="7">
        <f t="shared" si="14"/>
        <v>0.9852695837160601</v>
      </c>
      <c r="I209" s="8">
        <f t="shared" si="15"/>
        <v>0.27957183689050796</v>
      </c>
      <c r="J209" s="9">
        <v>11.88</v>
      </c>
      <c r="K209" s="9">
        <v>-5.6098575290267396</v>
      </c>
    </row>
    <row r="210" spans="1:11" ht="12.75" customHeight="1">
      <c r="A210" s="1">
        <v>46182</v>
      </c>
      <c r="B210" s="2">
        <v>17</v>
      </c>
      <c r="C210" s="7">
        <v>-4.8323795559630502</v>
      </c>
      <c r="D210" s="7">
        <v>-3.5332669999999999</v>
      </c>
      <c r="E210" s="7">
        <v>-0.99091539996304701</v>
      </c>
      <c r="F210" s="7">
        <f t="shared" si="12"/>
        <v>4.8323795559630502</v>
      </c>
      <c r="G210" s="7">
        <f t="shared" si="13"/>
        <v>3.5332669999999999</v>
      </c>
      <c r="H210" s="7">
        <f t="shared" si="14"/>
        <v>1.2991125559630503</v>
      </c>
      <c r="I210" s="8">
        <f t="shared" si="15"/>
        <v>0.36768026757192435</v>
      </c>
      <c r="J210" s="9">
        <v>76.33</v>
      </c>
      <c r="K210" s="9">
        <v>-75.636572479179407</v>
      </c>
    </row>
    <row r="211" spans="1:11" ht="12.75" customHeight="1">
      <c r="A211" s="1">
        <v>46182</v>
      </c>
      <c r="B211" s="2">
        <v>18</v>
      </c>
      <c r="C211" s="7">
        <v>-5.1287001134460803</v>
      </c>
      <c r="D211" s="7">
        <v>-4.3154899999999996</v>
      </c>
      <c r="E211" s="7">
        <v>-0.69910195844608103</v>
      </c>
      <c r="F211" s="7">
        <f t="shared" si="12"/>
        <v>5.1287001134460803</v>
      </c>
      <c r="G211" s="7">
        <f t="shared" si="13"/>
        <v>4.3154899999999996</v>
      </c>
      <c r="H211" s="7">
        <f t="shared" si="14"/>
        <v>0.81321011344608074</v>
      </c>
      <c r="I211" s="8">
        <f t="shared" si="15"/>
        <v>0.18843980948770148</v>
      </c>
      <c r="J211" s="9">
        <v>90.02</v>
      </c>
      <c r="K211" s="9">
        <v>-62.933158299316197</v>
      </c>
    </row>
    <row r="212" spans="1:11" ht="12.75" customHeight="1">
      <c r="A212" s="1">
        <v>46182</v>
      </c>
      <c r="B212" s="2">
        <v>19</v>
      </c>
      <c r="C212" s="7">
        <v>-5.4742508738017701</v>
      </c>
      <c r="D212" s="7">
        <v>-4.7573910000000001</v>
      </c>
      <c r="E212" s="7">
        <v>-0.69501844780177302</v>
      </c>
      <c r="F212" s="7">
        <f t="shared" si="12"/>
        <v>5.4742508738017701</v>
      </c>
      <c r="G212" s="7">
        <f t="shared" si="13"/>
        <v>4.7573910000000001</v>
      </c>
      <c r="H212" s="7">
        <f t="shared" si="14"/>
        <v>0.71685987380176996</v>
      </c>
      <c r="I212" s="8">
        <f t="shared" si="15"/>
        <v>0.15068340479093897</v>
      </c>
      <c r="J212" s="9">
        <v>109.77</v>
      </c>
      <c r="K212" s="9">
        <v>-76.292175015200698</v>
      </c>
    </row>
    <row r="213" spans="1:11" ht="12.75" customHeight="1">
      <c r="A213" s="1">
        <v>46182</v>
      </c>
      <c r="B213" s="2">
        <v>20</v>
      </c>
      <c r="C213" s="7">
        <v>-6.2618587255977598</v>
      </c>
      <c r="D213" s="7">
        <v>-5.3649240000000002</v>
      </c>
      <c r="E213" s="7">
        <v>-0.89582576759776</v>
      </c>
      <c r="F213" s="7">
        <f t="shared" si="12"/>
        <v>6.2618587255977598</v>
      </c>
      <c r="G213" s="7">
        <f t="shared" si="13"/>
        <v>5.3649240000000002</v>
      </c>
      <c r="H213" s="7">
        <f t="shared" si="14"/>
        <v>0.89693472559775955</v>
      </c>
      <c r="I213" s="8">
        <f t="shared" si="15"/>
        <v>0.16718498260138626</v>
      </c>
      <c r="J213" s="9">
        <v>114.23</v>
      </c>
      <c r="K213" s="9">
        <v>-102.330177432692</v>
      </c>
    </row>
    <row r="214" spans="1:11" ht="12.75" customHeight="1">
      <c r="A214" s="1">
        <v>46182</v>
      </c>
      <c r="B214" s="2">
        <v>21</v>
      </c>
      <c r="C214" s="7">
        <v>-6.3760857712097501</v>
      </c>
      <c r="D214" s="7">
        <v>-5.5357320000000003</v>
      </c>
      <c r="E214" s="7">
        <v>-0.84034212520974605</v>
      </c>
      <c r="F214" s="7">
        <f t="shared" si="12"/>
        <v>6.3760857712097501</v>
      </c>
      <c r="G214" s="7">
        <f t="shared" si="13"/>
        <v>5.5357320000000003</v>
      </c>
      <c r="H214" s="7">
        <f t="shared" si="14"/>
        <v>0.84035377120974974</v>
      </c>
      <c r="I214" s="8">
        <f t="shared" si="15"/>
        <v>0.15180535676397444</v>
      </c>
      <c r="J214" s="9">
        <v>122.36</v>
      </c>
      <c r="K214" s="9">
        <v>-102.824262440665</v>
      </c>
    </row>
    <row r="215" spans="1:11" ht="12.75" customHeight="1">
      <c r="A215" s="1">
        <v>46182</v>
      </c>
      <c r="B215" s="2">
        <v>22</v>
      </c>
      <c r="C215" s="7">
        <v>-6.1402750423859498</v>
      </c>
      <c r="D215" s="7">
        <v>-5.1675890000000004</v>
      </c>
      <c r="E215" s="7">
        <v>-0.97268604238595002</v>
      </c>
      <c r="F215" s="7">
        <f t="shared" si="12"/>
        <v>6.1402750423859498</v>
      </c>
      <c r="G215" s="7">
        <f t="shared" si="13"/>
        <v>5.1675890000000004</v>
      </c>
      <c r="H215" s="7">
        <f t="shared" si="14"/>
        <v>0.97268604238594936</v>
      </c>
      <c r="I215" s="8">
        <f t="shared" si="15"/>
        <v>0.18822821288340641</v>
      </c>
      <c r="J215" s="9">
        <v>138.05000000000001</v>
      </c>
      <c r="K215" s="9">
        <v>-134.27930815138001</v>
      </c>
    </row>
    <row r="216" spans="1:11" ht="12.75" customHeight="1">
      <c r="A216" s="1">
        <v>46182</v>
      </c>
      <c r="B216" s="2">
        <v>23</v>
      </c>
      <c r="C216" s="7">
        <v>-5.27892792333403</v>
      </c>
      <c r="D216" s="7">
        <v>-4.3012560000000004</v>
      </c>
      <c r="E216" s="7">
        <v>-0.97767192333402597</v>
      </c>
      <c r="F216" s="7">
        <f t="shared" si="12"/>
        <v>5.27892792333403</v>
      </c>
      <c r="G216" s="7">
        <f t="shared" si="13"/>
        <v>4.3012560000000004</v>
      </c>
      <c r="H216" s="7">
        <f t="shared" si="14"/>
        <v>0.97767192333402964</v>
      </c>
      <c r="I216" s="8">
        <f t="shared" si="15"/>
        <v>0.22729917106399375</v>
      </c>
      <c r="J216" s="9">
        <v>105.36</v>
      </c>
      <c r="K216" s="9">
        <v>-103.007513842473</v>
      </c>
    </row>
    <row r="217" spans="1:11" ht="12.75" customHeight="1">
      <c r="A217" s="1">
        <v>46182</v>
      </c>
      <c r="B217" s="2">
        <v>24</v>
      </c>
      <c r="C217" s="7">
        <v>-4.69318442716839</v>
      </c>
      <c r="D217" s="7">
        <v>-3.6691370000000001</v>
      </c>
      <c r="E217" s="7">
        <v>-1.0240474271683899</v>
      </c>
      <c r="F217" s="7">
        <f t="shared" si="12"/>
        <v>4.69318442716839</v>
      </c>
      <c r="G217" s="7">
        <f t="shared" si="13"/>
        <v>3.6691370000000001</v>
      </c>
      <c r="H217" s="7">
        <f t="shared" si="14"/>
        <v>1.0240474271683899</v>
      </c>
      <c r="I217" s="8">
        <f t="shared" si="15"/>
        <v>0.27909762627244222</v>
      </c>
      <c r="J217" s="9">
        <v>90.27</v>
      </c>
      <c r="K217" s="9">
        <v>-92.440761250490596</v>
      </c>
    </row>
    <row r="218" spans="1:11" ht="12.75" customHeight="1">
      <c r="A218" s="1">
        <v>46183</v>
      </c>
      <c r="B218" s="2">
        <v>1</v>
      </c>
      <c r="C218" s="7">
        <v>-4.2109249421141799</v>
      </c>
      <c r="D218" s="7">
        <v>-3.6924290000000002</v>
      </c>
      <c r="E218" s="7">
        <v>-0.51849594211418304</v>
      </c>
      <c r="F218" s="7">
        <f t="shared" si="12"/>
        <v>4.2109249421141799</v>
      </c>
      <c r="G218" s="7">
        <f t="shared" si="13"/>
        <v>3.6924290000000002</v>
      </c>
      <c r="H218" s="7">
        <f t="shared" si="14"/>
        <v>0.51849594211417971</v>
      </c>
      <c r="I218" s="8">
        <f t="shared" si="15"/>
        <v>0.14042137089546736</v>
      </c>
      <c r="J218" s="9">
        <v>104.25</v>
      </c>
      <c r="K218" s="9">
        <v>-54.053201965403602</v>
      </c>
    </row>
    <row r="219" spans="1:11" ht="12.75" customHeight="1">
      <c r="A219" s="1">
        <v>46183</v>
      </c>
      <c r="B219" s="2">
        <v>2</v>
      </c>
      <c r="C219" s="7">
        <v>-4.2074134118323903</v>
      </c>
      <c r="D219" s="7">
        <v>-3.7124860000000002</v>
      </c>
      <c r="E219" s="7">
        <v>-0.49492741183238897</v>
      </c>
      <c r="F219" s="7">
        <f t="shared" si="12"/>
        <v>4.2074134118323903</v>
      </c>
      <c r="G219" s="7">
        <f t="shared" si="13"/>
        <v>3.7124860000000002</v>
      </c>
      <c r="H219" s="7">
        <f t="shared" si="14"/>
        <v>0.49492741183239009</v>
      </c>
      <c r="I219" s="8">
        <f t="shared" si="15"/>
        <v>0.13331428369895268</v>
      </c>
      <c r="J219" s="9">
        <v>115.08</v>
      </c>
      <c r="K219" s="9">
        <v>-56.956246553671299</v>
      </c>
    </row>
    <row r="220" spans="1:11" ht="12.75" customHeight="1">
      <c r="A220" s="1">
        <v>46183</v>
      </c>
      <c r="B220" s="2">
        <v>3</v>
      </c>
      <c r="C220" s="7">
        <v>-4.0521665551318904</v>
      </c>
      <c r="D220" s="7">
        <v>-3.643904</v>
      </c>
      <c r="E220" s="7">
        <v>-0.40826255513188903</v>
      </c>
      <c r="F220" s="7">
        <f t="shared" si="12"/>
        <v>4.0521665551318904</v>
      </c>
      <c r="G220" s="7">
        <f t="shared" si="13"/>
        <v>3.643904</v>
      </c>
      <c r="H220" s="7">
        <f t="shared" si="14"/>
        <v>0.40826255513189036</v>
      </c>
      <c r="I220" s="8">
        <f t="shared" si="15"/>
        <v>0.11203987677279378</v>
      </c>
      <c r="J220" s="9">
        <v>115</v>
      </c>
      <c r="K220" s="9">
        <v>-46.950193840167202</v>
      </c>
    </row>
    <row r="221" spans="1:11" ht="12.75" customHeight="1">
      <c r="A221" s="1">
        <v>46183</v>
      </c>
      <c r="B221" s="2">
        <v>4</v>
      </c>
      <c r="C221" s="7">
        <v>-3.9543892577022</v>
      </c>
      <c r="D221" s="7">
        <v>-3.7066629999999998</v>
      </c>
      <c r="E221" s="7">
        <v>-0.2477262577022</v>
      </c>
      <c r="F221" s="7">
        <f t="shared" si="12"/>
        <v>3.9543892577022</v>
      </c>
      <c r="G221" s="7">
        <f t="shared" si="13"/>
        <v>3.7066629999999998</v>
      </c>
      <c r="H221" s="7">
        <f t="shared" si="14"/>
        <v>0.24772625770220014</v>
      </c>
      <c r="I221" s="8">
        <f t="shared" si="15"/>
        <v>6.6832689592282904E-2</v>
      </c>
      <c r="J221" s="9">
        <v>106.51</v>
      </c>
      <c r="K221" s="9">
        <v>-26.3853237078613</v>
      </c>
    </row>
    <row r="222" spans="1:11" ht="12.75" customHeight="1">
      <c r="A222" s="1">
        <v>46183</v>
      </c>
      <c r="B222" s="2">
        <v>5</v>
      </c>
      <c r="C222" s="7">
        <v>-3.9301184037320098</v>
      </c>
      <c r="D222" s="7">
        <v>-3.6743130000000002</v>
      </c>
      <c r="E222" s="7">
        <v>-0.25580540373201099</v>
      </c>
      <c r="F222" s="7">
        <f t="shared" si="12"/>
        <v>3.9301184037320098</v>
      </c>
      <c r="G222" s="7">
        <f t="shared" si="13"/>
        <v>3.6743130000000002</v>
      </c>
      <c r="H222" s="7">
        <f t="shared" si="14"/>
        <v>0.25580540373200966</v>
      </c>
      <c r="I222" s="8">
        <f t="shared" si="15"/>
        <v>6.9619927244088803E-2</v>
      </c>
      <c r="J222" s="9">
        <v>79.22</v>
      </c>
      <c r="K222" s="9">
        <v>-20.264904083649899</v>
      </c>
    </row>
    <row r="223" spans="1:11" ht="12.75" customHeight="1">
      <c r="A223" s="1">
        <v>46183</v>
      </c>
      <c r="B223" s="2">
        <v>6</v>
      </c>
      <c r="C223" s="7">
        <v>-3.6383763128371398</v>
      </c>
      <c r="D223" s="7">
        <v>-3.469214</v>
      </c>
      <c r="E223" s="7">
        <v>-0.16244192383713599</v>
      </c>
      <c r="F223" s="7">
        <f t="shared" si="12"/>
        <v>3.6383763128371398</v>
      </c>
      <c r="G223" s="7">
        <f t="shared" si="13"/>
        <v>3.469214</v>
      </c>
      <c r="H223" s="7">
        <f t="shared" si="14"/>
        <v>0.16916231283713978</v>
      </c>
      <c r="I223" s="8">
        <f t="shared" si="15"/>
        <v>4.8760991059398406E-2</v>
      </c>
      <c r="J223" s="9">
        <v>105.11</v>
      </c>
      <c r="K223" s="9">
        <v>-17.074270614521399</v>
      </c>
    </row>
    <row r="224" spans="1:11" ht="12.75" customHeight="1">
      <c r="A224" s="1">
        <v>46183</v>
      </c>
      <c r="B224" s="2">
        <v>7</v>
      </c>
      <c r="C224" s="7">
        <v>-3.2737821946515901</v>
      </c>
      <c r="D224" s="7">
        <v>-3.19618</v>
      </c>
      <c r="E224" s="7">
        <v>-4.0977853851587899E-2</v>
      </c>
      <c r="F224" s="7">
        <f t="shared" si="12"/>
        <v>3.2737821946515901</v>
      </c>
      <c r="G224" s="7">
        <f t="shared" si="13"/>
        <v>3.19618</v>
      </c>
      <c r="H224" s="7">
        <f t="shared" si="14"/>
        <v>7.7602194651590128E-2</v>
      </c>
      <c r="I224" s="8">
        <f t="shared" si="15"/>
        <v>2.4279669684307559E-2</v>
      </c>
      <c r="J224" s="9">
        <v>107.34</v>
      </c>
      <c r="K224" s="9">
        <v>-4.3985628324294401</v>
      </c>
    </row>
    <row r="225" spans="1:11" ht="12.75" customHeight="1">
      <c r="A225" s="1">
        <v>46183</v>
      </c>
      <c r="B225" s="2">
        <v>8</v>
      </c>
      <c r="C225" s="7">
        <v>-3.3104588482394299</v>
      </c>
      <c r="D225" s="7">
        <v>-3.7073100000000001</v>
      </c>
      <c r="E225" s="7">
        <v>0.57776205676057402</v>
      </c>
      <c r="F225" s="7">
        <f t="shared" si="12"/>
        <v>3.3104588482394299</v>
      </c>
      <c r="G225" s="7">
        <f t="shared" si="13"/>
        <v>3.7073100000000001</v>
      </c>
      <c r="H225" s="7">
        <f t="shared" si="14"/>
        <v>0.39685115176057018</v>
      </c>
      <c r="I225" s="8">
        <f t="shared" si="15"/>
        <v>0.10704558069343274</v>
      </c>
      <c r="J225" s="9">
        <v>101.9</v>
      </c>
      <c r="K225" s="9">
        <v>58.873953583902498</v>
      </c>
    </row>
    <row r="226" spans="1:11" ht="12.75" customHeight="1">
      <c r="A226" s="1">
        <v>46183</v>
      </c>
      <c r="B226" s="2">
        <v>9</v>
      </c>
      <c r="C226" s="7">
        <v>-3.97457135261469</v>
      </c>
      <c r="D226" s="7">
        <v>-4.1640920000000001</v>
      </c>
      <c r="E226" s="7">
        <v>0.48174207938531199</v>
      </c>
      <c r="F226" s="7">
        <f t="shared" si="12"/>
        <v>3.97457135261469</v>
      </c>
      <c r="G226" s="7">
        <f t="shared" si="13"/>
        <v>4.1640920000000001</v>
      </c>
      <c r="H226" s="7">
        <f t="shared" si="14"/>
        <v>0.18952064738531016</v>
      </c>
      <c r="I226" s="8">
        <f t="shared" si="15"/>
        <v>4.5513078814135265E-2</v>
      </c>
      <c r="J226" s="9">
        <v>56.67</v>
      </c>
      <c r="K226" s="9">
        <v>27.3003236387657</v>
      </c>
    </row>
    <row r="227" spans="1:11" ht="12.75" customHeight="1">
      <c r="A227" s="1">
        <v>46183</v>
      </c>
      <c r="B227" s="2">
        <v>10</v>
      </c>
      <c r="C227" s="7">
        <v>-4.2861671937515498</v>
      </c>
      <c r="D227" s="7">
        <v>-3.9305249999999998</v>
      </c>
      <c r="E227" s="7">
        <v>5.6220537248454397E-2</v>
      </c>
      <c r="F227" s="7">
        <f t="shared" si="12"/>
        <v>4.2861671937515498</v>
      </c>
      <c r="G227" s="7">
        <f t="shared" si="13"/>
        <v>3.9305249999999998</v>
      </c>
      <c r="H227" s="7">
        <f t="shared" si="14"/>
        <v>0.35564219375154993</v>
      </c>
      <c r="I227" s="8">
        <f t="shared" si="15"/>
        <v>9.0482109578631342E-2</v>
      </c>
      <c r="J227" s="9">
        <v>120</v>
      </c>
      <c r="K227" s="9">
        <v>6.74646446981453</v>
      </c>
    </row>
    <row r="228" spans="1:11" ht="12.75" customHeight="1">
      <c r="A228" s="1">
        <v>46183</v>
      </c>
      <c r="B228" s="2">
        <v>11</v>
      </c>
      <c r="C228" s="7">
        <v>-4.2194904838454699</v>
      </c>
      <c r="D228" s="7">
        <v>-3.531326</v>
      </c>
      <c r="E228" s="7">
        <v>-0.10120349584546399</v>
      </c>
      <c r="F228" s="7">
        <f t="shared" si="12"/>
        <v>4.2194904838454699</v>
      </c>
      <c r="G228" s="7">
        <f t="shared" si="13"/>
        <v>3.531326</v>
      </c>
      <c r="H228" s="7">
        <f t="shared" si="14"/>
        <v>0.68816448384546991</v>
      </c>
      <c r="I228" s="8">
        <f t="shared" si="15"/>
        <v>0.19487424379552323</v>
      </c>
      <c r="J228" s="9">
        <v>106.75</v>
      </c>
      <c r="K228" s="9">
        <v>-10.8034731815033</v>
      </c>
    </row>
    <row r="229" spans="1:11" ht="12.75" customHeight="1">
      <c r="A229" s="1">
        <v>46183</v>
      </c>
      <c r="B229" s="2">
        <v>12</v>
      </c>
      <c r="C229" s="7">
        <v>-4.3445038631503197</v>
      </c>
      <c r="D229" s="7">
        <v>-3.2984059999999999</v>
      </c>
      <c r="E229" s="7">
        <v>-0.43046144695032401</v>
      </c>
      <c r="F229" s="7">
        <f t="shared" si="12"/>
        <v>4.3445038631503197</v>
      </c>
      <c r="G229" s="7">
        <f t="shared" si="13"/>
        <v>3.2984059999999999</v>
      </c>
      <c r="H229" s="7">
        <f t="shared" si="14"/>
        <v>1.0460978631503197</v>
      </c>
      <c r="I229" s="8">
        <f t="shared" si="15"/>
        <v>0.31715254676056243</v>
      </c>
      <c r="J229" s="9">
        <v>104.49</v>
      </c>
      <c r="K229" s="9">
        <v>-44.9789165918394</v>
      </c>
    </row>
    <row r="230" spans="1:11" ht="12.75" customHeight="1">
      <c r="A230" s="1">
        <v>46183</v>
      </c>
      <c r="B230" s="2">
        <v>13</v>
      </c>
      <c r="C230" s="7">
        <v>-4.2605110279070297</v>
      </c>
      <c r="D230" s="7">
        <v>-3.392868</v>
      </c>
      <c r="E230" s="7">
        <v>-0.223354993107033</v>
      </c>
      <c r="F230" s="7">
        <f t="shared" si="12"/>
        <v>4.2605110279070297</v>
      </c>
      <c r="G230" s="7">
        <f t="shared" si="13"/>
        <v>3.392868</v>
      </c>
      <c r="H230" s="7">
        <f t="shared" si="14"/>
        <v>0.86764302790702974</v>
      </c>
      <c r="I230" s="8">
        <f t="shared" si="15"/>
        <v>0.25572554779821371</v>
      </c>
      <c r="J230" s="9">
        <v>102.53</v>
      </c>
      <c r="K230" s="9">
        <v>-22.900587443264001</v>
      </c>
    </row>
    <row r="231" spans="1:11" ht="12.75" customHeight="1">
      <c r="A231" s="1">
        <v>46183</v>
      </c>
      <c r="B231" s="2">
        <v>14</v>
      </c>
      <c r="C231" s="7">
        <v>-4.9037173748537501</v>
      </c>
      <c r="D231" s="7">
        <v>-3.79142</v>
      </c>
      <c r="E231" s="7">
        <v>-0.63793120885374799</v>
      </c>
      <c r="F231" s="7">
        <f t="shared" si="12"/>
        <v>4.9037173748537501</v>
      </c>
      <c r="G231" s="7">
        <f t="shared" si="13"/>
        <v>3.79142</v>
      </c>
      <c r="H231" s="7">
        <f t="shared" si="14"/>
        <v>1.1122973748537501</v>
      </c>
      <c r="I231" s="8">
        <f t="shared" si="15"/>
        <v>0.29337223912247923</v>
      </c>
      <c r="J231" s="9">
        <v>102.1</v>
      </c>
      <c r="K231" s="9">
        <v>-65.132776423967599</v>
      </c>
    </row>
    <row r="232" spans="1:11" ht="12.75" customHeight="1">
      <c r="A232" s="1">
        <v>46183</v>
      </c>
      <c r="B232" s="2">
        <v>15</v>
      </c>
      <c r="C232" s="7">
        <v>-5.1088937990768502</v>
      </c>
      <c r="D232" s="7">
        <v>-3.9725799999999998</v>
      </c>
      <c r="E232" s="7">
        <v>-0.858898315076848</v>
      </c>
      <c r="F232" s="7">
        <f t="shared" si="12"/>
        <v>5.1088937990768502</v>
      </c>
      <c r="G232" s="7">
        <f t="shared" si="13"/>
        <v>3.9725799999999998</v>
      </c>
      <c r="H232" s="7">
        <f t="shared" si="14"/>
        <v>1.1363137990768504</v>
      </c>
      <c r="I232" s="8">
        <f t="shared" si="15"/>
        <v>0.28603924881987286</v>
      </c>
      <c r="J232" s="9">
        <v>25.73</v>
      </c>
      <c r="K232" s="9">
        <v>-22.099453646927302</v>
      </c>
    </row>
    <row r="233" spans="1:11" ht="12.75" customHeight="1">
      <c r="A233" s="1">
        <v>46183</v>
      </c>
      <c r="B233" s="2">
        <v>16</v>
      </c>
      <c r="C233" s="7">
        <v>-4.7844629958671003</v>
      </c>
      <c r="D233" s="7">
        <v>-4.0236929999999997</v>
      </c>
      <c r="E233" s="7">
        <v>-0.45148523286710301</v>
      </c>
      <c r="F233" s="7">
        <f t="shared" si="12"/>
        <v>4.7844629958671003</v>
      </c>
      <c r="G233" s="7">
        <f t="shared" si="13"/>
        <v>4.0236929999999997</v>
      </c>
      <c r="H233" s="7">
        <f t="shared" si="14"/>
        <v>0.76076999586710059</v>
      </c>
      <c r="I233" s="8">
        <f t="shared" si="15"/>
        <v>0.18907257483786677</v>
      </c>
      <c r="J233" s="9">
        <v>47.25</v>
      </c>
      <c r="K233" s="9">
        <v>-21.332677252970601</v>
      </c>
    </row>
    <row r="234" spans="1:11" ht="12.75" customHeight="1">
      <c r="A234" s="1">
        <v>46183</v>
      </c>
      <c r="B234" s="2">
        <v>17</v>
      </c>
      <c r="C234" s="7">
        <v>-4.65689427392158</v>
      </c>
      <c r="D234" s="7">
        <v>-4.1388590000000001</v>
      </c>
      <c r="E234" s="7">
        <v>-0.25398680992157502</v>
      </c>
      <c r="F234" s="7">
        <f t="shared" si="12"/>
        <v>4.65689427392158</v>
      </c>
      <c r="G234" s="7">
        <f t="shared" si="13"/>
        <v>4.1388590000000001</v>
      </c>
      <c r="H234" s="7">
        <f t="shared" si="14"/>
        <v>0.51803527392157989</v>
      </c>
      <c r="I234" s="8">
        <f t="shared" si="15"/>
        <v>0.12516378884170248</v>
      </c>
      <c r="J234" s="9">
        <v>52.14</v>
      </c>
      <c r="K234" s="9">
        <v>-13.242872269310899</v>
      </c>
    </row>
    <row r="235" spans="1:11" ht="12.75" customHeight="1">
      <c r="A235" s="1">
        <v>46183</v>
      </c>
      <c r="B235" s="2">
        <v>18</v>
      </c>
      <c r="C235" s="7">
        <v>-4.9812958407744397</v>
      </c>
      <c r="D235" s="7">
        <v>-4.6758689999999996</v>
      </c>
      <c r="E235" s="7">
        <v>-0.20089169777443699</v>
      </c>
      <c r="F235" s="7">
        <f t="shared" si="12"/>
        <v>4.9812958407744397</v>
      </c>
      <c r="G235" s="7">
        <f t="shared" si="13"/>
        <v>4.6758689999999996</v>
      </c>
      <c r="H235" s="7">
        <f t="shared" si="14"/>
        <v>0.30542684077444004</v>
      </c>
      <c r="I235" s="8">
        <f t="shared" si="15"/>
        <v>6.5319802752053166E-2</v>
      </c>
      <c r="J235" s="9">
        <v>121.55</v>
      </c>
      <c r="K235" s="9">
        <v>-24.418385864482801</v>
      </c>
    </row>
    <row r="236" spans="1:11" ht="12.75" customHeight="1">
      <c r="A236" s="1">
        <v>46183</v>
      </c>
      <c r="B236" s="2">
        <v>19</v>
      </c>
      <c r="C236" s="7">
        <v>-5.4739905085261897</v>
      </c>
      <c r="D236" s="7">
        <v>-4.9605490000000003</v>
      </c>
      <c r="E236" s="7">
        <v>-0.47083202952618802</v>
      </c>
      <c r="F236" s="7">
        <f t="shared" si="12"/>
        <v>5.4739905085261897</v>
      </c>
      <c r="G236" s="7">
        <f t="shared" si="13"/>
        <v>4.9605490000000003</v>
      </c>
      <c r="H236" s="7">
        <f t="shared" si="14"/>
        <v>0.51344150852618942</v>
      </c>
      <c r="I236" s="8">
        <f t="shared" si="15"/>
        <v>0.10350497667217669</v>
      </c>
      <c r="J236" s="9">
        <v>135.01</v>
      </c>
      <c r="K236" s="9">
        <v>-63.567032306330603</v>
      </c>
    </row>
    <row r="237" spans="1:11" ht="12.75" customHeight="1">
      <c r="A237" s="1">
        <v>46183</v>
      </c>
      <c r="B237" s="2">
        <v>20</v>
      </c>
      <c r="C237" s="7">
        <v>-6.3979629494208297</v>
      </c>
      <c r="D237" s="7">
        <v>-5.4665030000000003</v>
      </c>
      <c r="E237" s="7">
        <v>-0.92931967342082999</v>
      </c>
      <c r="F237" s="7">
        <f t="shared" si="12"/>
        <v>6.3979629494208297</v>
      </c>
      <c r="G237" s="7">
        <f t="shared" si="13"/>
        <v>5.4665030000000003</v>
      </c>
      <c r="H237" s="7">
        <f t="shared" si="14"/>
        <v>0.93145994942082933</v>
      </c>
      <c r="I237" s="8">
        <f t="shared" si="15"/>
        <v>0.17039411657156855</v>
      </c>
      <c r="J237" s="9">
        <v>175.05</v>
      </c>
      <c r="K237" s="9">
        <v>-162.67740883231599</v>
      </c>
    </row>
    <row r="238" spans="1:11" ht="12.75" customHeight="1">
      <c r="A238" s="1">
        <v>46183</v>
      </c>
      <c r="B238" s="2">
        <v>21</v>
      </c>
      <c r="C238" s="7">
        <v>-6.6658818566116</v>
      </c>
      <c r="D238" s="7">
        <v>-5.9439890000000002</v>
      </c>
      <c r="E238" s="7">
        <v>-0.72189285661159797</v>
      </c>
      <c r="F238" s="7">
        <f t="shared" si="12"/>
        <v>6.6658818566116</v>
      </c>
      <c r="G238" s="7">
        <f t="shared" si="13"/>
        <v>5.9439890000000002</v>
      </c>
      <c r="H238" s="7">
        <f t="shared" si="14"/>
        <v>0.72189285661159985</v>
      </c>
      <c r="I238" s="8">
        <f t="shared" si="15"/>
        <v>0.12144922485751569</v>
      </c>
      <c r="J238" s="9">
        <v>183.35</v>
      </c>
      <c r="K238" s="9">
        <v>-132.35905525973601</v>
      </c>
    </row>
    <row r="239" spans="1:11" ht="12.75" customHeight="1">
      <c r="A239" s="1">
        <v>46183</v>
      </c>
      <c r="B239" s="2">
        <v>22</v>
      </c>
      <c r="C239" s="7">
        <v>-6.4535801083615896</v>
      </c>
      <c r="D239" s="7">
        <v>-5.6606030000000001</v>
      </c>
      <c r="E239" s="7">
        <v>-0.79297710836159396</v>
      </c>
      <c r="F239" s="7">
        <f t="shared" si="12"/>
        <v>6.4535801083615896</v>
      </c>
      <c r="G239" s="7">
        <f t="shared" si="13"/>
        <v>5.6606030000000001</v>
      </c>
      <c r="H239" s="7">
        <f t="shared" si="14"/>
        <v>0.79297710836158952</v>
      </c>
      <c r="I239" s="8">
        <f t="shared" si="15"/>
        <v>0.14008703814091705</v>
      </c>
      <c r="J239" s="9">
        <v>201.22</v>
      </c>
      <c r="K239" s="9">
        <v>-159.56285374452</v>
      </c>
    </row>
    <row r="240" spans="1:11" ht="12.75" customHeight="1">
      <c r="A240" s="1">
        <v>46183</v>
      </c>
      <c r="B240" s="2">
        <v>23</v>
      </c>
      <c r="C240" s="7">
        <v>-5.5817702532712401</v>
      </c>
      <c r="D240" s="7">
        <v>-4.8557350000000001</v>
      </c>
      <c r="E240" s="7">
        <v>-0.72603525327124097</v>
      </c>
      <c r="F240" s="7">
        <f t="shared" si="12"/>
        <v>5.5817702532712401</v>
      </c>
      <c r="G240" s="7">
        <f t="shared" si="13"/>
        <v>4.8557350000000001</v>
      </c>
      <c r="H240" s="7">
        <f t="shared" si="14"/>
        <v>0.72603525327123997</v>
      </c>
      <c r="I240" s="8">
        <f t="shared" si="15"/>
        <v>0.1495211854170872</v>
      </c>
      <c r="J240" s="9">
        <v>111.79</v>
      </c>
      <c r="K240" s="9">
        <v>-81.163480963192001</v>
      </c>
    </row>
    <row r="241" spans="1:11" ht="12.75" customHeight="1">
      <c r="A241" s="1">
        <v>46183</v>
      </c>
      <c r="B241" s="2">
        <v>24</v>
      </c>
      <c r="C241" s="7">
        <v>-4.8357196601075501</v>
      </c>
      <c r="D241" s="7">
        <v>-4.1679740000000001</v>
      </c>
      <c r="E241" s="7">
        <v>-0.66774566010754799</v>
      </c>
      <c r="F241" s="7">
        <f t="shared" si="12"/>
        <v>4.8357196601075501</v>
      </c>
      <c r="G241" s="7">
        <f t="shared" si="13"/>
        <v>4.1679740000000001</v>
      </c>
      <c r="H241" s="7">
        <f t="shared" si="14"/>
        <v>0.66774566010754999</v>
      </c>
      <c r="I241" s="8">
        <f t="shared" si="15"/>
        <v>0.16020869134681501</v>
      </c>
      <c r="J241" s="9">
        <v>116.76</v>
      </c>
      <c r="K241" s="9">
        <v>-77.965983274157296</v>
      </c>
    </row>
    <row r="242" spans="1:11" ht="12.75" customHeight="1">
      <c r="A242" s="1">
        <v>46184</v>
      </c>
      <c r="B242" s="2">
        <v>1</v>
      </c>
      <c r="C242" s="7">
        <v>-4.3801646753146501</v>
      </c>
      <c r="D242" s="7">
        <v>-3.5740280000000002</v>
      </c>
      <c r="E242" s="7">
        <v>-0.80613667531464706</v>
      </c>
      <c r="F242" s="7">
        <f t="shared" si="12"/>
        <v>4.3801646753146501</v>
      </c>
      <c r="G242" s="7">
        <f t="shared" si="13"/>
        <v>3.5740280000000002</v>
      </c>
      <c r="H242" s="7">
        <f t="shared" si="14"/>
        <v>0.80613667531464994</v>
      </c>
      <c r="I242" s="8">
        <f t="shared" si="15"/>
        <v>0.22555410179065466</v>
      </c>
      <c r="J242" s="9">
        <v>84.09</v>
      </c>
      <c r="K242" s="9">
        <v>-67.788033027208698</v>
      </c>
    </row>
    <row r="243" spans="1:11" ht="12.75" customHeight="1">
      <c r="A243" s="1">
        <v>46184</v>
      </c>
      <c r="B243" s="2">
        <v>2</v>
      </c>
      <c r="C243" s="7">
        <v>-4.2717947705831998</v>
      </c>
      <c r="D243" s="7">
        <v>-3.5067400000000002</v>
      </c>
      <c r="E243" s="7">
        <v>-0.76505477058319704</v>
      </c>
      <c r="F243" s="7">
        <f t="shared" si="12"/>
        <v>4.2717947705831998</v>
      </c>
      <c r="G243" s="7">
        <f t="shared" si="13"/>
        <v>3.5067400000000002</v>
      </c>
      <c r="H243" s="7">
        <f t="shared" si="14"/>
        <v>0.76505477058319959</v>
      </c>
      <c r="I243" s="8">
        <f t="shared" si="15"/>
        <v>0.21816695009701306</v>
      </c>
      <c r="J243" s="9">
        <v>79.77</v>
      </c>
      <c r="K243" s="9">
        <v>-61.0284190494217</v>
      </c>
    </row>
    <row r="244" spans="1:11" ht="12.75" customHeight="1">
      <c r="A244" s="1">
        <v>46184</v>
      </c>
      <c r="B244" s="2">
        <v>3</v>
      </c>
      <c r="C244" s="7">
        <v>-4.1768063440427703</v>
      </c>
      <c r="D244" s="7">
        <v>-3.3941620000000001</v>
      </c>
      <c r="E244" s="7">
        <v>-0.78264434404276695</v>
      </c>
      <c r="F244" s="7">
        <f t="shared" si="12"/>
        <v>4.1768063440427703</v>
      </c>
      <c r="G244" s="7">
        <f t="shared" si="13"/>
        <v>3.3941620000000001</v>
      </c>
      <c r="H244" s="7">
        <f t="shared" si="14"/>
        <v>0.78264434404277017</v>
      </c>
      <c r="I244" s="8">
        <f t="shared" si="15"/>
        <v>0.23058544172104045</v>
      </c>
      <c r="J244" s="9">
        <v>94.69</v>
      </c>
      <c r="K244" s="9">
        <v>-74.108592937409597</v>
      </c>
    </row>
    <row r="245" spans="1:11" ht="12.75" customHeight="1">
      <c r="A245" s="1">
        <v>46184</v>
      </c>
      <c r="B245" s="2">
        <v>4</v>
      </c>
      <c r="C245" s="7">
        <v>-4.02189228129724</v>
      </c>
      <c r="D245" s="7">
        <v>-3.4045139999999998</v>
      </c>
      <c r="E245" s="7">
        <v>-0.61737828129724304</v>
      </c>
      <c r="F245" s="7">
        <f t="shared" si="12"/>
        <v>4.02189228129724</v>
      </c>
      <c r="G245" s="7">
        <f t="shared" si="13"/>
        <v>3.4045139999999998</v>
      </c>
      <c r="H245" s="7">
        <f t="shared" si="14"/>
        <v>0.61737828129724015</v>
      </c>
      <c r="I245" s="8">
        <f t="shared" si="15"/>
        <v>0.18134109047495184</v>
      </c>
      <c r="J245" s="9">
        <v>89.62</v>
      </c>
      <c r="K245" s="9">
        <v>-55.329441569859</v>
      </c>
    </row>
    <row r="246" spans="1:11" ht="12.75" customHeight="1">
      <c r="A246" s="1">
        <v>46184</v>
      </c>
      <c r="B246" s="2">
        <v>5</v>
      </c>
      <c r="C246" s="7">
        <v>-4.0239769870165398</v>
      </c>
      <c r="D246" s="7">
        <v>-3.440099</v>
      </c>
      <c r="E246" s="7">
        <v>-0.58387022301654201</v>
      </c>
      <c r="F246" s="7">
        <f t="shared" si="12"/>
        <v>4.0239769870165398</v>
      </c>
      <c r="G246" s="7">
        <f t="shared" si="13"/>
        <v>3.440099</v>
      </c>
      <c r="H246" s="7">
        <f t="shared" si="14"/>
        <v>0.58387798701653981</v>
      </c>
      <c r="I246" s="8">
        <f t="shared" si="15"/>
        <v>0.16972708838220638</v>
      </c>
      <c r="J246" s="9">
        <v>84.28</v>
      </c>
      <c r="K246" s="9">
        <v>-49.208582395834199</v>
      </c>
    </row>
    <row r="247" spans="1:11" ht="12.75" customHeight="1">
      <c r="A247" s="1">
        <v>46184</v>
      </c>
      <c r="B247" s="2">
        <v>6</v>
      </c>
      <c r="C247" s="7">
        <v>-3.7719749794132502</v>
      </c>
      <c r="D247" s="7">
        <v>-3.110776</v>
      </c>
      <c r="E247" s="7">
        <v>-0.65520827701325102</v>
      </c>
      <c r="F247" s="7">
        <f t="shared" si="12"/>
        <v>3.7719749794132502</v>
      </c>
      <c r="G247" s="7">
        <f t="shared" si="13"/>
        <v>3.110776</v>
      </c>
      <c r="H247" s="7">
        <f t="shared" si="14"/>
        <v>0.66119897941325023</v>
      </c>
      <c r="I247" s="8">
        <f t="shared" si="15"/>
        <v>0.21255113817685692</v>
      </c>
      <c r="J247" s="9">
        <v>102.03</v>
      </c>
      <c r="K247" s="9">
        <v>-66.850900503662103</v>
      </c>
    </row>
    <row r="248" spans="1:11" ht="12.75" customHeight="1">
      <c r="A248" s="1">
        <v>46184</v>
      </c>
      <c r="B248" s="2">
        <v>7</v>
      </c>
      <c r="C248" s="7">
        <v>-3.36284520402255</v>
      </c>
      <c r="D248" s="7">
        <v>-2.6636989999999998</v>
      </c>
      <c r="E248" s="7">
        <v>-0.65902392242255403</v>
      </c>
      <c r="F248" s="7">
        <f t="shared" si="12"/>
        <v>3.36284520402255</v>
      </c>
      <c r="G248" s="7">
        <f t="shared" si="13"/>
        <v>2.6636989999999998</v>
      </c>
      <c r="H248" s="7">
        <f t="shared" si="14"/>
        <v>0.69914620402255023</v>
      </c>
      <c r="I248" s="8">
        <f t="shared" si="15"/>
        <v>0.26247192495193722</v>
      </c>
      <c r="J248" s="9">
        <v>69.34</v>
      </c>
      <c r="K248" s="9">
        <v>-45.696718780779896</v>
      </c>
    </row>
    <row r="249" spans="1:11" ht="12.75" customHeight="1">
      <c r="A249" s="1">
        <v>46184</v>
      </c>
      <c r="B249" s="2">
        <v>8</v>
      </c>
      <c r="C249" s="7">
        <v>-3.41974051415459</v>
      </c>
      <c r="D249" s="7">
        <v>-2.8008630000000001</v>
      </c>
      <c r="E249" s="7">
        <v>-0.39391884915458902</v>
      </c>
      <c r="F249" s="7">
        <f t="shared" si="12"/>
        <v>3.41974051415459</v>
      </c>
      <c r="G249" s="7">
        <f t="shared" si="13"/>
        <v>2.8008630000000001</v>
      </c>
      <c r="H249" s="7">
        <f t="shared" si="14"/>
        <v>0.61887751415458991</v>
      </c>
      <c r="I249" s="8">
        <f t="shared" si="15"/>
        <v>0.22095958072729366</v>
      </c>
      <c r="J249" s="9">
        <v>15</v>
      </c>
      <c r="K249" s="9">
        <v>-5.9087827373188304</v>
      </c>
    </row>
    <row r="250" spans="1:11" ht="12.75" customHeight="1">
      <c r="A250" s="1">
        <v>46184</v>
      </c>
      <c r="B250" s="2">
        <v>9</v>
      </c>
      <c r="C250" s="7">
        <v>-4.0299425335130303</v>
      </c>
      <c r="D250" s="7">
        <v>-3.5701459999999998</v>
      </c>
      <c r="E250" s="7">
        <v>-0.13261510351303199</v>
      </c>
      <c r="F250" s="7">
        <f t="shared" si="12"/>
        <v>4.0299425335130303</v>
      </c>
      <c r="G250" s="7">
        <f t="shared" si="13"/>
        <v>3.5701459999999998</v>
      </c>
      <c r="H250" s="7">
        <f t="shared" si="14"/>
        <v>0.45979653351303051</v>
      </c>
      <c r="I250" s="8">
        <f t="shared" si="15"/>
        <v>0.12878928018995037</v>
      </c>
      <c r="J250" s="9">
        <v>35.53</v>
      </c>
      <c r="K250" s="9">
        <v>-4.7118146278180202</v>
      </c>
    </row>
    <row r="251" spans="1:11" ht="12.75" customHeight="1">
      <c r="A251" s="1">
        <v>46184</v>
      </c>
      <c r="B251" s="2">
        <v>10</v>
      </c>
      <c r="C251" s="7">
        <v>-4.3073261520138697</v>
      </c>
      <c r="D251" s="7">
        <v>-3.5449130000000002</v>
      </c>
      <c r="E251" s="7">
        <v>-0.31674337701386901</v>
      </c>
      <c r="F251" s="7">
        <f t="shared" si="12"/>
        <v>4.3073261520138697</v>
      </c>
      <c r="G251" s="7">
        <f t="shared" si="13"/>
        <v>3.5449130000000002</v>
      </c>
      <c r="H251" s="7">
        <f t="shared" si="14"/>
        <v>0.7624131520138695</v>
      </c>
      <c r="I251" s="8">
        <f t="shared" si="15"/>
        <v>0.21507245791754817</v>
      </c>
      <c r="J251" s="9">
        <v>80.2</v>
      </c>
      <c r="K251" s="9">
        <v>-25.402818836512299</v>
      </c>
    </row>
    <row r="252" spans="1:11" ht="12.75" customHeight="1">
      <c r="A252" s="1">
        <v>46184</v>
      </c>
      <c r="B252" s="2">
        <v>11</v>
      </c>
      <c r="C252" s="7">
        <v>-4.1080290445653604</v>
      </c>
      <c r="D252" s="7">
        <v>-3.5287380000000002</v>
      </c>
      <c r="E252" s="7">
        <v>8.02432864346386E-2</v>
      </c>
      <c r="F252" s="7">
        <f t="shared" si="12"/>
        <v>4.1080290445653604</v>
      </c>
      <c r="G252" s="7">
        <f t="shared" si="13"/>
        <v>3.5287380000000002</v>
      </c>
      <c r="H252" s="7">
        <f t="shared" si="14"/>
        <v>0.57929104456536029</v>
      </c>
      <c r="I252" s="8">
        <f t="shared" si="15"/>
        <v>0.16416380149655777</v>
      </c>
      <c r="J252" s="9">
        <v>84.72</v>
      </c>
      <c r="K252" s="9">
        <v>6.7982112267425796</v>
      </c>
    </row>
    <row r="253" spans="1:11" ht="12.75" customHeight="1">
      <c r="A253" s="1">
        <v>46184</v>
      </c>
      <c r="B253" s="2">
        <v>12</v>
      </c>
      <c r="C253" s="7">
        <v>-4.1821587802553903</v>
      </c>
      <c r="D253" s="7">
        <v>-3.527444</v>
      </c>
      <c r="E253" s="7">
        <v>-7.1599130553924801E-3</v>
      </c>
      <c r="F253" s="7">
        <f t="shared" si="12"/>
        <v>4.1821587802553903</v>
      </c>
      <c r="G253" s="7">
        <f t="shared" si="13"/>
        <v>3.527444</v>
      </c>
      <c r="H253" s="7">
        <f t="shared" si="14"/>
        <v>0.65471478025539032</v>
      </c>
      <c r="I253" s="8">
        <f t="shared" si="15"/>
        <v>0.18560600260568</v>
      </c>
      <c r="J253" s="9">
        <v>36.07</v>
      </c>
      <c r="K253" s="9">
        <v>-0.25825806390800699</v>
      </c>
    </row>
    <row r="254" spans="1:11" ht="12.75" customHeight="1">
      <c r="A254" s="1">
        <v>46184</v>
      </c>
      <c r="B254" s="2">
        <v>13</v>
      </c>
      <c r="C254" s="7">
        <v>-4.2211532369262903</v>
      </c>
      <c r="D254" s="7">
        <v>-3.5436190000000001</v>
      </c>
      <c r="E254" s="7">
        <v>-4.0646199926284897E-2</v>
      </c>
      <c r="F254" s="7">
        <f t="shared" si="12"/>
        <v>4.2211532369262903</v>
      </c>
      <c r="G254" s="7">
        <f t="shared" si="13"/>
        <v>3.5436190000000001</v>
      </c>
      <c r="H254" s="7">
        <f t="shared" si="14"/>
        <v>0.67753423692629022</v>
      </c>
      <c r="I254" s="8">
        <f t="shared" si="15"/>
        <v>0.1911983869954107</v>
      </c>
      <c r="J254" s="9">
        <v>29.8</v>
      </c>
      <c r="K254" s="9">
        <v>-1.21125675780329</v>
      </c>
    </row>
    <row r="255" spans="1:11" ht="12.75" customHeight="1">
      <c r="A255" s="1">
        <v>46184</v>
      </c>
      <c r="B255" s="2">
        <v>14</v>
      </c>
      <c r="C255" s="7">
        <v>-4.59164612954467</v>
      </c>
      <c r="D255" s="7">
        <v>-3.847709</v>
      </c>
      <c r="E255" s="7">
        <v>-0.129404883544672</v>
      </c>
      <c r="F255" s="7">
        <f t="shared" si="12"/>
        <v>4.59164612954467</v>
      </c>
      <c r="G255" s="7">
        <f t="shared" si="13"/>
        <v>3.847709</v>
      </c>
      <c r="H255" s="7">
        <f t="shared" si="14"/>
        <v>0.74393712954466995</v>
      </c>
      <c r="I255" s="8">
        <f t="shared" si="15"/>
        <v>0.19334547637169805</v>
      </c>
      <c r="J255" s="9">
        <v>27.5</v>
      </c>
      <c r="K255" s="9">
        <v>-3.5586342974784899</v>
      </c>
    </row>
    <row r="256" spans="1:11" ht="12.75" customHeight="1">
      <c r="A256" s="1">
        <v>46184</v>
      </c>
      <c r="B256" s="2">
        <v>15</v>
      </c>
      <c r="C256" s="7">
        <v>-4.4763806609098999</v>
      </c>
      <c r="D256" s="7">
        <v>-3.9583460000000001</v>
      </c>
      <c r="E256" s="7">
        <v>0.10963492009010101</v>
      </c>
      <c r="F256" s="7">
        <f t="shared" si="12"/>
        <v>4.4763806609098999</v>
      </c>
      <c r="G256" s="7">
        <f t="shared" si="13"/>
        <v>3.9583460000000001</v>
      </c>
      <c r="H256" s="7">
        <f t="shared" si="14"/>
        <v>0.5180346609098998</v>
      </c>
      <c r="I256" s="8">
        <f t="shared" si="15"/>
        <v>0.13087149554634683</v>
      </c>
      <c r="J256" s="9">
        <v>26.83</v>
      </c>
      <c r="K256" s="9">
        <v>2.9415049060173999</v>
      </c>
    </row>
    <row r="257" spans="1:11" ht="12.75" customHeight="1">
      <c r="A257" s="1">
        <v>46184</v>
      </c>
      <c r="B257" s="2">
        <v>16</v>
      </c>
      <c r="C257" s="7">
        <v>-4.5269311885931103</v>
      </c>
      <c r="D257" s="7">
        <v>-4.2359090000000004</v>
      </c>
      <c r="E257" s="7">
        <v>0.22424020040688999</v>
      </c>
      <c r="F257" s="7">
        <f t="shared" si="12"/>
        <v>4.5269311885931103</v>
      </c>
      <c r="G257" s="7">
        <f t="shared" si="13"/>
        <v>4.2359090000000004</v>
      </c>
      <c r="H257" s="7">
        <f t="shared" si="14"/>
        <v>0.29102218859310991</v>
      </c>
      <c r="I257" s="8">
        <f t="shared" si="15"/>
        <v>6.8703597880197587E-2</v>
      </c>
      <c r="J257" s="9">
        <v>49.51</v>
      </c>
      <c r="K257" s="9">
        <v>11.102132322145099</v>
      </c>
    </row>
    <row r="258" spans="1:11" ht="12.75" customHeight="1">
      <c r="A258" s="1">
        <v>46184</v>
      </c>
      <c r="B258" s="2">
        <v>17</v>
      </c>
      <c r="C258" s="7">
        <v>-4.7087370575605103</v>
      </c>
      <c r="D258" s="7">
        <v>-4.4869450000000004</v>
      </c>
      <c r="E258" s="7">
        <v>0.178571542439487</v>
      </c>
      <c r="F258" s="7">
        <f t="shared" ref="F258:F321" si="16">ABS(C258)</f>
        <v>4.7087370575605103</v>
      </c>
      <c r="G258" s="7">
        <f t="shared" ref="G258:G321" si="17">ABS(D258)</f>
        <v>4.4869450000000004</v>
      </c>
      <c r="H258" s="7">
        <f t="shared" ref="H258:H321" si="18">ABS(G258-F258)</f>
        <v>0.2217920575605099</v>
      </c>
      <c r="I258" s="8">
        <f t="shared" ref="I258:I321" si="19">H258/G258</f>
        <v>4.9430527354471669E-2</v>
      </c>
      <c r="J258" s="9">
        <v>107.72</v>
      </c>
      <c r="K258" s="9">
        <v>19.2357265515815</v>
      </c>
    </row>
    <row r="259" spans="1:11" ht="12.75" customHeight="1">
      <c r="A259" s="1">
        <v>46184</v>
      </c>
      <c r="B259" s="2">
        <v>18</v>
      </c>
      <c r="C259" s="7">
        <v>-4.98725027304463</v>
      </c>
      <c r="D259" s="7">
        <v>-4.6939849999999996</v>
      </c>
      <c r="E259" s="7">
        <v>-0.16219666004463201</v>
      </c>
      <c r="F259" s="7">
        <f t="shared" si="16"/>
        <v>4.98725027304463</v>
      </c>
      <c r="G259" s="7">
        <f t="shared" si="17"/>
        <v>4.6939849999999996</v>
      </c>
      <c r="H259" s="7">
        <f t="shared" si="18"/>
        <v>0.29326527304463035</v>
      </c>
      <c r="I259" s="8">
        <f t="shared" si="19"/>
        <v>6.2476823646566912E-2</v>
      </c>
      <c r="J259" s="9">
        <v>158.41999999999999</v>
      </c>
      <c r="K259" s="9">
        <v>-25.695194884270599</v>
      </c>
    </row>
    <row r="260" spans="1:11" ht="12.75" customHeight="1">
      <c r="A260" s="1">
        <v>46184</v>
      </c>
      <c r="B260" s="2">
        <v>19</v>
      </c>
      <c r="C260" s="7">
        <v>-5.5835314394328401</v>
      </c>
      <c r="D260" s="7">
        <v>-5.0136029999999998</v>
      </c>
      <c r="E260" s="7">
        <v>-0.54976468443283699</v>
      </c>
      <c r="F260" s="7">
        <f t="shared" si="16"/>
        <v>5.5835314394328401</v>
      </c>
      <c r="G260" s="7">
        <f t="shared" si="17"/>
        <v>5.0136029999999998</v>
      </c>
      <c r="H260" s="7">
        <f t="shared" si="18"/>
        <v>0.56992843943284033</v>
      </c>
      <c r="I260" s="8">
        <f t="shared" si="19"/>
        <v>0.11367641981880902</v>
      </c>
      <c r="J260" s="9">
        <v>122.23</v>
      </c>
      <c r="K260" s="9">
        <v>-67.197737378225696</v>
      </c>
    </row>
    <row r="261" spans="1:11" ht="12.75" customHeight="1">
      <c r="A261" s="1">
        <v>46184</v>
      </c>
      <c r="B261" s="2">
        <v>20</v>
      </c>
      <c r="C261" s="7">
        <v>-6.0401235265592197</v>
      </c>
      <c r="D261" s="7">
        <v>-5.8068249999999999</v>
      </c>
      <c r="E261" s="7">
        <v>-0.22888145755921699</v>
      </c>
      <c r="F261" s="7">
        <f t="shared" si="16"/>
        <v>6.0401235265592197</v>
      </c>
      <c r="G261" s="7">
        <f t="shared" si="17"/>
        <v>5.8068249999999999</v>
      </c>
      <c r="H261" s="7">
        <f t="shared" si="18"/>
        <v>0.23329852655921979</v>
      </c>
      <c r="I261" s="8">
        <f t="shared" si="19"/>
        <v>4.0176607106158668E-2</v>
      </c>
      <c r="J261" s="9">
        <v>143.13</v>
      </c>
      <c r="K261" s="9">
        <v>-32.759803020450697</v>
      </c>
    </row>
    <row r="262" spans="1:11" ht="12.75" customHeight="1">
      <c r="A262" s="1">
        <v>46184</v>
      </c>
      <c r="B262" s="2">
        <v>21</v>
      </c>
      <c r="C262" s="7">
        <v>-6.3109919508796901</v>
      </c>
      <c r="D262" s="7">
        <v>-6.3321889999999996</v>
      </c>
      <c r="E262" s="7">
        <v>2.11970491203099E-2</v>
      </c>
      <c r="F262" s="7">
        <f t="shared" si="16"/>
        <v>6.3109919508796901</v>
      </c>
      <c r="G262" s="7">
        <f t="shared" si="17"/>
        <v>6.3321889999999996</v>
      </c>
      <c r="H262" s="7">
        <f t="shared" si="18"/>
        <v>2.1197049120309508E-2</v>
      </c>
      <c r="I262" s="8">
        <f t="shared" si="19"/>
        <v>3.3475073344003958E-3</v>
      </c>
      <c r="J262" s="9">
        <v>167.78</v>
      </c>
      <c r="K262" s="9">
        <v>3.55644090140559</v>
      </c>
    </row>
    <row r="263" spans="1:11" ht="12.75" customHeight="1">
      <c r="A263" s="1">
        <v>46184</v>
      </c>
      <c r="B263" s="2">
        <v>22</v>
      </c>
      <c r="C263" s="7">
        <v>-6.0624938172067804</v>
      </c>
      <c r="D263" s="7">
        <v>-6.2293159999999999</v>
      </c>
      <c r="E263" s="7">
        <v>0.16682218279321601</v>
      </c>
      <c r="F263" s="7">
        <f t="shared" si="16"/>
        <v>6.0624938172067804</v>
      </c>
      <c r="G263" s="7">
        <f t="shared" si="17"/>
        <v>6.2293159999999999</v>
      </c>
      <c r="H263" s="7">
        <f t="shared" si="18"/>
        <v>0.16682218279321948</v>
      </c>
      <c r="I263" s="8">
        <f t="shared" si="19"/>
        <v>2.678017663467698E-2</v>
      </c>
      <c r="J263" s="9">
        <v>135.36000000000001</v>
      </c>
      <c r="K263" s="9">
        <v>22.581050662889801</v>
      </c>
    </row>
    <row r="264" spans="1:11" ht="12.75" customHeight="1">
      <c r="A264" s="1">
        <v>46184</v>
      </c>
      <c r="B264" s="2">
        <v>23</v>
      </c>
      <c r="C264" s="7">
        <v>-5.4448190672708696</v>
      </c>
      <c r="D264" s="7">
        <v>-5.3364560000000001</v>
      </c>
      <c r="E264" s="7">
        <v>-0.108363067270865</v>
      </c>
      <c r="F264" s="7">
        <f t="shared" si="16"/>
        <v>5.4448190672708696</v>
      </c>
      <c r="G264" s="7">
        <f t="shared" si="17"/>
        <v>5.3364560000000001</v>
      </c>
      <c r="H264" s="7">
        <f t="shared" si="18"/>
        <v>0.10836306727086953</v>
      </c>
      <c r="I264" s="8">
        <f t="shared" si="19"/>
        <v>2.030618584147785E-2</v>
      </c>
      <c r="J264" s="9">
        <v>89.95</v>
      </c>
      <c r="K264" s="9">
        <v>-9.7472579010143505</v>
      </c>
    </row>
    <row r="265" spans="1:11" ht="12.75" customHeight="1">
      <c r="A265" s="1">
        <v>46184</v>
      </c>
      <c r="B265" s="2">
        <v>24</v>
      </c>
      <c r="C265" s="7">
        <v>-4.6802231702971504</v>
      </c>
      <c r="D265" s="7">
        <v>-4.6241089999999998</v>
      </c>
      <c r="E265" s="7">
        <v>-5.61141702971477E-2</v>
      </c>
      <c r="F265" s="7">
        <f t="shared" si="16"/>
        <v>4.6802231702971504</v>
      </c>
      <c r="G265" s="7">
        <f t="shared" si="17"/>
        <v>4.6241089999999998</v>
      </c>
      <c r="H265" s="7">
        <f t="shared" si="18"/>
        <v>5.6114170297150601E-2</v>
      </c>
      <c r="I265" s="8">
        <f t="shared" si="19"/>
        <v>1.2135131394426603E-2</v>
      </c>
      <c r="J265" s="9">
        <v>90.63</v>
      </c>
      <c r="K265" s="9">
        <v>-5.0856272540305003</v>
      </c>
    </row>
    <row r="266" spans="1:11" ht="12.75" customHeight="1">
      <c r="A266" s="1">
        <v>46185</v>
      </c>
      <c r="B266" s="2">
        <v>1</v>
      </c>
      <c r="C266" s="7">
        <v>-4.3038614541161904</v>
      </c>
      <c r="D266" s="7">
        <v>-3.9376419999999999</v>
      </c>
      <c r="E266" s="7">
        <v>-0.36621945411618501</v>
      </c>
      <c r="F266" s="7">
        <f t="shared" si="16"/>
        <v>4.3038614541161904</v>
      </c>
      <c r="G266" s="7">
        <f t="shared" si="17"/>
        <v>3.9376419999999999</v>
      </c>
      <c r="H266" s="7">
        <f t="shared" si="18"/>
        <v>0.3662194541161905</v>
      </c>
      <c r="I266" s="8">
        <f t="shared" si="19"/>
        <v>9.3004761254626631E-2</v>
      </c>
      <c r="J266" s="9">
        <v>110.96</v>
      </c>
      <c r="K266" s="9">
        <v>-40.6357106287319</v>
      </c>
    </row>
    <row r="267" spans="1:11" ht="12.75" customHeight="1">
      <c r="A267" s="1">
        <v>46185</v>
      </c>
      <c r="B267" s="2">
        <v>2</v>
      </c>
      <c r="C267" s="7">
        <v>-4.1937454303574704</v>
      </c>
      <c r="D267" s="7">
        <v>-3.7144270000000001</v>
      </c>
      <c r="E267" s="7">
        <v>-0.47931843035747201</v>
      </c>
      <c r="F267" s="7">
        <f t="shared" si="16"/>
        <v>4.1937454303574704</v>
      </c>
      <c r="G267" s="7">
        <f t="shared" si="17"/>
        <v>3.7144270000000001</v>
      </c>
      <c r="H267" s="7">
        <f t="shared" si="18"/>
        <v>0.47931843035747024</v>
      </c>
      <c r="I267" s="8">
        <f t="shared" si="19"/>
        <v>0.1290423611387356</v>
      </c>
      <c r="J267" s="9">
        <v>45.72</v>
      </c>
      <c r="K267" s="9">
        <v>-21.914438635943601</v>
      </c>
    </row>
    <row r="268" spans="1:11" ht="12.75" customHeight="1">
      <c r="A268" s="1">
        <v>46185</v>
      </c>
      <c r="B268" s="2">
        <v>3</v>
      </c>
      <c r="C268" s="7">
        <v>-3.88558132944013</v>
      </c>
      <c r="D268" s="7">
        <v>-3.7590699999999999</v>
      </c>
      <c r="E268" s="7">
        <v>-0.12651132944012899</v>
      </c>
      <c r="F268" s="7">
        <f t="shared" si="16"/>
        <v>3.88558132944013</v>
      </c>
      <c r="G268" s="7">
        <f t="shared" si="17"/>
        <v>3.7590699999999999</v>
      </c>
      <c r="H268" s="7">
        <f t="shared" si="18"/>
        <v>0.1265113294401301</v>
      </c>
      <c r="I268" s="8">
        <f t="shared" si="19"/>
        <v>3.3654954400990165E-2</v>
      </c>
      <c r="J268" s="9">
        <v>96.6</v>
      </c>
      <c r="K268" s="9">
        <v>-12.2209944239164</v>
      </c>
    </row>
    <row r="269" spans="1:11" ht="12.75" customHeight="1">
      <c r="A269" s="1">
        <v>46185</v>
      </c>
      <c r="B269" s="2">
        <v>4</v>
      </c>
      <c r="C269" s="7">
        <v>-4.1102061741656302</v>
      </c>
      <c r="D269" s="7">
        <v>-3.802419</v>
      </c>
      <c r="E269" s="7">
        <v>-0.30778717416563001</v>
      </c>
      <c r="F269" s="7">
        <f t="shared" si="16"/>
        <v>4.1102061741656302</v>
      </c>
      <c r="G269" s="7">
        <f t="shared" si="17"/>
        <v>3.802419</v>
      </c>
      <c r="H269" s="7">
        <f t="shared" si="18"/>
        <v>0.30778717416563017</v>
      </c>
      <c r="I269" s="8">
        <f t="shared" si="19"/>
        <v>8.0945096835890573E-2</v>
      </c>
      <c r="J269" s="9">
        <v>97.13</v>
      </c>
      <c r="K269" s="9">
        <v>-29.8953682267076</v>
      </c>
    </row>
    <row r="270" spans="1:11" ht="12.75" customHeight="1">
      <c r="A270" s="1">
        <v>46185</v>
      </c>
      <c r="B270" s="2">
        <v>5</v>
      </c>
      <c r="C270" s="7">
        <v>-4.1095053703343902</v>
      </c>
      <c r="D270" s="7">
        <v>-3.8962340000000002</v>
      </c>
      <c r="E270" s="7">
        <v>-0.213271370334391</v>
      </c>
      <c r="F270" s="7">
        <f t="shared" si="16"/>
        <v>4.1095053703343902</v>
      </c>
      <c r="G270" s="7">
        <f t="shared" si="17"/>
        <v>3.8962340000000002</v>
      </c>
      <c r="H270" s="7">
        <f t="shared" si="18"/>
        <v>0.21327137033439003</v>
      </c>
      <c r="I270" s="8">
        <f t="shared" si="19"/>
        <v>5.4737823840762652E-2</v>
      </c>
      <c r="J270" s="9">
        <v>62.6</v>
      </c>
      <c r="K270" s="9">
        <v>-13.350787782932899</v>
      </c>
    </row>
    <row r="271" spans="1:11" ht="12.75" customHeight="1">
      <c r="A271" s="1">
        <v>46185</v>
      </c>
      <c r="B271" s="2">
        <v>6</v>
      </c>
      <c r="C271" s="7">
        <v>-4.0271056372907701</v>
      </c>
      <c r="D271" s="7">
        <v>-3.5863209999999999</v>
      </c>
      <c r="E271" s="7">
        <v>-0.43907500449077203</v>
      </c>
      <c r="F271" s="7">
        <f t="shared" si="16"/>
        <v>4.0271056372907701</v>
      </c>
      <c r="G271" s="7">
        <f t="shared" si="17"/>
        <v>3.5863209999999999</v>
      </c>
      <c r="H271" s="7">
        <f t="shared" si="18"/>
        <v>0.44078463729077022</v>
      </c>
      <c r="I271" s="8">
        <f t="shared" si="19"/>
        <v>0.12290719020711482</v>
      </c>
      <c r="J271" s="9">
        <v>83.03</v>
      </c>
      <c r="K271" s="9">
        <v>-36.456397622868799</v>
      </c>
    </row>
    <row r="272" spans="1:11" ht="12.75" customHeight="1">
      <c r="A272" s="1">
        <v>46185</v>
      </c>
      <c r="B272" s="2">
        <v>7</v>
      </c>
      <c r="C272" s="7">
        <v>-4.04282971489822</v>
      </c>
      <c r="D272" s="7">
        <v>-3.2395290000000001</v>
      </c>
      <c r="E272" s="7">
        <v>-0.80050166349821505</v>
      </c>
      <c r="F272" s="7">
        <f t="shared" si="16"/>
        <v>4.04282971489822</v>
      </c>
      <c r="G272" s="7">
        <f t="shared" si="17"/>
        <v>3.2395290000000001</v>
      </c>
      <c r="H272" s="7">
        <f t="shared" si="18"/>
        <v>0.80330071489821986</v>
      </c>
      <c r="I272" s="8">
        <f t="shared" si="19"/>
        <v>0.24796836666633323</v>
      </c>
      <c r="J272" s="9">
        <v>74.58</v>
      </c>
      <c r="K272" s="9">
        <v>-59.701414063696902</v>
      </c>
    </row>
    <row r="273" spans="1:11" ht="12.75" customHeight="1">
      <c r="A273" s="1">
        <v>46185</v>
      </c>
      <c r="B273" s="2">
        <v>8</v>
      </c>
      <c r="C273" s="7">
        <v>-4.7752894213639401</v>
      </c>
      <c r="D273" s="7">
        <v>-3.4614500000000001</v>
      </c>
      <c r="E273" s="7">
        <v>-1.31331017536394</v>
      </c>
      <c r="F273" s="7">
        <f t="shared" si="16"/>
        <v>4.7752894213639401</v>
      </c>
      <c r="G273" s="7">
        <f t="shared" si="17"/>
        <v>3.4614500000000001</v>
      </c>
      <c r="H273" s="7">
        <f t="shared" si="18"/>
        <v>1.3138394213639399</v>
      </c>
      <c r="I273" s="8">
        <f t="shared" si="19"/>
        <v>0.37956331056751935</v>
      </c>
      <c r="J273" s="9">
        <v>60.45</v>
      </c>
      <c r="K273" s="9">
        <v>-79.3896001007503</v>
      </c>
    </row>
    <row r="274" spans="1:11" ht="12.75" customHeight="1">
      <c r="A274" s="1">
        <v>46185</v>
      </c>
      <c r="B274" s="2">
        <v>9</v>
      </c>
      <c r="C274" s="7">
        <v>-5.4746899126283299</v>
      </c>
      <c r="D274" s="7">
        <v>-4.0275749999999997</v>
      </c>
      <c r="E274" s="7">
        <v>-1.4398510436283301</v>
      </c>
      <c r="F274" s="7">
        <f t="shared" si="16"/>
        <v>5.4746899126283299</v>
      </c>
      <c r="G274" s="7">
        <f t="shared" si="17"/>
        <v>4.0275749999999997</v>
      </c>
      <c r="H274" s="7">
        <f t="shared" si="18"/>
        <v>1.4471149126283303</v>
      </c>
      <c r="I274" s="8">
        <f t="shared" si="19"/>
        <v>0.35930179143239549</v>
      </c>
      <c r="J274" s="9">
        <v>65.790000000000006</v>
      </c>
      <c r="K274" s="9">
        <v>-94.727800160307893</v>
      </c>
    </row>
    <row r="275" spans="1:11" ht="12.75" customHeight="1">
      <c r="A275" s="1">
        <v>46185</v>
      </c>
      <c r="B275" s="2">
        <v>10</v>
      </c>
      <c r="C275" s="7">
        <v>-5.1065530128535404</v>
      </c>
      <c r="D275" s="7">
        <v>-3.968051</v>
      </c>
      <c r="E275" s="7">
        <v>-1.03111036485354</v>
      </c>
      <c r="F275" s="7">
        <f t="shared" si="16"/>
        <v>5.1065530128535404</v>
      </c>
      <c r="G275" s="7">
        <f t="shared" si="17"/>
        <v>3.968051</v>
      </c>
      <c r="H275" s="7">
        <f t="shared" si="18"/>
        <v>1.1385020128535404</v>
      </c>
      <c r="I275" s="8">
        <f t="shared" si="19"/>
        <v>0.28691718247914161</v>
      </c>
      <c r="J275" s="9">
        <v>65.3</v>
      </c>
      <c r="K275" s="9">
        <v>-67.3315068249359</v>
      </c>
    </row>
    <row r="276" spans="1:11" ht="12.75" customHeight="1">
      <c r="A276" s="1">
        <v>46185</v>
      </c>
      <c r="B276" s="2">
        <v>11</v>
      </c>
      <c r="C276" s="7">
        <v>-4.4254563404751401</v>
      </c>
      <c r="D276" s="7">
        <v>-3.7027809999999999</v>
      </c>
      <c r="E276" s="7">
        <v>-0.41126841747514198</v>
      </c>
      <c r="F276" s="7">
        <f t="shared" si="16"/>
        <v>4.4254563404751401</v>
      </c>
      <c r="G276" s="7">
        <f t="shared" si="17"/>
        <v>3.7027809999999999</v>
      </c>
      <c r="H276" s="7">
        <f t="shared" si="18"/>
        <v>0.72267534047514026</v>
      </c>
      <c r="I276" s="8">
        <f t="shared" si="19"/>
        <v>0.19517096487076613</v>
      </c>
      <c r="J276" s="9">
        <v>35.6</v>
      </c>
      <c r="K276" s="9">
        <v>-14.6411556621151</v>
      </c>
    </row>
    <row r="277" spans="1:11" ht="12.75" customHeight="1">
      <c r="A277" s="1">
        <v>46185</v>
      </c>
      <c r="B277" s="2">
        <v>12</v>
      </c>
      <c r="C277" s="7">
        <v>-4.6353547998142002</v>
      </c>
      <c r="D277" s="7">
        <v>-3.6199650000000001</v>
      </c>
      <c r="E277" s="7">
        <v>-0.81918924961419604</v>
      </c>
      <c r="F277" s="7">
        <f t="shared" si="16"/>
        <v>4.6353547998142002</v>
      </c>
      <c r="G277" s="7">
        <f t="shared" si="17"/>
        <v>3.6199650000000001</v>
      </c>
      <c r="H277" s="7">
        <f t="shared" si="18"/>
        <v>1.0153897998142001</v>
      </c>
      <c r="I277" s="8">
        <f t="shared" si="19"/>
        <v>0.28049713182702046</v>
      </c>
      <c r="J277" s="9">
        <v>59.68</v>
      </c>
      <c r="K277" s="9">
        <v>-48.8892144169752</v>
      </c>
    </row>
    <row r="278" spans="1:11" ht="12.75" customHeight="1">
      <c r="A278" s="1">
        <v>46185</v>
      </c>
      <c r="B278" s="2">
        <v>13</v>
      </c>
      <c r="C278" s="7">
        <v>-4.5439560575299902</v>
      </c>
      <c r="D278" s="7">
        <v>-3.5733809999999999</v>
      </c>
      <c r="E278" s="7">
        <v>-0.79837937192999098</v>
      </c>
      <c r="F278" s="7">
        <f t="shared" si="16"/>
        <v>4.5439560575299902</v>
      </c>
      <c r="G278" s="7">
        <f t="shared" si="17"/>
        <v>3.5733809999999999</v>
      </c>
      <c r="H278" s="7">
        <f t="shared" si="18"/>
        <v>0.97057505752999029</v>
      </c>
      <c r="I278" s="8">
        <f t="shared" si="19"/>
        <v>0.27161253096996663</v>
      </c>
      <c r="J278" s="9">
        <v>14.6</v>
      </c>
      <c r="K278" s="9">
        <v>-11.6563388301779</v>
      </c>
    </row>
    <row r="279" spans="1:11" ht="12.75" customHeight="1">
      <c r="A279" s="1">
        <v>46185</v>
      </c>
      <c r="B279" s="2">
        <v>14</v>
      </c>
      <c r="C279" s="7">
        <v>-4.2899196571662399</v>
      </c>
      <c r="D279" s="7">
        <v>-3.975168</v>
      </c>
      <c r="E279" s="7">
        <v>5.99894488337573E-2</v>
      </c>
      <c r="F279" s="7">
        <f t="shared" si="16"/>
        <v>4.2899196571662399</v>
      </c>
      <c r="G279" s="7">
        <f t="shared" si="17"/>
        <v>3.975168</v>
      </c>
      <c r="H279" s="7">
        <f t="shared" si="18"/>
        <v>0.31475165716623987</v>
      </c>
      <c r="I279" s="8">
        <f t="shared" si="19"/>
        <v>7.9179460381609001E-2</v>
      </c>
      <c r="J279" s="9">
        <v>14.3</v>
      </c>
      <c r="K279" s="9">
        <v>0.85784911832273003</v>
      </c>
    </row>
    <row r="280" spans="1:11" ht="12.75" customHeight="1">
      <c r="A280" s="1">
        <v>46185</v>
      </c>
      <c r="B280" s="2">
        <v>15</v>
      </c>
      <c r="C280" s="7">
        <v>-4.4406962641540799</v>
      </c>
      <c r="D280" s="7">
        <v>-4.1103909999999999</v>
      </c>
      <c r="E280" s="7">
        <v>-1.80074221540747E-2</v>
      </c>
      <c r="F280" s="7">
        <f t="shared" si="16"/>
        <v>4.4406962641540799</v>
      </c>
      <c r="G280" s="7">
        <f t="shared" si="17"/>
        <v>4.1103909999999999</v>
      </c>
      <c r="H280" s="7">
        <f t="shared" si="18"/>
        <v>0.33030526415408001</v>
      </c>
      <c r="I280" s="8">
        <f t="shared" si="19"/>
        <v>8.0358599499191205E-2</v>
      </c>
      <c r="J280" s="9">
        <v>53.49</v>
      </c>
      <c r="K280" s="9">
        <v>-0.96321701102145496</v>
      </c>
    </row>
    <row r="281" spans="1:11" ht="12.75" customHeight="1">
      <c r="A281" s="1">
        <v>46185</v>
      </c>
      <c r="B281" s="2">
        <v>16</v>
      </c>
      <c r="C281" s="7">
        <v>-4.8440745422562399</v>
      </c>
      <c r="D281" s="7">
        <v>-4.1388590000000001</v>
      </c>
      <c r="E281" s="7">
        <v>-0.41498492925624197</v>
      </c>
      <c r="F281" s="7">
        <f t="shared" si="16"/>
        <v>4.8440745422562399</v>
      </c>
      <c r="G281" s="7">
        <f t="shared" si="17"/>
        <v>4.1388590000000001</v>
      </c>
      <c r="H281" s="7">
        <f t="shared" si="18"/>
        <v>0.70521554225623984</v>
      </c>
      <c r="I281" s="8">
        <f t="shared" si="19"/>
        <v>0.1703888782527358</v>
      </c>
      <c r="J281" s="9">
        <v>45.65</v>
      </c>
      <c r="K281" s="9">
        <v>-18.944062020547399</v>
      </c>
    </row>
    <row r="282" spans="1:11" ht="12.75" customHeight="1">
      <c r="A282" s="1">
        <v>46185</v>
      </c>
      <c r="B282" s="2">
        <v>17</v>
      </c>
      <c r="C282" s="7">
        <v>-4.8218337651696404</v>
      </c>
      <c r="D282" s="7">
        <v>-4.481122</v>
      </c>
      <c r="E282" s="7">
        <v>-0.237658899169643</v>
      </c>
      <c r="F282" s="7">
        <f t="shared" si="16"/>
        <v>4.8218337651696404</v>
      </c>
      <c r="G282" s="7">
        <f t="shared" si="17"/>
        <v>4.481122</v>
      </c>
      <c r="H282" s="7">
        <f t="shared" si="18"/>
        <v>0.3407117651696403</v>
      </c>
      <c r="I282" s="8">
        <f t="shared" si="19"/>
        <v>7.6032691180833792E-2</v>
      </c>
      <c r="J282" s="9">
        <v>74.55</v>
      </c>
      <c r="K282" s="9">
        <v>-17.717470933096902</v>
      </c>
    </row>
    <row r="283" spans="1:11" ht="12.75" customHeight="1">
      <c r="A283" s="1">
        <v>46185</v>
      </c>
      <c r="B283" s="2">
        <v>18</v>
      </c>
      <c r="C283" s="7">
        <v>-4.4268539100371704</v>
      </c>
      <c r="D283" s="7">
        <v>-4.8906729999999996</v>
      </c>
      <c r="E283" s="7">
        <v>0.58434315576283602</v>
      </c>
      <c r="F283" s="7">
        <f t="shared" si="16"/>
        <v>4.4268539100371704</v>
      </c>
      <c r="G283" s="7">
        <f t="shared" si="17"/>
        <v>4.8906729999999996</v>
      </c>
      <c r="H283" s="7">
        <f t="shared" si="18"/>
        <v>0.46381908996282917</v>
      </c>
      <c r="I283" s="8">
        <f t="shared" si="19"/>
        <v>9.4837477370257467E-2</v>
      </c>
      <c r="J283" s="9">
        <v>61.04</v>
      </c>
      <c r="K283" s="9">
        <v>35.668306227763502</v>
      </c>
    </row>
    <row r="284" spans="1:11" ht="12.75" customHeight="1">
      <c r="A284" s="1">
        <v>46185</v>
      </c>
      <c r="B284" s="2">
        <v>19</v>
      </c>
      <c r="C284" s="7">
        <v>-4.4112587394765397</v>
      </c>
      <c r="D284" s="7">
        <v>-5.3209280000000003</v>
      </c>
      <c r="E284" s="7">
        <v>0.95274846152345705</v>
      </c>
      <c r="F284" s="7">
        <f t="shared" si="16"/>
        <v>4.4112587394765397</v>
      </c>
      <c r="G284" s="7">
        <f t="shared" si="17"/>
        <v>5.3209280000000003</v>
      </c>
      <c r="H284" s="7">
        <f t="shared" si="18"/>
        <v>0.90966926052346064</v>
      </c>
      <c r="I284" s="8">
        <f t="shared" si="19"/>
        <v>0.17096064079864651</v>
      </c>
      <c r="J284" s="9">
        <v>82.51</v>
      </c>
      <c r="K284" s="9">
        <v>78.611275560300399</v>
      </c>
    </row>
    <row r="285" spans="1:11" ht="12.75" customHeight="1">
      <c r="A285" s="1">
        <v>46185</v>
      </c>
      <c r="B285" s="2">
        <v>20</v>
      </c>
      <c r="C285" s="7">
        <v>-5.2450689529437096</v>
      </c>
      <c r="D285" s="7">
        <v>-6.0766239999999998</v>
      </c>
      <c r="E285" s="7">
        <v>0.83398776705629096</v>
      </c>
      <c r="F285" s="7">
        <f t="shared" si="16"/>
        <v>5.2450689529437096</v>
      </c>
      <c r="G285" s="7">
        <f t="shared" si="17"/>
        <v>6.0766239999999998</v>
      </c>
      <c r="H285" s="7">
        <f t="shared" si="18"/>
        <v>0.83155504705629024</v>
      </c>
      <c r="I285" s="8">
        <f t="shared" si="19"/>
        <v>0.13684490714849071</v>
      </c>
      <c r="J285" s="9">
        <v>37.049999999999997</v>
      </c>
      <c r="K285" s="9">
        <v>30.899246769435599</v>
      </c>
    </row>
    <row r="286" spans="1:11" ht="12.75" customHeight="1">
      <c r="A286" s="1">
        <v>46185</v>
      </c>
      <c r="B286" s="2">
        <v>21</v>
      </c>
      <c r="C286" s="7">
        <v>-5.75062230892906</v>
      </c>
      <c r="D286" s="7">
        <v>-6.3697150000000002</v>
      </c>
      <c r="E286" s="7">
        <v>0.619092691070942</v>
      </c>
      <c r="F286" s="7">
        <f t="shared" si="16"/>
        <v>5.75062230892906</v>
      </c>
      <c r="G286" s="7">
        <f t="shared" si="17"/>
        <v>6.3697150000000002</v>
      </c>
      <c r="H286" s="7">
        <f t="shared" si="18"/>
        <v>0.61909269107094023</v>
      </c>
      <c r="I286" s="8">
        <f t="shared" si="19"/>
        <v>9.7193154021952347E-2</v>
      </c>
      <c r="J286" s="9">
        <v>46.49</v>
      </c>
      <c r="K286" s="9">
        <v>28.781619207888099</v>
      </c>
    </row>
    <row r="287" spans="1:11" ht="12.75" customHeight="1">
      <c r="A287" s="1">
        <v>46185</v>
      </c>
      <c r="B287" s="2">
        <v>22</v>
      </c>
      <c r="C287" s="7">
        <v>-5.6911585012116097</v>
      </c>
      <c r="D287" s="7">
        <v>-6.1549110000000002</v>
      </c>
      <c r="E287" s="7">
        <v>0.46375249878839397</v>
      </c>
      <c r="F287" s="7">
        <f t="shared" si="16"/>
        <v>5.6911585012116097</v>
      </c>
      <c r="G287" s="7">
        <f t="shared" si="17"/>
        <v>6.1549110000000002</v>
      </c>
      <c r="H287" s="7">
        <f t="shared" si="18"/>
        <v>0.46375249878839053</v>
      </c>
      <c r="I287" s="8">
        <f t="shared" si="19"/>
        <v>7.5346743241029884E-2</v>
      </c>
      <c r="J287" s="9">
        <v>40.82</v>
      </c>
      <c r="K287" s="9">
        <v>18.930377000542201</v>
      </c>
    </row>
    <row r="288" spans="1:11" ht="12.75" customHeight="1">
      <c r="A288" s="1">
        <v>46185</v>
      </c>
      <c r="B288" s="2">
        <v>23</v>
      </c>
      <c r="C288" s="7">
        <v>-4.8810596534536002</v>
      </c>
      <c r="D288" s="7">
        <v>-5.3377499999999998</v>
      </c>
      <c r="E288" s="7">
        <v>0.456690346546405</v>
      </c>
      <c r="F288" s="7">
        <f t="shared" si="16"/>
        <v>4.8810596534536002</v>
      </c>
      <c r="G288" s="7">
        <f t="shared" si="17"/>
        <v>5.3377499999999998</v>
      </c>
      <c r="H288" s="7">
        <f t="shared" si="18"/>
        <v>0.45669034654639962</v>
      </c>
      <c r="I288" s="8">
        <f t="shared" si="19"/>
        <v>8.5558586772778722E-2</v>
      </c>
      <c r="J288" s="9">
        <v>80.94</v>
      </c>
      <c r="K288" s="9">
        <v>36.964516649465999</v>
      </c>
    </row>
    <row r="289" spans="1:11" ht="12.75" customHeight="1">
      <c r="A289" s="1">
        <v>46185</v>
      </c>
      <c r="B289" s="2">
        <v>24</v>
      </c>
      <c r="C289" s="7">
        <v>-4.3511269128501597</v>
      </c>
      <c r="D289" s="7">
        <v>-4.699808</v>
      </c>
      <c r="E289" s="7">
        <v>0.34868108714983798</v>
      </c>
      <c r="F289" s="7">
        <f t="shared" si="16"/>
        <v>4.3511269128501597</v>
      </c>
      <c r="G289" s="7">
        <f t="shared" si="17"/>
        <v>4.699808</v>
      </c>
      <c r="H289" s="7">
        <f t="shared" si="18"/>
        <v>0.34868108714984025</v>
      </c>
      <c r="I289" s="8">
        <f t="shared" si="19"/>
        <v>7.4190496111722071E-2</v>
      </c>
      <c r="J289" s="9">
        <v>78.319999999999993</v>
      </c>
      <c r="K289" s="9">
        <v>27.3087027455753</v>
      </c>
    </row>
    <row r="290" spans="1:11" ht="12.75" customHeight="1">
      <c r="A290" s="1">
        <v>46186</v>
      </c>
      <c r="B290" s="2">
        <v>1</v>
      </c>
      <c r="C290" s="7">
        <v>-4.1178192909673701</v>
      </c>
      <c r="D290" s="7">
        <v>-3.6193179999999998</v>
      </c>
      <c r="E290" s="7">
        <v>-0.49850129096736701</v>
      </c>
      <c r="F290" s="7">
        <f t="shared" si="16"/>
        <v>4.1178192909673701</v>
      </c>
      <c r="G290" s="7">
        <f t="shared" si="17"/>
        <v>3.6193179999999998</v>
      </c>
      <c r="H290" s="7">
        <f t="shared" si="18"/>
        <v>0.49850129096737028</v>
      </c>
      <c r="I290" s="8">
        <f t="shared" si="19"/>
        <v>0.13773348762594784</v>
      </c>
      <c r="J290" s="9">
        <v>32.799999999999997</v>
      </c>
      <c r="K290" s="9">
        <v>-16.3508423437296</v>
      </c>
    </row>
    <row r="291" spans="1:11" ht="12.75" customHeight="1">
      <c r="A291" s="1">
        <v>46186</v>
      </c>
      <c r="B291" s="2">
        <v>2</v>
      </c>
      <c r="C291" s="7">
        <v>-4.1359616628742799</v>
      </c>
      <c r="D291" s="7">
        <v>-4.0896869999999996</v>
      </c>
      <c r="E291" s="7">
        <v>-4.6274662874274397E-2</v>
      </c>
      <c r="F291" s="7">
        <f t="shared" si="16"/>
        <v>4.1359616628742799</v>
      </c>
      <c r="G291" s="7">
        <f t="shared" si="17"/>
        <v>4.0896869999999996</v>
      </c>
      <c r="H291" s="7">
        <f t="shared" si="18"/>
        <v>4.6274662874280281E-2</v>
      </c>
      <c r="I291" s="8">
        <f t="shared" si="19"/>
        <v>1.1314964415193703E-2</v>
      </c>
      <c r="J291" s="9">
        <v>41.71</v>
      </c>
      <c r="K291" s="9">
        <v>-1.9301161884859801</v>
      </c>
    </row>
    <row r="292" spans="1:11" ht="12.75" customHeight="1">
      <c r="A292" s="1">
        <v>46186</v>
      </c>
      <c r="B292" s="2">
        <v>3</v>
      </c>
      <c r="C292" s="7">
        <v>-3.8764010077428401</v>
      </c>
      <c r="D292" s="7">
        <v>-4.073512</v>
      </c>
      <c r="E292" s="7">
        <v>0.197110992257157</v>
      </c>
      <c r="F292" s="7">
        <f t="shared" si="16"/>
        <v>3.8764010077428401</v>
      </c>
      <c r="G292" s="7">
        <f t="shared" si="17"/>
        <v>4.073512</v>
      </c>
      <c r="H292" s="7">
        <f t="shared" si="18"/>
        <v>0.19711099225715989</v>
      </c>
      <c r="I292" s="8">
        <f t="shared" si="19"/>
        <v>4.8388464857145354E-2</v>
      </c>
      <c r="J292" s="9">
        <v>20.04</v>
      </c>
      <c r="K292" s="9">
        <v>3.9501042848334298</v>
      </c>
    </row>
    <row r="293" spans="1:11" ht="12.75" customHeight="1">
      <c r="A293" s="1">
        <v>46186</v>
      </c>
      <c r="B293" s="2">
        <v>4</v>
      </c>
      <c r="C293" s="7">
        <v>-3.8799738987806598</v>
      </c>
      <c r="D293" s="7">
        <v>-4.0618660000000002</v>
      </c>
      <c r="E293" s="7">
        <v>0.18189210121933999</v>
      </c>
      <c r="F293" s="7">
        <f t="shared" si="16"/>
        <v>3.8799738987806598</v>
      </c>
      <c r="G293" s="7">
        <f t="shared" si="17"/>
        <v>4.0618660000000002</v>
      </c>
      <c r="H293" s="7">
        <f t="shared" si="18"/>
        <v>0.18189210121934041</v>
      </c>
      <c r="I293" s="8">
        <f t="shared" si="19"/>
        <v>4.4780428802757254E-2</v>
      </c>
      <c r="J293" s="9">
        <v>14.83</v>
      </c>
      <c r="K293" s="9">
        <v>2.69745986108282</v>
      </c>
    </row>
    <row r="294" spans="1:11" ht="12.75" customHeight="1">
      <c r="A294" s="1">
        <v>46186</v>
      </c>
      <c r="B294" s="2">
        <v>5</v>
      </c>
      <c r="C294" s="7">
        <v>-3.9615392115558699</v>
      </c>
      <c r="D294" s="7">
        <v>-4.0424559999999996</v>
      </c>
      <c r="E294" s="7">
        <v>8.0916788444135801E-2</v>
      </c>
      <c r="F294" s="7">
        <f t="shared" si="16"/>
        <v>3.9615392115558699</v>
      </c>
      <c r="G294" s="7">
        <f t="shared" si="17"/>
        <v>4.0424559999999996</v>
      </c>
      <c r="H294" s="7">
        <f t="shared" si="18"/>
        <v>8.091678844412975E-2</v>
      </c>
      <c r="I294" s="8">
        <f t="shared" si="19"/>
        <v>2.0016739438630811E-2</v>
      </c>
      <c r="J294" s="9">
        <v>14.21</v>
      </c>
      <c r="K294" s="9">
        <v>1.1498275637911699</v>
      </c>
    </row>
    <row r="295" spans="1:11" ht="12.75" customHeight="1">
      <c r="A295" s="1">
        <v>46186</v>
      </c>
      <c r="B295" s="2">
        <v>6</v>
      </c>
      <c r="C295" s="7">
        <v>-3.5063965414883498</v>
      </c>
      <c r="D295" s="7">
        <v>-4.0062239999999996</v>
      </c>
      <c r="E295" s="7">
        <v>0.50721969231165098</v>
      </c>
      <c r="F295" s="7">
        <f t="shared" si="16"/>
        <v>3.5063965414883498</v>
      </c>
      <c r="G295" s="7">
        <f t="shared" si="17"/>
        <v>4.0062239999999996</v>
      </c>
      <c r="H295" s="7">
        <f t="shared" si="18"/>
        <v>0.49982745851164978</v>
      </c>
      <c r="I295" s="8">
        <f t="shared" si="19"/>
        <v>0.12476273381409772</v>
      </c>
      <c r="J295" s="9">
        <v>10.39</v>
      </c>
      <c r="K295" s="9">
        <v>5.2700126031180599</v>
      </c>
    </row>
    <row r="296" spans="1:11" ht="12.75" customHeight="1">
      <c r="A296" s="1">
        <v>46186</v>
      </c>
      <c r="B296" s="2">
        <v>7</v>
      </c>
      <c r="C296" s="7">
        <v>-2.92610857891819</v>
      </c>
      <c r="D296" s="7">
        <v>-3.9441120000000001</v>
      </c>
      <c r="E296" s="7">
        <v>1.13052280288181</v>
      </c>
      <c r="F296" s="7">
        <f t="shared" si="16"/>
        <v>2.92610857891819</v>
      </c>
      <c r="G296" s="7">
        <f t="shared" si="17"/>
        <v>3.9441120000000001</v>
      </c>
      <c r="H296" s="7">
        <f t="shared" si="18"/>
        <v>1.0180034210818101</v>
      </c>
      <c r="I296" s="8">
        <f t="shared" si="19"/>
        <v>0.25810712806375935</v>
      </c>
      <c r="J296" s="9">
        <v>6.39</v>
      </c>
      <c r="K296" s="9">
        <v>7.2240407104147897</v>
      </c>
    </row>
    <row r="297" spans="1:11" ht="12.75" customHeight="1">
      <c r="A297" s="1">
        <v>46186</v>
      </c>
      <c r="B297" s="2">
        <v>8</v>
      </c>
      <c r="C297" s="7">
        <v>-2.84212547426859</v>
      </c>
      <c r="D297" s="7">
        <v>-3.8263579999999999</v>
      </c>
      <c r="E297" s="7">
        <v>1.4721520477314101</v>
      </c>
      <c r="F297" s="7">
        <f t="shared" si="16"/>
        <v>2.84212547426859</v>
      </c>
      <c r="G297" s="7">
        <f t="shared" si="17"/>
        <v>3.8263579999999999</v>
      </c>
      <c r="H297" s="7">
        <f t="shared" si="18"/>
        <v>0.98423252573140996</v>
      </c>
      <c r="I297" s="8">
        <f t="shared" si="19"/>
        <v>0.25722436994432041</v>
      </c>
      <c r="J297" s="9">
        <v>2.19</v>
      </c>
      <c r="K297" s="9">
        <v>3.2240129845317802</v>
      </c>
    </row>
    <row r="298" spans="1:11" ht="12.75" customHeight="1">
      <c r="A298" s="1">
        <v>46186</v>
      </c>
      <c r="B298" s="2">
        <v>9</v>
      </c>
      <c r="C298" s="7">
        <v>-3.0640235911523699</v>
      </c>
      <c r="D298" s="7">
        <v>-2.8028040000000001</v>
      </c>
      <c r="E298" s="7">
        <v>0.37926253084762901</v>
      </c>
      <c r="F298" s="7">
        <f t="shared" si="16"/>
        <v>3.0640235911523699</v>
      </c>
      <c r="G298" s="7">
        <f t="shared" si="17"/>
        <v>2.8028040000000001</v>
      </c>
      <c r="H298" s="7">
        <f t="shared" si="18"/>
        <v>0.26121959115236981</v>
      </c>
      <c r="I298" s="8">
        <f t="shared" si="19"/>
        <v>9.3199378605271652E-2</v>
      </c>
      <c r="J298" s="9">
        <v>33.43</v>
      </c>
      <c r="K298" s="9">
        <v>12.678746406236201</v>
      </c>
    </row>
    <row r="299" spans="1:11" ht="12.75" customHeight="1">
      <c r="A299" s="1">
        <v>46186</v>
      </c>
      <c r="B299" s="2">
        <v>10</v>
      </c>
      <c r="C299" s="7">
        <v>-3.0346482112143698</v>
      </c>
      <c r="D299" s="7">
        <v>-3.7073100000000001</v>
      </c>
      <c r="E299" s="7">
        <v>1.45767724078563</v>
      </c>
      <c r="F299" s="7">
        <f t="shared" si="16"/>
        <v>3.0346482112143698</v>
      </c>
      <c r="G299" s="7">
        <f t="shared" si="17"/>
        <v>3.7073100000000001</v>
      </c>
      <c r="H299" s="7">
        <f t="shared" si="18"/>
        <v>0.67266178878563032</v>
      </c>
      <c r="I299" s="8">
        <f t="shared" si="19"/>
        <v>0.18144201288417486</v>
      </c>
      <c r="J299" s="9">
        <v>9.57</v>
      </c>
      <c r="K299" s="9">
        <v>13.949971194318501</v>
      </c>
    </row>
    <row r="300" spans="1:11" ht="12.75" customHeight="1">
      <c r="A300" s="1">
        <v>46186</v>
      </c>
      <c r="B300" s="2">
        <v>11</v>
      </c>
      <c r="C300" s="7">
        <v>-3.086265851247</v>
      </c>
      <c r="D300" s="7">
        <v>-3.6943700000000002</v>
      </c>
      <c r="E300" s="7">
        <v>1.517758974753</v>
      </c>
      <c r="F300" s="7">
        <f t="shared" si="16"/>
        <v>3.086265851247</v>
      </c>
      <c r="G300" s="7">
        <f t="shared" si="17"/>
        <v>3.6943700000000002</v>
      </c>
      <c r="H300" s="7">
        <f t="shared" si="18"/>
        <v>0.60810414875300012</v>
      </c>
      <c r="I300" s="8">
        <f t="shared" si="19"/>
        <v>0.16460293602238002</v>
      </c>
      <c r="J300" s="9">
        <v>16.18</v>
      </c>
      <c r="K300" s="9">
        <v>24.557340211503501</v>
      </c>
    </row>
    <row r="301" spans="1:11" ht="12.75" customHeight="1">
      <c r="A301" s="1">
        <v>46186</v>
      </c>
      <c r="B301" s="2">
        <v>12</v>
      </c>
      <c r="C301" s="7">
        <v>-3.1819488636605202</v>
      </c>
      <c r="D301" s="7">
        <v>-3.6827239999999999</v>
      </c>
      <c r="E301" s="7">
        <v>1.3143556383394801</v>
      </c>
      <c r="F301" s="7">
        <f t="shared" si="16"/>
        <v>3.1819488636605202</v>
      </c>
      <c r="G301" s="7">
        <f t="shared" si="17"/>
        <v>3.6827239999999999</v>
      </c>
      <c r="H301" s="7">
        <f t="shared" si="18"/>
        <v>0.50077513633947968</v>
      </c>
      <c r="I301" s="8">
        <f t="shared" si="19"/>
        <v>0.13597954566768503</v>
      </c>
      <c r="J301" s="9">
        <v>24.14</v>
      </c>
      <c r="K301" s="9">
        <v>31.728545109515</v>
      </c>
    </row>
    <row r="302" spans="1:11" ht="12.75" customHeight="1">
      <c r="A302" s="1">
        <v>46186</v>
      </c>
      <c r="B302" s="2">
        <v>13</v>
      </c>
      <c r="C302" s="7">
        <v>-3.24809230689588</v>
      </c>
      <c r="D302" s="7">
        <v>-3.6717249999999999</v>
      </c>
      <c r="E302" s="7">
        <v>1.1970848317041201</v>
      </c>
      <c r="F302" s="7">
        <f t="shared" si="16"/>
        <v>3.24809230689588</v>
      </c>
      <c r="G302" s="7">
        <f t="shared" si="17"/>
        <v>3.6717249999999999</v>
      </c>
      <c r="H302" s="7">
        <f t="shared" si="18"/>
        <v>0.42363269310411988</v>
      </c>
      <c r="I302" s="8">
        <f t="shared" si="19"/>
        <v>0.11537702118326397</v>
      </c>
      <c r="J302" s="9">
        <v>29.72</v>
      </c>
      <c r="K302" s="9">
        <v>35.5773611982465</v>
      </c>
    </row>
    <row r="303" spans="1:11" ht="12.75" customHeight="1">
      <c r="A303" s="1">
        <v>46186</v>
      </c>
      <c r="B303" s="2">
        <v>14</v>
      </c>
      <c r="C303" s="7">
        <v>-3.2813762632105399</v>
      </c>
      <c r="D303" s="7">
        <v>-3.6607259999999999</v>
      </c>
      <c r="E303" s="7">
        <v>1.18005299778946</v>
      </c>
      <c r="F303" s="7">
        <f t="shared" si="16"/>
        <v>3.2813762632105399</v>
      </c>
      <c r="G303" s="7">
        <f t="shared" si="17"/>
        <v>3.6607259999999999</v>
      </c>
      <c r="H303" s="7">
        <f t="shared" si="18"/>
        <v>0.37934973678946005</v>
      </c>
      <c r="I303" s="8">
        <f t="shared" si="19"/>
        <v>0.10362691356563153</v>
      </c>
      <c r="J303" s="9">
        <v>24.54</v>
      </c>
      <c r="K303" s="9">
        <v>28.958500565753301</v>
      </c>
    </row>
    <row r="304" spans="1:11" ht="12.75" customHeight="1">
      <c r="A304" s="1">
        <v>46186</v>
      </c>
      <c r="B304" s="2">
        <v>15</v>
      </c>
      <c r="C304" s="7">
        <v>-3.2781058883409702</v>
      </c>
      <c r="D304" s="7">
        <v>-3.6613730000000002</v>
      </c>
      <c r="E304" s="7">
        <v>1.13248728865903</v>
      </c>
      <c r="F304" s="7">
        <f t="shared" si="16"/>
        <v>3.2781058883409702</v>
      </c>
      <c r="G304" s="7">
        <f t="shared" si="17"/>
        <v>3.6613730000000002</v>
      </c>
      <c r="H304" s="7">
        <f t="shared" si="18"/>
        <v>0.38326711165903005</v>
      </c>
      <c r="I304" s="8">
        <f t="shared" si="19"/>
        <v>0.10467852132493194</v>
      </c>
      <c r="J304" s="9">
        <v>28.13</v>
      </c>
      <c r="K304" s="9">
        <v>31.856867429978401</v>
      </c>
    </row>
    <row r="305" spans="1:11" ht="12.75" customHeight="1">
      <c r="A305" s="1">
        <v>46186</v>
      </c>
      <c r="B305" s="2">
        <v>16</v>
      </c>
      <c r="C305" s="7">
        <v>-3.4060227339387401</v>
      </c>
      <c r="D305" s="7">
        <v>-3.6633140000000002</v>
      </c>
      <c r="E305" s="7">
        <v>0.87284383106126395</v>
      </c>
      <c r="F305" s="7">
        <f t="shared" si="16"/>
        <v>3.4060227339387401</v>
      </c>
      <c r="G305" s="7">
        <f t="shared" si="17"/>
        <v>3.6633140000000002</v>
      </c>
      <c r="H305" s="7">
        <f t="shared" si="18"/>
        <v>0.25729126606126007</v>
      </c>
      <c r="I305" s="8">
        <f t="shared" si="19"/>
        <v>7.023456522188927E-2</v>
      </c>
      <c r="J305" s="9">
        <v>23.75</v>
      </c>
      <c r="K305" s="9">
        <v>20.730040987704999</v>
      </c>
    </row>
    <row r="306" spans="1:11" ht="12.75" customHeight="1">
      <c r="A306" s="1">
        <v>46186</v>
      </c>
      <c r="B306" s="2">
        <v>17</v>
      </c>
      <c r="C306" s="7">
        <v>-3.4540868845380501</v>
      </c>
      <c r="D306" s="7">
        <v>-3.6652550000000002</v>
      </c>
      <c r="E306" s="7">
        <v>0.75910788646194705</v>
      </c>
      <c r="F306" s="7">
        <f t="shared" si="16"/>
        <v>3.4540868845380501</v>
      </c>
      <c r="G306" s="7">
        <f t="shared" si="17"/>
        <v>3.6652550000000002</v>
      </c>
      <c r="H306" s="7">
        <f t="shared" si="18"/>
        <v>0.21116811546195002</v>
      </c>
      <c r="I306" s="8">
        <f t="shared" si="19"/>
        <v>5.7613485408777837E-2</v>
      </c>
      <c r="J306" s="9">
        <v>61.17</v>
      </c>
      <c r="K306" s="9">
        <v>46.4346294148773</v>
      </c>
    </row>
    <row r="307" spans="1:11" ht="12.75" customHeight="1">
      <c r="A307" s="1">
        <v>46186</v>
      </c>
      <c r="B307" s="2">
        <v>18</v>
      </c>
      <c r="C307" s="7">
        <v>-3.7437285992604998</v>
      </c>
      <c r="D307" s="7">
        <v>-3.6542560000000002</v>
      </c>
      <c r="E307" s="7">
        <v>0.29659812373950101</v>
      </c>
      <c r="F307" s="7">
        <f t="shared" si="16"/>
        <v>3.7437285992604998</v>
      </c>
      <c r="G307" s="7">
        <f t="shared" si="17"/>
        <v>3.6542560000000002</v>
      </c>
      <c r="H307" s="7">
        <f t="shared" si="18"/>
        <v>8.9472599260499663E-2</v>
      </c>
      <c r="I307" s="8">
        <f t="shared" si="19"/>
        <v>2.4484491305617247E-2</v>
      </c>
      <c r="J307" s="9">
        <v>10.96</v>
      </c>
      <c r="K307" s="9">
        <v>3.25071543618493</v>
      </c>
    </row>
    <row r="308" spans="1:11" ht="12.75" customHeight="1">
      <c r="A308" s="1">
        <v>46186</v>
      </c>
      <c r="B308" s="2">
        <v>19</v>
      </c>
      <c r="C308" s="7">
        <v>-4.0716419203957201</v>
      </c>
      <c r="D308" s="7">
        <v>-4.2494959999999997</v>
      </c>
      <c r="E308" s="7">
        <v>0.32281895860427801</v>
      </c>
      <c r="F308" s="7">
        <f t="shared" si="16"/>
        <v>4.0716419203957201</v>
      </c>
      <c r="G308" s="7">
        <f t="shared" si="17"/>
        <v>4.2494959999999997</v>
      </c>
      <c r="H308" s="7">
        <f t="shared" si="18"/>
        <v>0.17785407960427957</v>
      </c>
      <c r="I308" s="8">
        <f t="shared" si="19"/>
        <v>4.1852982001696105E-2</v>
      </c>
      <c r="J308" s="9">
        <v>79.39</v>
      </c>
      <c r="K308" s="9">
        <v>25.6285971235936</v>
      </c>
    </row>
    <row r="309" spans="1:11" ht="12.75" customHeight="1">
      <c r="A309" s="1">
        <v>46186</v>
      </c>
      <c r="B309" s="2">
        <v>20</v>
      </c>
      <c r="C309" s="7">
        <v>-4.9290575669871597</v>
      </c>
      <c r="D309" s="7">
        <v>-5.2685209999999998</v>
      </c>
      <c r="E309" s="7">
        <v>0.35853440501284001</v>
      </c>
      <c r="F309" s="7">
        <f t="shared" si="16"/>
        <v>4.9290575669871597</v>
      </c>
      <c r="G309" s="7">
        <f t="shared" si="17"/>
        <v>5.2685209999999998</v>
      </c>
      <c r="H309" s="7">
        <f t="shared" si="18"/>
        <v>0.3394634330128401</v>
      </c>
      <c r="I309" s="8">
        <f t="shared" si="19"/>
        <v>6.4432396304928863E-2</v>
      </c>
      <c r="J309" s="9">
        <v>112.65</v>
      </c>
      <c r="K309" s="9">
        <v>40.388900724696498</v>
      </c>
    </row>
    <row r="310" spans="1:11" ht="12.75" customHeight="1">
      <c r="A310" s="1">
        <v>46186</v>
      </c>
      <c r="B310" s="2">
        <v>21</v>
      </c>
      <c r="C310" s="7">
        <v>-5.3113401445021902</v>
      </c>
      <c r="D310" s="7">
        <v>-5.6502509999999999</v>
      </c>
      <c r="E310" s="7">
        <v>0.33893802949781598</v>
      </c>
      <c r="F310" s="7">
        <f t="shared" si="16"/>
        <v>5.3113401445021902</v>
      </c>
      <c r="G310" s="7">
        <f t="shared" si="17"/>
        <v>5.6502509999999999</v>
      </c>
      <c r="H310" s="7">
        <f t="shared" si="18"/>
        <v>0.33891085549780975</v>
      </c>
      <c r="I310" s="8">
        <f t="shared" si="19"/>
        <v>5.9981557544578068E-2</v>
      </c>
      <c r="J310" s="9">
        <v>124.63</v>
      </c>
      <c r="K310" s="9">
        <v>42.241846616312799</v>
      </c>
    </row>
    <row r="311" spans="1:11" ht="12.75" customHeight="1">
      <c r="A311" s="1">
        <v>46186</v>
      </c>
      <c r="B311" s="2">
        <v>22</v>
      </c>
      <c r="C311" s="7">
        <v>-5.2579865751848702</v>
      </c>
      <c r="D311" s="7">
        <v>-5.5434960000000002</v>
      </c>
      <c r="E311" s="7">
        <v>0.28550942481512598</v>
      </c>
      <c r="F311" s="7">
        <f t="shared" si="16"/>
        <v>5.2579865751848702</v>
      </c>
      <c r="G311" s="7">
        <f t="shared" si="17"/>
        <v>5.5434960000000002</v>
      </c>
      <c r="H311" s="7">
        <f t="shared" si="18"/>
        <v>0.28550942481512998</v>
      </c>
      <c r="I311" s="8">
        <f t="shared" si="19"/>
        <v>5.150349613585542E-2</v>
      </c>
      <c r="J311" s="9">
        <v>71.59</v>
      </c>
      <c r="K311" s="9">
        <v>20.439619722514902</v>
      </c>
    </row>
    <row r="312" spans="1:11" ht="12.75" customHeight="1">
      <c r="A312" s="1">
        <v>46186</v>
      </c>
      <c r="B312" s="2">
        <v>23</v>
      </c>
      <c r="C312" s="7">
        <v>-4.4935208809597498</v>
      </c>
      <c r="D312" s="7">
        <v>-4.5917589999999997</v>
      </c>
      <c r="E312" s="7">
        <v>9.8238119040248595E-2</v>
      </c>
      <c r="F312" s="7">
        <f t="shared" si="16"/>
        <v>4.4935208809597498</v>
      </c>
      <c r="G312" s="7">
        <f t="shared" si="17"/>
        <v>4.5917589999999997</v>
      </c>
      <c r="H312" s="7">
        <f t="shared" si="18"/>
        <v>9.8238119040249927E-2</v>
      </c>
      <c r="I312" s="8">
        <f t="shared" si="19"/>
        <v>2.1394441441776439E-2</v>
      </c>
      <c r="J312" s="9">
        <v>88.14</v>
      </c>
      <c r="K312" s="9">
        <v>8.6587078122075098</v>
      </c>
    </row>
    <row r="313" spans="1:11" ht="12.75" customHeight="1">
      <c r="A313" s="1">
        <v>46186</v>
      </c>
      <c r="B313" s="2">
        <v>24</v>
      </c>
      <c r="C313" s="7">
        <v>-3.7448676976692199</v>
      </c>
      <c r="D313" s="7">
        <v>-3.97905</v>
      </c>
      <c r="E313" s="7">
        <v>0.234182302330779</v>
      </c>
      <c r="F313" s="7">
        <f t="shared" si="16"/>
        <v>3.7448676976692199</v>
      </c>
      <c r="G313" s="7">
        <f t="shared" si="17"/>
        <v>3.97905</v>
      </c>
      <c r="H313" s="7">
        <f t="shared" si="18"/>
        <v>0.23418230233078008</v>
      </c>
      <c r="I313" s="8">
        <f t="shared" si="19"/>
        <v>5.8853822477923146E-2</v>
      </c>
      <c r="J313" s="9">
        <v>88.18</v>
      </c>
      <c r="K313" s="9">
        <v>20.650195419528099</v>
      </c>
    </row>
    <row r="314" spans="1:11" ht="12.75" customHeight="1">
      <c r="A314" s="1">
        <v>46187</v>
      </c>
      <c r="B314" s="2">
        <v>1</v>
      </c>
      <c r="C314" s="7">
        <v>-3.5809836184121302</v>
      </c>
      <c r="D314" s="7">
        <v>-3.3967499999999999</v>
      </c>
      <c r="E314" s="7">
        <v>-0.18423361841212499</v>
      </c>
      <c r="F314" s="7">
        <f t="shared" si="16"/>
        <v>3.5809836184121302</v>
      </c>
      <c r="G314" s="7">
        <f t="shared" si="17"/>
        <v>3.3967499999999999</v>
      </c>
      <c r="H314" s="7">
        <f t="shared" si="18"/>
        <v>0.18423361841213026</v>
      </c>
      <c r="I314" s="8">
        <f t="shared" si="19"/>
        <v>5.4238203698279315E-2</v>
      </c>
      <c r="J314" s="9">
        <v>111.54</v>
      </c>
      <c r="K314" s="9">
        <v>-20.549417797688399</v>
      </c>
    </row>
    <row r="315" spans="1:11" ht="12.75" customHeight="1">
      <c r="A315" s="1">
        <v>46187</v>
      </c>
      <c r="B315" s="2">
        <v>2</v>
      </c>
      <c r="C315" s="7">
        <v>-3.4860852554845998</v>
      </c>
      <c r="D315" s="7">
        <v>-3.3223449999999999</v>
      </c>
      <c r="E315" s="7">
        <v>-0.163740255484599</v>
      </c>
      <c r="F315" s="7">
        <f t="shared" si="16"/>
        <v>3.4860852554845998</v>
      </c>
      <c r="G315" s="7">
        <f t="shared" si="17"/>
        <v>3.3223449999999999</v>
      </c>
      <c r="H315" s="7">
        <f t="shared" si="18"/>
        <v>0.16374025548459992</v>
      </c>
      <c r="I315" s="8">
        <f t="shared" si="19"/>
        <v>4.9284543141847076E-2</v>
      </c>
      <c r="J315" s="9">
        <v>90.44</v>
      </c>
      <c r="K315" s="9">
        <v>-14.808668706027101</v>
      </c>
    </row>
    <row r="316" spans="1:11" ht="12.75" customHeight="1">
      <c r="A316" s="1">
        <v>46187</v>
      </c>
      <c r="B316" s="2">
        <v>3</v>
      </c>
      <c r="C316" s="7">
        <v>-3.4312261934509101</v>
      </c>
      <c r="D316" s="7">
        <v>-3.3229920000000002</v>
      </c>
      <c r="E316" s="7">
        <v>-0.108234193450911</v>
      </c>
      <c r="F316" s="7">
        <f t="shared" si="16"/>
        <v>3.4312261934509101</v>
      </c>
      <c r="G316" s="7">
        <f t="shared" si="17"/>
        <v>3.3229920000000002</v>
      </c>
      <c r="H316" s="7">
        <f t="shared" si="18"/>
        <v>0.1082341934509099</v>
      </c>
      <c r="I316" s="8">
        <f t="shared" si="19"/>
        <v>3.2571307258913017E-2</v>
      </c>
      <c r="J316" s="9">
        <v>127</v>
      </c>
      <c r="K316" s="9">
        <v>-13.745742568265699</v>
      </c>
    </row>
    <row r="317" spans="1:11" ht="12.75" customHeight="1">
      <c r="A317" s="1">
        <v>46187</v>
      </c>
      <c r="B317" s="2">
        <v>4</v>
      </c>
      <c r="C317" s="7">
        <v>-3.37043378512019</v>
      </c>
      <c r="D317" s="7">
        <v>-3.3048760000000001</v>
      </c>
      <c r="E317" s="7">
        <v>-6.5557785120194195E-2</v>
      </c>
      <c r="F317" s="7">
        <f t="shared" si="16"/>
        <v>3.37043378512019</v>
      </c>
      <c r="G317" s="7">
        <f t="shared" si="17"/>
        <v>3.3048760000000001</v>
      </c>
      <c r="H317" s="7">
        <f t="shared" si="18"/>
        <v>6.5557785120189838E-2</v>
      </c>
      <c r="I317" s="8">
        <f t="shared" si="19"/>
        <v>1.9836685285677839E-2</v>
      </c>
      <c r="J317" s="9">
        <v>117.88</v>
      </c>
      <c r="K317" s="9">
        <v>-7.7279517099684902</v>
      </c>
    </row>
    <row r="318" spans="1:11" ht="12.75" customHeight="1">
      <c r="A318" s="1">
        <v>46187</v>
      </c>
      <c r="B318" s="2">
        <v>5</v>
      </c>
      <c r="C318" s="7">
        <v>-3.3140290135522301</v>
      </c>
      <c r="D318" s="7">
        <v>-3.2498809999999998</v>
      </c>
      <c r="E318" s="7">
        <v>-6.4148013552225006E-2</v>
      </c>
      <c r="F318" s="7">
        <f t="shared" si="16"/>
        <v>3.3140290135522301</v>
      </c>
      <c r="G318" s="7">
        <f t="shared" si="17"/>
        <v>3.2498809999999998</v>
      </c>
      <c r="H318" s="7">
        <f t="shared" si="18"/>
        <v>6.4148013552230321E-2</v>
      </c>
      <c r="I318" s="8">
        <f t="shared" si="19"/>
        <v>1.9738573059207499E-2</v>
      </c>
      <c r="J318" s="9">
        <v>104.35</v>
      </c>
      <c r="K318" s="9">
        <v>-6.6938452141746803</v>
      </c>
    </row>
    <row r="319" spans="1:11" ht="12.75" customHeight="1">
      <c r="A319" s="1">
        <v>46187</v>
      </c>
      <c r="B319" s="2">
        <v>6</v>
      </c>
      <c r="C319" s="7">
        <v>-2.9327262755208401</v>
      </c>
      <c r="D319" s="7">
        <v>-3.6775479999999998</v>
      </c>
      <c r="E319" s="7">
        <v>0.75438153767916205</v>
      </c>
      <c r="F319" s="7">
        <f t="shared" si="16"/>
        <v>2.9327262755208401</v>
      </c>
      <c r="G319" s="7">
        <f t="shared" si="17"/>
        <v>3.6775479999999998</v>
      </c>
      <c r="H319" s="7">
        <f t="shared" si="18"/>
        <v>0.74482172447915973</v>
      </c>
      <c r="I319" s="8">
        <f t="shared" si="19"/>
        <v>0.20253215579488282</v>
      </c>
      <c r="J319" s="9">
        <v>98.53</v>
      </c>
      <c r="K319" s="9">
        <v>74.329212907527904</v>
      </c>
    </row>
    <row r="320" spans="1:11" ht="12.75" customHeight="1">
      <c r="A320" s="1">
        <v>46187</v>
      </c>
      <c r="B320" s="2">
        <v>7</v>
      </c>
      <c r="C320" s="7">
        <v>-2.4157013491194999</v>
      </c>
      <c r="D320" s="7">
        <v>-3.6574909999999998</v>
      </c>
      <c r="E320" s="7">
        <v>1.3836836090805</v>
      </c>
      <c r="F320" s="7">
        <f t="shared" si="16"/>
        <v>2.4157013491194999</v>
      </c>
      <c r="G320" s="7">
        <f t="shared" si="17"/>
        <v>3.6574909999999998</v>
      </c>
      <c r="H320" s="7">
        <f t="shared" si="18"/>
        <v>1.2417896508805</v>
      </c>
      <c r="I320" s="8">
        <f t="shared" si="19"/>
        <v>0.33951953699421272</v>
      </c>
      <c r="J320" s="9">
        <v>1.53</v>
      </c>
      <c r="K320" s="9">
        <v>2.11703592189316</v>
      </c>
    </row>
    <row r="321" spans="1:11" ht="12.75" customHeight="1">
      <c r="A321" s="1">
        <v>46187</v>
      </c>
      <c r="B321" s="2">
        <v>8</v>
      </c>
      <c r="C321" s="7">
        <v>-2.0954641893155501</v>
      </c>
      <c r="D321" s="7">
        <v>-3.6244939999999999</v>
      </c>
      <c r="E321" s="7">
        <v>2.1112978488844498</v>
      </c>
      <c r="F321" s="7">
        <f t="shared" si="16"/>
        <v>2.0954641893155501</v>
      </c>
      <c r="G321" s="7">
        <f t="shared" si="17"/>
        <v>3.6244939999999999</v>
      </c>
      <c r="H321" s="7">
        <f t="shared" si="18"/>
        <v>1.5290298106844498</v>
      </c>
      <c r="I321" s="8">
        <f t="shared" si="19"/>
        <v>0.42186021295233206</v>
      </c>
      <c r="J321" s="9">
        <v>24.52</v>
      </c>
      <c r="K321" s="9">
        <v>51.769023254646697</v>
      </c>
    </row>
    <row r="322" spans="1:11" ht="12.75" customHeight="1">
      <c r="A322" s="1">
        <v>46187</v>
      </c>
      <c r="B322" s="2">
        <v>9</v>
      </c>
      <c r="C322" s="7">
        <v>-2.1920957095812601</v>
      </c>
      <c r="D322" s="7">
        <v>-3.5940850000000002</v>
      </c>
      <c r="E322" s="7">
        <v>2.25121509281874</v>
      </c>
      <c r="F322" s="7">
        <f t="shared" ref="F322:F385" si="20">ABS(C322)</f>
        <v>2.1920957095812601</v>
      </c>
      <c r="G322" s="7">
        <f t="shared" ref="G322:G385" si="21">ABS(D322)</f>
        <v>3.5940850000000002</v>
      </c>
      <c r="H322" s="7">
        <f t="shared" ref="H322:H385" si="22">ABS(G322-F322)</f>
        <v>1.4019892904187401</v>
      </c>
      <c r="I322" s="8">
        <f t="shared" ref="I322:I385" si="23">H322/G322</f>
        <v>0.39008239660963501</v>
      </c>
      <c r="J322" s="9">
        <v>15.68</v>
      </c>
      <c r="K322" s="9">
        <v>35.299052655397901</v>
      </c>
    </row>
    <row r="323" spans="1:11" ht="12.75" customHeight="1">
      <c r="A323" s="1">
        <v>46187</v>
      </c>
      <c r="B323" s="2">
        <v>10</v>
      </c>
      <c r="C323" s="7">
        <v>-2.4060517533618202</v>
      </c>
      <c r="D323" s="7">
        <v>-3.5798510000000001</v>
      </c>
      <c r="E323" s="7">
        <v>2.11046179363818</v>
      </c>
      <c r="F323" s="7">
        <f t="shared" si="20"/>
        <v>2.4060517533618202</v>
      </c>
      <c r="G323" s="7">
        <f t="shared" si="21"/>
        <v>3.5798510000000001</v>
      </c>
      <c r="H323" s="7">
        <f t="shared" si="22"/>
        <v>1.1737992466381799</v>
      </c>
      <c r="I323" s="8">
        <f t="shared" si="23"/>
        <v>0.32789053137635615</v>
      </c>
      <c r="J323" s="9">
        <v>9.4600000000000009</v>
      </c>
      <c r="K323" s="9">
        <v>19.964968567817198</v>
      </c>
    </row>
    <row r="324" spans="1:11" ht="12.75" customHeight="1">
      <c r="A324" s="1">
        <v>46187</v>
      </c>
      <c r="B324" s="2">
        <v>11</v>
      </c>
      <c r="C324" s="7">
        <v>-2.49761942126255</v>
      </c>
      <c r="D324" s="7">
        <v>-3.576616</v>
      </c>
      <c r="E324" s="7">
        <v>2.0537291233374502</v>
      </c>
      <c r="F324" s="7">
        <f t="shared" si="20"/>
        <v>2.49761942126255</v>
      </c>
      <c r="G324" s="7">
        <f t="shared" si="21"/>
        <v>3.576616</v>
      </c>
      <c r="H324" s="7">
        <f t="shared" si="22"/>
        <v>1.07899657873745</v>
      </c>
      <c r="I324" s="8">
        <f t="shared" si="23"/>
        <v>0.3016808566358396</v>
      </c>
      <c r="J324" s="9">
        <v>2.04</v>
      </c>
      <c r="K324" s="9">
        <v>4.1896074116084003</v>
      </c>
    </row>
    <row r="325" spans="1:11" ht="12.75" customHeight="1">
      <c r="A325" s="1">
        <v>46187</v>
      </c>
      <c r="B325" s="2">
        <v>12</v>
      </c>
      <c r="C325" s="7">
        <v>-2.6077198581607899</v>
      </c>
      <c r="D325" s="7">
        <v>-3.5792039999999998</v>
      </c>
      <c r="E325" s="7">
        <v>2.0127084882392099</v>
      </c>
      <c r="F325" s="7">
        <f t="shared" si="20"/>
        <v>2.6077198581607899</v>
      </c>
      <c r="G325" s="7">
        <f t="shared" si="21"/>
        <v>3.5792039999999998</v>
      </c>
      <c r="H325" s="7">
        <f t="shared" si="22"/>
        <v>0.97148414183920995</v>
      </c>
      <c r="I325" s="8">
        <f t="shared" si="23"/>
        <v>0.27142463571207731</v>
      </c>
      <c r="J325" s="9">
        <v>-3.58</v>
      </c>
      <c r="K325" s="9">
        <v>-7.20549638789638</v>
      </c>
    </row>
    <row r="326" spans="1:11" ht="12.75" customHeight="1">
      <c r="A326" s="1">
        <v>46187</v>
      </c>
      <c r="B326" s="2">
        <v>13</v>
      </c>
      <c r="C326" s="7">
        <v>-2.6495659056392298</v>
      </c>
      <c r="D326" s="7">
        <v>-3.6018490000000001</v>
      </c>
      <c r="E326" s="7">
        <v>2.0747417845607701</v>
      </c>
      <c r="F326" s="7">
        <f t="shared" si="20"/>
        <v>2.6495659056392298</v>
      </c>
      <c r="G326" s="7">
        <f t="shared" si="21"/>
        <v>3.6018490000000001</v>
      </c>
      <c r="H326" s="7">
        <f t="shared" si="22"/>
        <v>0.9522830943607703</v>
      </c>
      <c r="I326" s="8">
        <f t="shared" si="23"/>
        <v>0.26438728951734797</v>
      </c>
      <c r="J326" s="9">
        <v>-5.65</v>
      </c>
      <c r="K326" s="9">
        <v>-11.722291082768299</v>
      </c>
    </row>
    <row r="327" spans="1:11" ht="12.75" customHeight="1">
      <c r="A327" s="1">
        <v>46187</v>
      </c>
      <c r="B327" s="2">
        <v>14</v>
      </c>
      <c r="C327" s="7">
        <v>-2.7603000189501299</v>
      </c>
      <c r="D327" s="7">
        <v>-3.636787</v>
      </c>
      <c r="E327" s="7">
        <v>2.0305099544498799</v>
      </c>
      <c r="F327" s="7">
        <f t="shared" si="20"/>
        <v>2.7603000189501299</v>
      </c>
      <c r="G327" s="7">
        <f t="shared" si="21"/>
        <v>3.636787</v>
      </c>
      <c r="H327" s="7">
        <f t="shared" si="22"/>
        <v>0.87648698104987011</v>
      </c>
      <c r="I327" s="8">
        <f t="shared" si="23"/>
        <v>0.24100586068138444</v>
      </c>
      <c r="J327" s="9">
        <v>-10.57</v>
      </c>
      <c r="K327" s="9">
        <v>-21.462490218535201</v>
      </c>
    </row>
    <row r="328" spans="1:11" ht="12.75" customHeight="1">
      <c r="A328" s="1">
        <v>46187</v>
      </c>
      <c r="B328" s="2">
        <v>15</v>
      </c>
      <c r="C328" s="7">
        <v>-2.7404260300988001</v>
      </c>
      <c r="D328" s="7">
        <v>-3.676901</v>
      </c>
      <c r="E328" s="7">
        <v>2.0485112665012002</v>
      </c>
      <c r="F328" s="7">
        <f t="shared" si="20"/>
        <v>2.7404260300988001</v>
      </c>
      <c r="G328" s="7">
        <f t="shared" si="21"/>
        <v>3.676901</v>
      </c>
      <c r="H328" s="7">
        <f t="shared" si="22"/>
        <v>0.93647496990119983</v>
      </c>
      <c r="I328" s="8">
        <f t="shared" si="23"/>
        <v>0.25469137458452101</v>
      </c>
      <c r="J328" s="9">
        <v>-9.1</v>
      </c>
      <c r="K328" s="9">
        <v>-18.641452525160901</v>
      </c>
    </row>
    <row r="329" spans="1:11" ht="12.75" customHeight="1">
      <c r="A329" s="1">
        <v>46187</v>
      </c>
      <c r="B329" s="2">
        <v>16</v>
      </c>
      <c r="C329" s="7">
        <v>-2.8014104393813302</v>
      </c>
      <c r="D329" s="7">
        <v>-3.7254260000000001</v>
      </c>
      <c r="E329" s="7">
        <v>1.9419955262186701</v>
      </c>
      <c r="F329" s="7">
        <f t="shared" si="20"/>
        <v>2.8014104393813302</v>
      </c>
      <c r="G329" s="7">
        <f t="shared" si="21"/>
        <v>3.7254260000000001</v>
      </c>
      <c r="H329" s="7">
        <f t="shared" si="22"/>
        <v>0.92401556061866996</v>
      </c>
      <c r="I329" s="8">
        <f t="shared" si="23"/>
        <v>0.24802950336919052</v>
      </c>
      <c r="J329" s="9">
        <v>-8.7899999999999991</v>
      </c>
      <c r="K329" s="9">
        <v>-17.070140675462099</v>
      </c>
    </row>
    <row r="330" spans="1:11" ht="12.75" customHeight="1">
      <c r="A330" s="1">
        <v>46187</v>
      </c>
      <c r="B330" s="2">
        <v>17</v>
      </c>
      <c r="C330" s="7">
        <v>-2.95821054413907</v>
      </c>
      <c r="D330" s="7">
        <v>-3.8017720000000002</v>
      </c>
      <c r="E330" s="7">
        <v>1.72194185466093</v>
      </c>
      <c r="F330" s="7">
        <f t="shared" si="20"/>
        <v>2.95821054413907</v>
      </c>
      <c r="G330" s="7">
        <f t="shared" si="21"/>
        <v>3.8017720000000002</v>
      </c>
      <c r="H330" s="7">
        <f t="shared" si="22"/>
        <v>0.84356145586093012</v>
      </c>
      <c r="I330" s="8">
        <f t="shared" si="23"/>
        <v>0.2218863876794637</v>
      </c>
      <c r="J330" s="9">
        <v>30.12</v>
      </c>
      <c r="K330" s="9">
        <v>51.864888662387102</v>
      </c>
    </row>
    <row r="331" spans="1:11" ht="12.75" customHeight="1">
      <c r="A331" s="1">
        <v>46187</v>
      </c>
      <c r="B331" s="2">
        <v>18</v>
      </c>
      <c r="C331" s="7">
        <v>-3.1243946471793098</v>
      </c>
      <c r="D331" s="7">
        <v>-3.8380040000000002</v>
      </c>
      <c r="E331" s="7">
        <v>1.3220354716206899</v>
      </c>
      <c r="F331" s="7">
        <f t="shared" si="20"/>
        <v>3.1243946471793098</v>
      </c>
      <c r="G331" s="7">
        <f t="shared" si="21"/>
        <v>3.8380040000000002</v>
      </c>
      <c r="H331" s="7">
        <f t="shared" si="22"/>
        <v>0.71360935282069038</v>
      </c>
      <c r="I331" s="8">
        <f t="shared" si="23"/>
        <v>0.18593241508364514</v>
      </c>
      <c r="J331" s="9">
        <v>11.2</v>
      </c>
      <c r="K331" s="9">
        <v>14.806797282151701</v>
      </c>
    </row>
    <row r="332" spans="1:11" ht="12.75" customHeight="1">
      <c r="A332" s="1">
        <v>46187</v>
      </c>
      <c r="B332" s="2">
        <v>19</v>
      </c>
      <c r="C332" s="7">
        <v>-3.4845082618614902</v>
      </c>
      <c r="D332" s="7">
        <v>-4.1893250000000002</v>
      </c>
      <c r="E332" s="7">
        <v>0.88259590433850799</v>
      </c>
      <c r="F332" s="7">
        <f t="shared" si="20"/>
        <v>3.4845082618614902</v>
      </c>
      <c r="G332" s="7">
        <f t="shared" si="21"/>
        <v>4.1893250000000002</v>
      </c>
      <c r="H332" s="7">
        <f t="shared" si="22"/>
        <v>0.70481673813850998</v>
      </c>
      <c r="I332" s="8">
        <f t="shared" si="23"/>
        <v>0.16824112193217522</v>
      </c>
      <c r="J332" s="9">
        <v>158.11000000000001</v>
      </c>
      <c r="K332" s="9">
        <v>139.547238434962</v>
      </c>
    </row>
    <row r="333" spans="1:11" ht="12.75" customHeight="1">
      <c r="A333" s="1">
        <v>46187</v>
      </c>
      <c r="B333" s="2">
        <v>20</v>
      </c>
      <c r="C333" s="7">
        <v>-4.2249527551463997</v>
      </c>
      <c r="D333" s="7">
        <v>-4.8867909999999997</v>
      </c>
      <c r="E333" s="7">
        <v>0.69201820685360305</v>
      </c>
      <c r="F333" s="7">
        <f t="shared" si="20"/>
        <v>4.2249527551463997</v>
      </c>
      <c r="G333" s="7">
        <f t="shared" si="21"/>
        <v>4.8867909999999997</v>
      </c>
      <c r="H333" s="7">
        <f t="shared" si="22"/>
        <v>0.66183824485359999</v>
      </c>
      <c r="I333" s="8">
        <f t="shared" si="23"/>
        <v>0.13543412125740595</v>
      </c>
      <c r="J333" s="9">
        <v>37.68</v>
      </c>
      <c r="K333" s="9">
        <v>26.075246034243801</v>
      </c>
    </row>
    <row r="334" spans="1:11" ht="12.75" customHeight="1">
      <c r="A334" s="1">
        <v>46187</v>
      </c>
      <c r="B334" s="2">
        <v>21</v>
      </c>
      <c r="C334" s="7">
        <v>-4.6213837474431401</v>
      </c>
      <c r="D334" s="7">
        <v>-5.2199960000000001</v>
      </c>
      <c r="E334" s="7">
        <v>0.59864589655686096</v>
      </c>
      <c r="F334" s="7">
        <f t="shared" si="20"/>
        <v>4.6213837474431401</v>
      </c>
      <c r="G334" s="7">
        <f t="shared" si="21"/>
        <v>5.2199960000000001</v>
      </c>
      <c r="H334" s="7">
        <f t="shared" si="22"/>
        <v>0.59861225255686001</v>
      </c>
      <c r="I334" s="8">
        <f t="shared" si="23"/>
        <v>0.11467676460994607</v>
      </c>
      <c r="J334" s="9">
        <v>129.77000000000001</v>
      </c>
      <c r="K334" s="9">
        <v>77.686277996183904</v>
      </c>
    </row>
    <row r="335" spans="1:11" ht="12.75" customHeight="1">
      <c r="A335" s="1">
        <v>46187</v>
      </c>
      <c r="B335" s="2">
        <v>22</v>
      </c>
      <c r="C335" s="7">
        <v>-4.5222735114311199</v>
      </c>
      <c r="D335" s="7">
        <v>-4.983841</v>
      </c>
      <c r="E335" s="7">
        <v>0.46156748856887703</v>
      </c>
      <c r="F335" s="7">
        <f t="shared" si="20"/>
        <v>4.5222735114311199</v>
      </c>
      <c r="G335" s="7">
        <f t="shared" si="21"/>
        <v>4.983841</v>
      </c>
      <c r="H335" s="7">
        <f t="shared" si="22"/>
        <v>0.46156748856888008</v>
      </c>
      <c r="I335" s="8">
        <f t="shared" si="23"/>
        <v>9.2612803773009636E-2</v>
      </c>
      <c r="J335" s="9">
        <v>148.49</v>
      </c>
      <c r="K335" s="9">
        <v>68.5381563775925</v>
      </c>
    </row>
    <row r="336" spans="1:11" ht="12.75" customHeight="1">
      <c r="A336" s="1">
        <v>46187</v>
      </c>
      <c r="B336" s="2">
        <v>23</v>
      </c>
      <c r="C336" s="7">
        <v>-3.9217127624934101</v>
      </c>
      <c r="D336" s="7">
        <v>-4.5419400000000003</v>
      </c>
      <c r="E336" s="7">
        <v>0.62022723750659203</v>
      </c>
      <c r="F336" s="7">
        <f t="shared" si="20"/>
        <v>3.9217127624934101</v>
      </c>
      <c r="G336" s="7">
        <f t="shared" si="21"/>
        <v>4.5419400000000003</v>
      </c>
      <c r="H336" s="7">
        <f t="shared" si="22"/>
        <v>0.62022723750659026</v>
      </c>
      <c r="I336" s="8">
        <f t="shared" si="23"/>
        <v>0.13655557702360449</v>
      </c>
      <c r="J336" s="9">
        <v>97.75</v>
      </c>
      <c r="K336" s="9">
        <v>60.627212466269398</v>
      </c>
    </row>
    <row r="337" spans="1:11" ht="12.75" customHeight="1">
      <c r="A337" s="1">
        <v>46187</v>
      </c>
      <c r="B337" s="2">
        <v>24</v>
      </c>
      <c r="C337" s="7">
        <v>-3.3811528935677302</v>
      </c>
      <c r="D337" s="7">
        <v>-3.9072330000000002</v>
      </c>
      <c r="E337" s="7">
        <v>0.52608010643226999</v>
      </c>
      <c r="F337" s="7">
        <f t="shared" si="20"/>
        <v>3.3811528935677302</v>
      </c>
      <c r="G337" s="7">
        <f t="shared" si="21"/>
        <v>3.9072330000000002</v>
      </c>
      <c r="H337" s="7">
        <f t="shared" si="22"/>
        <v>0.52608010643226999</v>
      </c>
      <c r="I337" s="8">
        <f t="shared" si="23"/>
        <v>0.13464262469944074</v>
      </c>
      <c r="J337" s="9">
        <v>128.12</v>
      </c>
      <c r="K337" s="9">
        <v>67.401383236102404</v>
      </c>
    </row>
    <row r="338" spans="1:11" ht="12.75" customHeight="1">
      <c r="A338" s="1">
        <v>46188</v>
      </c>
      <c r="B338" s="2">
        <v>1</v>
      </c>
      <c r="C338" s="7">
        <v>-3.2070170695535598</v>
      </c>
      <c r="D338" s="7">
        <v>-3.8735889999999999</v>
      </c>
      <c r="E338" s="7">
        <v>0.66657193044644103</v>
      </c>
      <c r="F338" s="7">
        <f t="shared" si="20"/>
        <v>3.2070170695535598</v>
      </c>
      <c r="G338" s="7">
        <f t="shared" si="21"/>
        <v>3.8735889999999999</v>
      </c>
      <c r="H338" s="7">
        <f t="shared" si="22"/>
        <v>0.66657193044644014</v>
      </c>
      <c r="I338" s="8">
        <f t="shared" si="23"/>
        <v>0.17208122246486143</v>
      </c>
      <c r="J338" s="9">
        <v>19.670000000000002</v>
      </c>
      <c r="K338" s="9">
        <v>13.1114698718815</v>
      </c>
    </row>
    <row r="339" spans="1:11" ht="12.75" customHeight="1">
      <c r="A339" s="1">
        <v>46188</v>
      </c>
      <c r="B339" s="2">
        <v>2</v>
      </c>
      <c r="C339" s="7">
        <v>-3.06445142207789</v>
      </c>
      <c r="D339" s="7">
        <v>-3.8522379999999998</v>
      </c>
      <c r="E339" s="7">
        <v>0.78778657792211104</v>
      </c>
      <c r="F339" s="7">
        <f t="shared" si="20"/>
        <v>3.06445142207789</v>
      </c>
      <c r="G339" s="7">
        <f t="shared" si="21"/>
        <v>3.8522379999999998</v>
      </c>
      <c r="H339" s="7">
        <f t="shared" si="22"/>
        <v>0.78778657792210982</v>
      </c>
      <c r="I339" s="8">
        <f t="shared" si="23"/>
        <v>0.20450101419541311</v>
      </c>
      <c r="J339" s="9">
        <v>8.0399999999999991</v>
      </c>
      <c r="K339" s="9">
        <v>6.3338040864937701</v>
      </c>
    </row>
    <row r="340" spans="1:11" ht="12.75" customHeight="1">
      <c r="A340" s="1">
        <v>46188</v>
      </c>
      <c r="B340" s="2">
        <v>3</v>
      </c>
      <c r="C340" s="7">
        <v>-3.02833738822439</v>
      </c>
      <c r="D340" s="7">
        <v>-3.8179470000000002</v>
      </c>
      <c r="E340" s="7">
        <v>0.78960961177561495</v>
      </c>
      <c r="F340" s="7">
        <f t="shared" si="20"/>
        <v>3.02833738822439</v>
      </c>
      <c r="G340" s="7">
        <f t="shared" si="21"/>
        <v>3.8179470000000002</v>
      </c>
      <c r="H340" s="7">
        <f t="shared" si="22"/>
        <v>0.78960961177561018</v>
      </c>
      <c r="I340" s="8">
        <f t="shared" si="23"/>
        <v>0.20681523650684783</v>
      </c>
      <c r="J340" s="9">
        <v>127.02</v>
      </c>
      <c r="K340" s="9">
        <v>100.296212887739</v>
      </c>
    </row>
    <row r="341" spans="1:11" ht="12.75" customHeight="1">
      <c r="A341" s="1">
        <v>46188</v>
      </c>
      <c r="B341" s="2">
        <v>4</v>
      </c>
      <c r="C341" s="7">
        <v>-2.9668779012418298</v>
      </c>
      <c r="D341" s="7">
        <v>-3.7758919999999998</v>
      </c>
      <c r="E341" s="7">
        <v>0.80901409875817398</v>
      </c>
      <c r="F341" s="7">
        <f t="shared" si="20"/>
        <v>2.9668779012418298</v>
      </c>
      <c r="G341" s="7">
        <f t="shared" si="21"/>
        <v>3.7758919999999998</v>
      </c>
      <c r="H341" s="7">
        <f t="shared" si="22"/>
        <v>0.80901409875816999</v>
      </c>
      <c r="I341" s="8">
        <f t="shared" si="23"/>
        <v>0.21425774327183353</v>
      </c>
      <c r="J341" s="9">
        <v>5.68</v>
      </c>
      <c r="K341" s="9">
        <v>4.5952000809464302</v>
      </c>
    </row>
    <row r="342" spans="1:11" ht="12.75" customHeight="1">
      <c r="A342" s="1">
        <v>46188</v>
      </c>
      <c r="B342" s="2">
        <v>5</v>
      </c>
      <c r="C342" s="7">
        <v>-2.9207310635955301</v>
      </c>
      <c r="D342" s="7">
        <v>-3.7157209999999998</v>
      </c>
      <c r="E342" s="7">
        <v>0.79501322840447097</v>
      </c>
      <c r="F342" s="7">
        <f t="shared" si="20"/>
        <v>2.9207310635955301</v>
      </c>
      <c r="G342" s="7">
        <f t="shared" si="21"/>
        <v>3.7157209999999998</v>
      </c>
      <c r="H342" s="7">
        <f t="shared" si="22"/>
        <v>0.79498993640446969</v>
      </c>
      <c r="I342" s="8">
        <f t="shared" si="23"/>
        <v>0.21395307570306535</v>
      </c>
      <c r="J342" s="9">
        <v>5.59</v>
      </c>
      <c r="K342" s="9">
        <v>4.4441239467809899</v>
      </c>
    </row>
    <row r="343" spans="1:11" ht="12.75" customHeight="1">
      <c r="A343" s="1">
        <v>46188</v>
      </c>
      <c r="B343" s="2">
        <v>6</v>
      </c>
      <c r="C343" s="7">
        <v>-2.5911756382748501</v>
      </c>
      <c r="D343" s="7">
        <v>-3.652962</v>
      </c>
      <c r="E343" s="7">
        <v>1.0848414303251499</v>
      </c>
      <c r="F343" s="7">
        <f t="shared" si="20"/>
        <v>2.5911756382748501</v>
      </c>
      <c r="G343" s="7">
        <f t="shared" si="21"/>
        <v>3.652962</v>
      </c>
      <c r="H343" s="7">
        <f t="shared" si="22"/>
        <v>1.06178636172515</v>
      </c>
      <c r="I343" s="8">
        <f t="shared" si="23"/>
        <v>0.29066449684534085</v>
      </c>
      <c r="J343" s="9">
        <v>5.35</v>
      </c>
      <c r="K343" s="9">
        <v>5.8039016522395404</v>
      </c>
    </row>
    <row r="344" spans="1:11" ht="12.75" customHeight="1">
      <c r="A344" s="1">
        <v>46188</v>
      </c>
      <c r="B344" s="2">
        <v>7</v>
      </c>
      <c r="C344" s="7">
        <v>-2.42042683508866</v>
      </c>
      <c r="D344" s="7">
        <v>-3.61673</v>
      </c>
      <c r="E344" s="7">
        <v>1.36043632471134</v>
      </c>
      <c r="F344" s="7">
        <f t="shared" si="20"/>
        <v>2.42042683508866</v>
      </c>
      <c r="G344" s="7">
        <f t="shared" si="21"/>
        <v>3.61673</v>
      </c>
      <c r="H344" s="7">
        <f t="shared" si="22"/>
        <v>1.19630316491134</v>
      </c>
      <c r="I344" s="8">
        <f t="shared" si="23"/>
        <v>0.33076927636603781</v>
      </c>
      <c r="J344" s="9">
        <v>4.49</v>
      </c>
      <c r="K344" s="9">
        <v>6.1083590979539197</v>
      </c>
    </row>
    <row r="345" spans="1:11" ht="12.75" customHeight="1">
      <c r="A345" s="1">
        <v>46188</v>
      </c>
      <c r="B345" s="2">
        <v>8</v>
      </c>
      <c r="C345" s="7">
        <v>-2.8771361636388901</v>
      </c>
      <c r="D345" s="7">
        <v>-3.5902029999999998</v>
      </c>
      <c r="E345" s="7">
        <v>1.1568682047611101</v>
      </c>
      <c r="F345" s="7">
        <f t="shared" si="20"/>
        <v>2.8771361636388901</v>
      </c>
      <c r="G345" s="7">
        <f t="shared" si="21"/>
        <v>3.5902029999999998</v>
      </c>
      <c r="H345" s="7">
        <f t="shared" si="22"/>
        <v>0.71306683636110968</v>
      </c>
      <c r="I345" s="8">
        <f t="shared" si="23"/>
        <v>0.19861462885555767</v>
      </c>
      <c r="J345" s="9">
        <v>2.46</v>
      </c>
      <c r="K345" s="9">
        <v>2.84589578371232</v>
      </c>
    </row>
    <row r="346" spans="1:11" ht="12.75" customHeight="1">
      <c r="A346" s="1">
        <v>46188</v>
      </c>
      <c r="B346" s="2">
        <v>9</v>
      </c>
      <c r="C346" s="7">
        <v>-3.5976136129163399</v>
      </c>
      <c r="D346" s="7">
        <v>-3.795302</v>
      </c>
      <c r="E346" s="7">
        <v>0.64365345288366305</v>
      </c>
      <c r="F346" s="7">
        <f t="shared" si="20"/>
        <v>3.5976136129163399</v>
      </c>
      <c r="G346" s="7">
        <f t="shared" si="21"/>
        <v>3.795302</v>
      </c>
      <c r="H346" s="7">
        <f t="shared" si="22"/>
        <v>0.1976883870836601</v>
      </c>
      <c r="I346" s="8">
        <f t="shared" si="23"/>
        <v>5.2087656551088712E-2</v>
      </c>
      <c r="J346" s="9">
        <v>11.19</v>
      </c>
      <c r="K346" s="9">
        <v>7.2024821377681896</v>
      </c>
    </row>
    <row r="347" spans="1:11" ht="12.75" customHeight="1">
      <c r="A347" s="1">
        <v>46188</v>
      </c>
      <c r="B347" s="2">
        <v>10</v>
      </c>
      <c r="C347" s="7">
        <v>-4.1348843365588301</v>
      </c>
      <c r="D347" s="7">
        <v>-3.9382890000000002</v>
      </c>
      <c r="E347" s="7">
        <v>0.45851726704117401</v>
      </c>
      <c r="F347" s="7">
        <f t="shared" si="20"/>
        <v>4.1348843365588301</v>
      </c>
      <c r="G347" s="7">
        <f t="shared" si="21"/>
        <v>3.9382890000000002</v>
      </c>
      <c r="H347" s="7">
        <f t="shared" si="22"/>
        <v>0.19659533655882999</v>
      </c>
      <c r="I347" s="8">
        <f t="shared" si="23"/>
        <v>4.9918971553085612E-2</v>
      </c>
      <c r="J347" s="9">
        <v>87.98</v>
      </c>
      <c r="K347" s="9">
        <v>40.340349154282499</v>
      </c>
    </row>
    <row r="348" spans="1:11" ht="12.75" customHeight="1">
      <c r="A348" s="1">
        <v>46188</v>
      </c>
      <c r="B348" s="2">
        <v>11</v>
      </c>
      <c r="C348" s="7">
        <v>-3.9185196837382001</v>
      </c>
      <c r="D348" s="7">
        <v>-3.5999080000000001</v>
      </c>
      <c r="E348" s="7">
        <v>0.49913381606180501</v>
      </c>
      <c r="F348" s="7">
        <f t="shared" si="20"/>
        <v>3.9185196837382001</v>
      </c>
      <c r="G348" s="7">
        <f t="shared" si="21"/>
        <v>3.5999080000000001</v>
      </c>
      <c r="H348" s="7">
        <f t="shared" si="22"/>
        <v>0.31861168373820004</v>
      </c>
      <c r="I348" s="8">
        <f t="shared" si="23"/>
        <v>8.8505507290241869E-2</v>
      </c>
      <c r="J348" s="9">
        <v>12.43</v>
      </c>
      <c r="K348" s="9">
        <v>6.2042333336482303</v>
      </c>
    </row>
    <row r="349" spans="1:11" ht="12.75" customHeight="1">
      <c r="A349" s="1">
        <v>46188</v>
      </c>
      <c r="B349" s="2">
        <v>12</v>
      </c>
      <c r="C349" s="7">
        <v>-3.98339218520006</v>
      </c>
      <c r="D349" s="7">
        <v>-3.6154359999999999</v>
      </c>
      <c r="E349" s="7">
        <v>0.47429715699994102</v>
      </c>
      <c r="F349" s="7">
        <f t="shared" si="20"/>
        <v>3.98339218520006</v>
      </c>
      <c r="G349" s="7">
        <f t="shared" si="21"/>
        <v>3.6154359999999999</v>
      </c>
      <c r="H349" s="7">
        <f t="shared" si="22"/>
        <v>0.36795618520006013</v>
      </c>
      <c r="I349" s="8">
        <f t="shared" si="23"/>
        <v>0.10177366857000376</v>
      </c>
      <c r="J349" s="9">
        <v>4.1500000000000004</v>
      </c>
      <c r="K349" s="9">
        <v>1.9683332015497601</v>
      </c>
    </row>
    <row r="350" spans="1:11" ht="12.75" customHeight="1">
      <c r="A350" s="1">
        <v>46188</v>
      </c>
      <c r="B350" s="2">
        <v>13</v>
      </c>
      <c r="C350" s="7">
        <v>-4.1579896634572799</v>
      </c>
      <c r="D350" s="7">
        <v>-3.6413160000000002</v>
      </c>
      <c r="E350" s="7">
        <v>0.26136492874272099</v>
      </c>
      <c r="F350" s="7">
        <f t="shared" si="20"/>
        <v>4.1579896634572799</v>
      </c>
      <c r="G350" s="7">
        <f t="shared" si="21"/>
        <v>3.6413160000000002</v>
      </c>
      <c r="H350" s="7">
        <f t="shared" si="22"/>
        <v>0.51667366345727972</v>
      </c>
      <c r="I350" s="8">
        <f t="shared" si="23"/>
        <v>0.14189201471591031</v>
      </c>
      <c r="J350" s="9">
        <v>8.51</v>
      </c>
      <c r="K350" s="9">
        <v>2.22421554360055</v>
      </c>
    </row>
    <row r="351" spans="1:11" ht="12.75" customHeight="1">
      <c r="A351" s="1">
        <v>46188</v>
      </c>
      <c r="B351" s="2">
        <v>14</v>
      </c>
      <c r="C351" s="7">
        <v>-4.4125261483982596</v>
      </c>
      <c r="D351" s="7">
        <v>-4.0165759999999997</v>
      </c>
      <c r="E351" s="7">
        <v>0.40682312440173801</v>
      </c>
      <c r="F351" s="7">
        <f t="shared" si="20"/>
        <v>4.4125261483982596</v>
      </c>
      <c r="G351" s="7">
        <f t="shared" si="21"/>
        <v>4.0165759999999997</v>
      </c>
      <c r="H351" s="7">
        <f t="shared" si="22"/>
        <v>0.39595014839825993</v>
      </c>
      <c r="I351" s="8">
        <f t="shared" si="23"/>
        <v>9.857902561740646E-2</v>
      </c>
      <c r="J351" s="9">
        <v>9.18</v>
      </c>
      <c r="K351" s="9">
        <v>3.7346362820079499</v>
      </c>
    </row>
    <row r="352" spans="1:11" ht="12.75" customHeight="1">
      <c r="A352" s="1">
        <v>46188</v>
      </c>
      <c r="B352" s="2">
        <v>15</v>
      </c>
      <c r="C352" s="7">
        <v>-4.4473037844058796</v>
      </c>
      <c r="D352" s="7">
        <v>-4.026281</v>
      </c>
      <c r="E352" s="7">
        <v>0.38420028919412003</v>
      </c>
      <c r="F352" s="7">
        <f t="shared" si="20"/>
        <v>4.4473037844058796</v>
      </c>
      <c r="G352" s="7">
        <f t="shared" si="21"/>
        <v>4.026281</v>
      </c>
      <c r="H352" s="7">
        <f t="shared" si="22"/>
        <v>0.42102278440587959</v>
      </c>
      <c r="I352" s="8">
        <f t="shared" si="23"/>
        <v>0.10456865390316264</v>
      </c>
      <c r="J352" s="9">
        <v>8.74</v>
      </c>
      <c r="K352" s="9">
        <v>3.3579105275566099</v>
      </c>
    </row>
    <row r="353" spans="1:11" ht="12.75" customHeight="1">
      <c r="A353" s="1">
        <v>46188</v>
      </c>
      <c r="B353" s="2">
        <v>16</v>
      </c>
      <c r="C353" s="7">
        <v>-4.5409591479011597</v>
      </c>
      <c r="D353" s="7">
        <v>-4.1893250000000002</v>
      </c>
      <c r="E353" s="7">
        <v>0.18487805029884399</v>
      </c>
      <c r="F353" s="7">
        <f t="shared" si="20"/>
        <v>4.5409591479011597</v>
      </c>
      <c r="G353" s="7">
        <f t="shared" si="21"/>
        <v>4.1893250000000002</v>
      </c>
      <c r="H353" s="7">
        <f t="shared" si="22"/>
        <v>0.35163414790115954</v>
      </c>
      <c r="I353" s="8">
        <f t="shared" si="23"/>
        <v>8.3935752872159486E-2</v>
      </c>
      <c r="J353" s="9">
        <v>13.01</v>
      </c>
      <c r="K353" s="9">
        <v>2.40526343438796</v>
      </c>
    </row>
    <row r="354" spans="1:11" ht="12.75" customHeight="1">
      <c r="A354" s="1">
        <v>46188</v>
      </c>
      <c r="B354" s="2">
        <v>17</v>
      </c>
      <c r="C354" s="7">
        <v>-4.2339929910879102</v>
      </c>
      <c r="D354" s="7">
        <v>-4.4390669999999997</v>
      </c>
      <c r="E354" s="7">
        <v>0.59612818471209095</v>
      </c>
      <c r="F354" s="7">
        <f t="shared" si="20"/>
        <v>4.2339929910879102</v>
      </c>
      <c r="G354" s="7">
        <f t="shared" si="21"/>
        <v>4.4390669999999997</v>
      </c>
      <c r="H354" s="7">
        <f t="shared" si="22"/>
        <v>0.20507400891208949</v>
      </c>
      <c r="I354" s="8">
        <f t="shared" si="23"/>
        <v>4.619754757296736E-2</v>
      </c>
      <c r="J354" s="9">
        <v>25.96</v>
      </c>
      <c r="K354" s="9">
        <v>15.475487675125899</v>
      </c>
    </row>
    <row r="355" spans="1:11" ht="12.75" customHeight="1">
      <c r="A355" s="1">
        <v>46188</v>
      </c>
      <c r="B355" s="2">
        <v>18</v>
      </c>
      <c r="C355" s="7">
        <v>-4.3285798881022197</v>
      </c>
      <c r="D355" s="7">
        <v>-4.8809680000000002</v>
      </c>
      <c r="E355" s="7">
        <v>0.87515764889777803</v>
      </c>
      <c r="F355" s="7">
        <f t="shared" si="20"/>
        <v>4.3285798881022197</v>
      </c>
      <c r="G355" s="7">
        <f t="shared" si="21"/>
        <v>4.8809680000000002</v>
      </c>
      <c r="H355" s="7">
        <f t="shared" si="22"/>
        <v>0.55238811189778048</v>
      </c>
      <c r="I355" s="8">
        <f t="shared" si="23"/>
        <v>0.11317183638527858</v>
      </c>
      <c r="J355" s="9">
        <v>19.260000000000002</v>
      </c>
      <c r="K355" s="9">
        <v>16.8555363177712</v>
      </c>
    </row>
    <row r="356" spans="1:11" ht="12.75" customHeight="1">
      <c r="A356" s="1">
        <v>46188</v>
      </c>
      <c r="B356" s="2">
        <v>19</v>
      </c>
      <c r="C356" s="7">
        <v>-4.5684104060112798</v>
      </c>
      <c r="D356" s="7">
        <v>-5.4393289999999999</v>
      </c>
      <c r="E356" s="7">
        <v>0.96616644018872</v>
      </c>
      <c r="F356" s="7">
        <f t="shared" si="20"/>
        <v>4.5684104060112798</v>
      </c>
      <c r="G356" s="7">
        <f t="shared" si="21"/>
        <v>5.4393289999999999</v>
      </c>
      <c r="H356" s="7">
        <f t="shared" si="22"/>
        <v>0.87091859398872007</v>
      </c>
      <c r="I356" s="8">
        <f t="shared" si="23"/>
        <v>0.16011507926597565</v>
      </c>
      <c r="J356" s="9">
        <v>28.62</v>
      </c>
      <c r="K356" s="9">
        <v>27.6516835182012</v>
      </c>
    </row>
    <row r="357" spans="1:11" ht="12.75" customHeight="1">
      <c r="A357" s="1">
        <v>46188</v>
      </c>
      <c r="B357" s="2">
        <v>20</v>
      </c>
      <c r="C357" s="7">
        <v>-5.6319756059134001</v>
      </c>
      <c r="D357" s="7">
        <v>-6.0889170000000004</v>
      </c>
      <c r="E357" s="7">
        <v>0.4664337898866</v>
      </c>
      <c r="F357" s="7">
        <f t="shared" si="20"/>
        <v>5.6319756059134001</v>
      </c>
      <c r="G357" s="7">
        <f t="shared" si="21"/>
        <v>6.0889170000000004</v>
      </c>
      <c r="H357" s="7">
        <f t="shared" si="22"/>
        <v>0.45694139408660028</v>
      </c>
      <c r="I357" s="8">
        <f t="shared" si="23"/>
        <v>7.5044773000945864E-2</v>
      </c>
      <c r="J357" s="9">
        <v>44.32</v>
      </c>
      <c r="K357" s="9">
        <v>20.672345567774101</v>
      </c>
    </row>
    <row r="358" spans="1:11" ht="12.75" customHeight="1">
      <c r="A358" s="1">
        <v>46188</v>
      </c>
      <c r="B358" s="2">
        <v>21</v>
      </c>
      <c r="C358" s="7">
        <v>-5.9830032094291399</v>
      </c>
      <c r="D358" s="7">
        <v>-6.494586</v>
      </c>
      <c r="E358" s="7">
        <v>0.51158279057086298</v>
      </c>
      <c r="F358" s="7">
        <f t="shared" si="20"/>
        <v>5.9830032094291399</v>
      </c>
      <c r="G358" s="7">
        <f t="shared" si="21"/>
        <v>6.494586</v>
      </c>
      <c r="H358" s="7">
        <f t="shared" si="22"/>
        <v>0.51158279057086009</v>
      </c>
      <c r="I358" s="8">
        <f t="shared" si="23"/>
        <v>7.8770654599209261E-2</v>
      </c>
      <c r="J358" s="9">
        <v>59.58</v>
      </c>
      <c r="K358" s="9">
        <v>30.480102662212001</v>
      </c>
    </row>
    <row r="359" spans="1:11" ht="12.75" customHeight="1">
      <c r="A359" s="1">
        <v>46188</v>
      </c>
      <c r="B359" s="2">
        <v>22</v>
      </c>
      <c r="C359" s="7">
        <v>-5.8933687383148099</v>
      </c>
      <c r="D359" s="7">
        <v>-6.3192490000000001</v>
      </c>
      <c r="E359" s="7">
        <v>0.425880261685189</v>
      </c>
      <c r="F359" s="7">
        <f t="shared" si="20"/>
        <v>5.8933687383148099</v>
      </c>
      <c r="G359" s="7">
        <f t="shared" si="21"/>
        <v>6.3192490000000001</v>
      </c>
      <c r="H359" s="7">
        <f t="shared" si="22"/>
        <v>0.42588026168519022</v>
      </c>
      <c r="I359" s="8">
        <f t="shared" si="23"/>
        <v>6.7394125739496921E-2</v>
      </c>
      <c r="J359" s="9">
        <v>56.17</v>
      </c>
      <c r="K359" s="9">
        <v>23.921694298857101</v>
      </c>
    </row>
    <row r="360" spans="1:11" ht="12.75" customHeight="1">
      <c r="A360" s="1">
        <v>46188</v>
      </c>
      <c r="B360" s="2">
        <v>23</v>
      </c>
      <c r="C360" s="7">
        <v>-5.0865069392756199</v>
      </c>
      <c r="D360" s="7">
        <v>-5.5532009999999996</v>
      </c>
      <c r="E360" s="7">
        <v>0.46669406072438202</v>
      </c>
      <c r="F360" s="7">
        <f t="shared" si="20"/>
        <v>5.0865069392756199</v>
      </c>
      <c r="G360" s="7">
        <f t="shared" si="21"/>
        <v>5.5532009999999996</v>
      </c>
      <c r="H360" s="7">
        <f t="shared" si="22"/>
        <v>0.46669406072437969</v>
      </c>
      <c r="I360" s="8">
        <f t="shared" si="23"/>
        <v>8.4040548995863773E-2</v>
      </c>
      <c r="J360" s="9">
        <v>34.76</v>
      </c>
      <c r="K360" s="9">
        <v>16.2222855507795</v>
      </c>
    </row>
    <row r="361" spans="1:11" ht="12.75" customHeight="1">
      <c r="A361" s="1">
        <v>46188</v>
      </c>
      <c r="B361" s="2">
        <v>24</v>
      </c>
      <c r="C361" s="7">
        <v>-4.3262939018061699</v>
      </c>
      <c r="D361" s="7">
        <v>-4.8440890000000003</v>
      </c>
      <c r="E361" s="7">
        <v>0.51779509819383096</v>
      </c>
      <c r="F361" s="7">
        <f t="shared" si="20"/>
        <v>4.3262939018061699</v>
      </c>
      <c r="G361" s="7">
        <f t="shared" si="21"/>
        <v>4.8440890000000003</v>
      </c>
      <c r="H361" s="7">
        <f t="shared" si="22"/>
        <v>0.51779509819383041</v>
      </c>
      <c r="I361" s="8">
        <f t="shared" si="23"/>
        <v>0.10689215210410676</v>
      </c>
      <c r="J361" s="9">
        <v>27.87</v>
      </c>
      <c r="K361" s="9">
        <v>14.4309493866621</v>
      </c>
    </row>
    <row r="362" spans="1:11" ht="12.75" customHeight="1">
      <c r="A362" s="1">
        <v>46189</v>
      </c>
      <c r="B362" s="2">
        <v>1</v>
      </c>
      <c r="C362" s="7">
        <v>-4.0774039830331796</v>
      </c>
      <c r="D362" s="7">
        <v>-4.2164989999999998</v>
      </c>
      <c r="E362" s="7">
        <v>0.139095016966817</v>
      </c>
      <c r="F362" s="7">
        <f t="shared" si="20"/>
        <v>4.0774039830331796</v>
      </c>
      <c r="G362" s="7">
        <f t="shared" si="21"/>
        <v>4.2164989999999998</v>
      </c>
      <c r="H362" s="7">
        <f t="shared" si="22"/>
        <v>0.13909501696682014</v>
      </c>
      <c r="I362" s="8">
        <f t="shared" si="23"/>
        <v>3.2988272253075393E-2</v>
      </c>
      <c r="J362" s="9">
        <v>23.59</v>
      </c>
      <c r="K362" s="9">
        <v>3.2812514502472001</v>
      </c>
    </row>
    <row r="363" spans="1:11" ht="12.75" customHeight="1">
      <c r="A363" s="1">
        <v>46189</v>
      </c>
      <c r="B363" s="2">
        <v>2</v>
      </c>
      <c r="C363" s="7">
        <v>-4.0073355066340604</v>
      </c>
      <c r="D363" s="7">
        <v>-4.0463380000000004</v>
      </c>
      <c r="E363" s="7">
        <v>3.9002493365941603E-2</v>
      </c>
      <c r="F363" s="7">
        <f t="shared" si="20"/>
        <v>4.0073355066340604</v>
      </c>
      <c r="G363" s="7">
        <f t="shared" si="21"/>
        <v>4.0463380000000004</v>
      </c>
      <c r="H363" s="7">
        <f t="shared" si="22"/>
        <v>3.9002493365940083E-2</v>
      </c>
      <c r="I363" s="8">
        <f t="shared" si="23"/>
        <v>9.6389608000963037E-3</v>
      </c>
      <c r="J363" s="9">
        <v>41.47</v>
      </c>
      <c r="K363" s="9">
        <v>1.6174333998856001</v>
      </c>
    </row>
    <row r="364" spans="1:11" ht="12.75" customHeight="1">
      <c r="A364" s="1">
        <v>46189</v>
      </c>
      <c r="B364" s="2">
        <v>3</v>
      </c>
      <c r="C364" s="7">
        <v>-3.7408365213645198</v>
      </c>
      <c r="D364" s="7">
        <v>-3.8858820000000001</v>
      </c>
      <c r="E364" s="7">
        <v>0.14504547863547701</v>
      </c>
      <c r="F364" s="7">
        <f t="shared" si="20"/>
        <v>3.7408365213645198</v>
      </c>
      <c r="G364" s="7">
        <f t="shared" si="21"/>
        <v>3.8858820000000001</v>
      </c>
      <c r="H364" s="7">
        <f t="shared" si="22"/>
        <v>0.14504547863548023</v>
      </c>
      <c r="I364" s="8">
        <f t="shared" si="23"/>
        <v>3.7326269463529828E-2</v>
      </c>
      <c r="J364" s="9">
        <v>9.7899999999999991</v>
      </c>
      <c r="K364" s="9">
        <v>1.4199952358413199</v>
      </c>
    </row>
    <row r="365" spans="1:11" ht="12.75" customHeight="1">
      <c r="A365" s="1">
        <v>46189</v>
      </c>
      <c r="B365" s="2">
        <v>4</v>
      </c>
      <c r="C365" s="7">
        <v>-3.7640593371929998</v>
      </c>
      <c r="D365" s="7">
        <v>-3.8490030000000002</v>
      </c>
      <c r="E365" s="7">
        <v>8.4943662806996098E-2</v>
      </c>
      <c r="F365" s="7">
        <f t="shared" si="20"/>
        <v>3.7640593371929998</v>
      </c>
      <c r="G365" s="7">
        <f t="shared" si="21"/>
        <v>3.8490030000000002</v>
      </c>
      <c r="H365" s="7">
        <f t="shared" si="22"/>
        <v>8.4943662807000386E-2</v>
      </c>
      <c r="I365" s="8">
        <f t="shared" si="23"/>
        <v>2.206900405299772E-2</v>
      </c>
      <c r="J365" s="9">
        <v>8.7799999999999994</v>
      </c>
      <c r="K365" s="9">
        <v>0.74580535944542603</v>
      </c>
    </row>
    <row r="366" spans="1:11" ht="12.75" customHeight="1">
      <c r="A366" s="1">
        <v>46189</v>
      </c>
      <c r="B366" s="2">
        <v>5</v>
      </c>
      <c r="C366" s="7">
        <v>-3.6360039283763901</v>
      </c>
      <c r="D366" s="7">
        <v>-3.869707</v>
      </c>
      <c r="E366" s="7">
        <v>0.23370307162360901</v>
      </c>
      <c r="F366" s="7">
        <f t="shared" si="20"/>
        <v>3.6360039283763901</v>
      </c>
      <c r="G366" s="7">
        <f t="shared" si="21"/>
        <v>3.869707</v>
      </c>
      <c r="H366" s="7">
        <f t="shared" si="22"/>
        <v>0.23370307162360993</v>
      </c>
      <c r="I366" s="8">
        <f t="shared" si="23"/>
        <v>6.0392962987536249E-2</v>
      </c>
      <c r="J366" s="9">
        <v>10.1</v>
      </c>
      <c r="K366" s="9">
        <v>2.3604010233984498</v>
      </c>
    </row>
    <row r="367" spans="1:11" ht="12.75" customHeight="1">
      <c r="A367" s="1">
        <v>46189</v>
      </c>
      <c r="B367" s="2">
        <v>6</v>
      </c>
      <c r="C367" s="7">
        <v>-3.3981098459892198</v>
      </c>
      <c r="D367" s="7">
        <v>-3.5041519999999999</v>
      </c>
      <c r="E367" s="7">
        <v>0.113179987410783</v>
      </c>
      <c r="F367" s="7">
        <f t="shared" si="20"/>
        <v>3.3981098459892198</v>
      </c>
      <c r="G367" s="7">
        <f t="shared" si="21"/>
        <v>3.5041519999999999</v>
      </c>
      <c r="H367" s="7">
        <f t="shared" si="22"/>
        <v>0.1060421540107801</v>
      </c>
      <c r="I367" s="8">
        <f t="shared" si="23"/>
        <v>3.026185907768273E-2</v>
      </c>
      <c r="J367" s="9">
        <v>10.7</v>
      </c>
      <c r="K367" s="9">
        <v>1.21102586529538</v>
      </c>
    </row>
    <row r="368" spans="1:11" ht="12.75" customHeight="1">
      <c r="A368" s="1">
        <v>46189</v>
      </c>
      <c r="B368" s="2">
        <v>7</v>
      </c>
      <c r="C368" s="7">
        <v>-2.9794385259539302</v>
      </c>
      <c r="D368" s="7">
        <v>-3.2278829999999998</v>
      </c>
      <c r="E368" s="7">
        <v>0.35876198544606902</v>
      </c>
      <c r="F368" s="7">
        <f t="shared" si="20"/>
        <v>2.9794385259539302</v>
      </c>
      <c r="G368" s="7">
        <f t="shared" si="21"/>
        <v>3.2278829999999998</v>
      </c>
      <c r="H368" s="7">
        <f t="shared" si="22"/>
        <v>0.24844447404606962</v>
      </c>
      <c r="I368" s="8">
        <f t="shared" si="23"/>
        <v>7.6968240189024706E-2</v>
      </c>
      <c r="J368" s="9">
        <v>16.399999999999999</v>
      </c>
      <c r="K368" s="9">
        <v>5.8836965613155199</v>
      </c>
    </row>
    <row r="369" spans="1:11" ht="12.75" customHeight="1">
      <c r="A369" s="1">
        <v>46189</v>
      </c>
      <c r="B369" s="2">
        <v>8</v>
      </c>
      <c r="C369" s="7">
        <v>-3.2514624477823402</v>
      </c>
      <c r="D369" s="7">
        <v>-3.2699379999999998</v>
      </c>
      <c r="E369" s="7">
        <v>0.39729275821766502</v>
      </c>
      <c r="F369" s="7">
        <f t="shared" si="20"/>
        <v>3.2514624477823402</v>
      </c>
      <c r="G369" s="7">
        <f t="shared" si="21"/>
        <v>3.2699379999999998</v>
      </c>
      <c r="H369" s="7">
        <f t="shared" si="22"/>
        <v>1.8475552217659619E-2</v>
      </c>
      <c r="I369" s="8">
        <f t="shared" si="23"/>
        <v>5.6501230964194488E-3</v>
      </c>
      <c r="J369" s="9">
        <v>13.54</v>
      </c>
      <c r="K369" s="9">
        <v>5.3793439462671797</v>
      </c>
    </row>
    <row r="370" spans="1:11" ht="12.75" customHeight="1">
      <c r="A370" s="1">
        <v>46189</v>
      </c>
      <c r="B370" s="2">
        <v>9</v>
      </c>
      <c r="C370" s="7">
        <v>-3.84490690268807</v>
      </c>
      <c r="D370" s="7">
        <v>-3.7047219999999998</v>
      </c>
      <c r="E370" s="7">
        <v>0.28269817931193397</v>
      </c>
      <c r="F370" s="7">
        <f t="shared" si="20"/>
        <v>3.84490690268807</v>
      </c>
      <c r="G370" s="7">
        <f t="shared" si="21"/>
        <v>3.7047219999999998</v>
      </c>
      <c r="H370" s="7">
        <f t="shared" si="22"/>
        <v>0.14018490268807016</v>
      </c>
      <c r="I370" s="8">
        <f t="shared" si="23"/>
        <v>3.7839520128114923E-2</v>
      </c>
      <c r="J370" s="9">
        <v>36.06</v>
      </c>
      <c r="K370" s="9">
        <v>10.194096345988401</v>
      </c>
    </row>
    <row r="371" spans="1:11" ht="12.75" customHeight="1">
      <c r="A371" s="1">
        <v>46189</v>
      </c>
      <c r="B371" s="2">
        <v>10</v>
      </c>
      <c r="C371" s="7">
        <v>-4.0538146995741897</v>
      </c>
      <c r="D371" s="7">
        <v>-3.7881849999999999</v>
      </c>
      <c r="E371" s="7">
        <v>0.32987427642580702</v>
      </c>
      <c r="F371" s="7">
        <f t="shared" si="20"/>
        <v>4.0538146995741897</v>
      </c>
      <c r="G371" s="7">
        <f t="shared" si="21"/>
        <v>3.7881849999999999</v>
      </c>
      <c r="H371" s="7">
        <f t="shared" si="22"/>
        <v>0.2656296995741898</v>
      </c>
      <c r="I371" s="8">
        <f t="shared" si="23"/>
        <v>7.0120572140534271E-2</v>
      </c>
      <c r="J371" s="9">
        <v>8.8800000000000008</v>
      </c>
      <c r="K371" s="9">
        <v>2.9292835746611701</v>
      </c>
    </row>
    <row r="372" spans="1:11" ht="12.75" customHeight="1">
      <c r="A372" s="1">
        <v>46189</v>
      </c>
      <c r="B372" s="2">
        <v>11</v>
      </c>
      <c r="C372" s="7">
        <v>-3.7867930315581901</v>
      </c>
      <c r="D372" s="7">
        <v>-3.527444</v>
      </c>
      <c r="E372" s="7">
        <v>0.54368989944180601</v>
      </c>
      <c r="F372" s="7">
        <f t="shared" si="20"/>
        <v>3.7867930315581901</v>
      </c>
      <c r="G372" s="7">
        <f t="shared" si="21"/>
        <v>3.527444</v>
      </c>
      <c r="H372" s="7">
        <f t="shared" si="22"/>
        <v>0.25934903155819011</v>
      </c>
      <c r="I372" s="8">
        <f t="shared" si="23"/>
        <v>7.3523217252546069E-2</v>
      </c>
      <c r="J372" s="9">
        <v>4.26</v>
      </c>
      <c r="K372" s="9">
        <v>2.3161189716220898</v>
      </c>
    </row>
    <row r="373" spans="1:11" ht="12.75" customHeight="1">
      <c r="A373" s="1">
        <v>46189</v>
      </c>
      <c r="B373" s="2">
        <v>12</v>
      </c>
      <c r="C373" s="7">
        <v>-3.9952987564682299</v>
      </c>
      <c r="D373" s="7">
        <v>-3.5229149999999998</v>
      </c>
      <c r="E373" s="7">
        <v>0.33427695113177402</v>
      </c>
      <c r="F373" s="7">
        <f t="shared" si="20"/>
        <v>3.9952987564682299</v>
      </c>
      <c r="G373" s="7">
        <f t="shared" si="21"/>
        <v>3.5229149999999998</v>
      </c>
      <c r="H373" s="7">
        <f t="shared" si="22"/>
        <v>0.47238375646823005</v>
      </c>
      <c r="I373" s="8">
        <f t="shared" si="23"/>
        <v>0.13408888845408706</v>
      </c>
      <c r="J373" s="9">
        <v>2.4700000000000002</v>
      </c>
      <c r="K373" s="9">
        <v>0.82566406929548097</v>
      </c>
    </row>
    <row r="374" spans="1:11" ht="12.75" customHeight="1">
      <c r="A374" s="1">
        <v>46189</v>
      </c>
      <c r="B374" s="2">
        <v>13</v>
      </c>
      <c r="C374" s="7">
        <v>-3.9297527680280102</v>
      </c>
      <c r="D374" s="7">
        <v>-3.5267970000000002</v>
      </c>
      <c r="E374" s="7">
        <v>0.30914485437199402</v>
      </c>
      <c r="F374" s="7">
        <f t="shared" si="20"/>
        <v>3.9297527680280102</v>
      </c>
      <c r="G374" s="7">
        <f t="shared" si="21"/>
        <v>3.5267970000000002</v>
      </c>
      <c r="H374" s="7">
        <f t="shared" si="22"/>
        <v>0.40295576802801003</v>
      </c>
      <c r="I374" s="8">
        <f t="shared" si="23"/>
        <v>0.11425544708924557</v>
      </c>
      <c r="J374" s="9">
        <v>2.4700000000000002</v>
      </c>
      <c r="K374" s="9">
        <v>0.76358779029882495</v>
      </c>
    </row>
    <row r="375" spans="1:11" ht="12.75" customHeight="1">
      <c r="A375" s="1">
        <v>46189</v>
      </c>
      <c r="B375" s="2">
        <v>14</v>
      </c>
      <c r="C375" s="7">
        <v>-4.1313680556644599</v>
      </c>
      <c r="D375" s="7">
        <v>-4.0741589999999999</v>
      </c>
      <c r="E375" s="7">
        <v>0.62189767233554405</v>
      </c>
      <c r="F375" s="7">
        <f t="shared" si="20"/>
        <v>4.1313680556644599</v>
      </c>
      <c r="G375" s="7">
        <f t="shared" si="21"/>
        <v>4.0741589999999999</v>
      </c>
      <c r="H375" s="7">
        <f t="shared" si="22"/>
        <v>5.7209055664459996E-2</v>
      </c>
      <c r="I375" s="8">
        <f t="shared" si="23"/>
        <v>1.4041930043589364E-2</v>
      </c>
      <c r="J375" s="9">
        <v>8.16</v>
      </c>
      <c r="K375" s="9">
        <v>5.07468500625804</v>
      </c>
    </row>
    <row r="376" spans="1:11" ht="12.75" customHeight="1">
      <c r="A376" s="1">
        <v>46189</v>
      </c>
      <c r="B376" s="2">
        <v>15</v>
      </c>
      <c r="C376" s="7">
        <v>-4.3091335345560804</v>
      </c>
      <c r="D376" s="7">
        <v>-4.1000389999999998</v>
      </c>
      <c r="E376" s="7">
        <v>0.42756058244391998</v>
      </c>
      <c r="F376" s="7">
        <f t="shared" si="20"/>
        <v>4.3091335345560804</v>
      </c>
      <c r="G376" s="7">
        <f t="shared" si="21"/>
        <v>4.1000389999999998</v>
      </c>
      <c r="H376" s="7">
        <f t="shared" si="22"/>
        <v>0.20909453455608062</v>
      </c>
      <c r="I376" s="8">
        <f t="shared" si="23"/>
        <v>5.0998181860241E-2</v>
      </c>
      <c r="J376" s="9">
        <v>2.4700000000000002</v>
      </c>
      <c r="K376" s="9">
        <v>1.0560746386364801</v>
      </c>
    </row>
    <row r="377" spans="1:11" ht="12.75" customHeight="1">
      <c r="A377" s="1">
        <v>46189</v>
      </c>
      <c r="B377" s="2">
        <v>16</v>
      </c>
      <c r="C377" s="7">
        <v>-4.2786151990516696</v>
      </c>
      <c r="D377" s="7">
        <v>-4.0767470000000001</v>
      </c>
      <c r="E377" s="7">
        <v>0.38492586294833198</v>
      </c>
      <c r="F377" s="7">
        <f t="shared" si="20"/>
        <v>4.2786151990516696</v>
      </c>
      <c r="G377" s="7">
        <f t="shared" si="21"/>
        <v>4.0767470000000001</v>
      </c>
      <c r="H377" s="7">
        <f t="shared" si="22"/>
        <v>0.20186819905166953</v>
      </c>
      <c r="I377" s="8">
        <f t="shared" si="23"/>
        <v>4.951697984978453E-2</v>
      </c>
      <c r="J377" s="9">
        <v>17.489999999999998</v>
      </c>
      <c r="K377" s="9">
        <v>6.7323533429663298</v>
      </c>
    </row>
    <row r="378" spans="1:11" ht="12.75" customHeight="1">
      <c r="A378" s="1">
        <v>46189</v>
      </c>
      <c r="B378" s="2">
        <v>17</v>
      </c>
      <c r="C378" s="7">
        <v>-4.5102367267232903</v>
      </c>
      <c r="D378" s="7">
        <v>-4.5037669999999999</v>
      </c>
      <c r="E378" s="7">
        <v>0.37881683227671198</v>
      </c>
      <c r="F378" s="7">
        <f t="shared" si="20"/>
        <v>4.5102367267232903</v>
      </c>
      <c r="G378" s="7">
        <f t="shared" si="21"/>
        <v>4.5037669999999999</v>
      </c>
      <c r="H378" s="7">
        <f t="shared" si="22"/>
        <v>6.469726723290492E-3</v>
      </c>
      <c r="I378" s="8">
        <f t="shared" si="23"/>
        <v>1.4365145273479939E-3</v>
      </c>
      <c r="J378" s="9">
        <v>37.03</v>
      </c>
      <c r="K378" s="9">
        <v>14.027587299206701</v>
      </c>
    </row>
    <row r="379" spans="1:11" ht="12.75" customHeight="1">
      <c r="A379" s="1">
        <v>46189</v>
      </c>
      <c r="B379" s="2">
        <v>18</v>
      </c>
      <c r="C379" s="7">
        <v>-4.9150578089212997</v>
      </c>
      <c r="D379" s="7">
        <v>-4.943727</v>
      </c>
      <c r="E379" s="7">
        <v>0.170168867478703</v>
      </c>
      <c r="F379" s="7">
        <f t="shared" si="20"/>
        <v>4.9150578089212997</v>
      </c>
      <c r="G379" s="7">
        <f t="shared" si="21"/>
        <v>4.943727</v>
      </c>
      <c r="H379" s="7">
        <f t="shared" si="22"/>
        <v>2.8669191078700251E-2</v>
      </c>
      <c r="I379" s="8">
        <f t="shared" si="23"/>
        <v>5.7991048208568662E-3</v>
      </c>
      <c r="J379" s="9">
        <v>45.45</v>
      </c>
      <c r="K379" s="9">
        <v>7.73417502690703</v>
      </c>
    </row>
    <row r="380" spans="1:11" ht="12.75" customHeight="1">
      <c r="A380" s="1">
        <v>46189</v>
      </c>
      <c r="B380" s="2">
        <v>19</v>
      </c>
      <c r="C380" s="7">
        <v>-5.1294454138585204</v>
      </c>
      <c r="D380" s="7">
        <v>-5.5176160000000003</v>
      </c>
      <c r="E380" s="7">
        <v>0.39723635014148601</v>
      </c>
      <c r="F380" s="7">
        <f t="shared" si="20"/>
        <v>5.1294454138585204</v>
      </c>
      <c r="G380" s="7">
        <f t="shared" si="21"/>
        <v>5.5176160000000003</v>
      </c>
      <c r="H380" s="7">
        <f t="shared" si="22"/>
        <v>0.38817058614147992</v>
      </c>
      <c r="I380" s="8">
        <f t="shared" si="23"/>
        <v>7.0351141895608524E-2</v>
      </c>
      <c r="J380" s="9">
        <v>27.83</v>
      </c>
      <c r="K380" s="9">
        <v>11.055087624437601</v>
      </c>
    </row>
    <row r="381" spans="1:11" ht="12.75" customHeight="1">
      <c r="A381" s="1">
        <v>46189</v>
      </c>
      <c r="B381" s="2">
        <v>20</v>
      </c>
      <c r="C381" s="7">
        <v>-5.5777350554504297</v>
      </c>
      <c r="D381" s="7">
        <v>-6.2002009999999999</v>
      </c>
      <c r="E381" s="7">
        <v>0.62263571734957002</v>
      </c>
      <c r="F381" s="7">
        <f t="shared" si="20"/>
        <v>5.5777350554504297</v>
      </c>
      <c r="G381" s="7">
        <f t="shared" si="21"/>
        <v>6.2002009999999999</v>
      </c>
      <c r="H381" s="7">
        <f t="shared" si="22"/>
        <v>0.62246594454957016</v>
      </c>
      <c r="I381" s="8">
        <f t="shared" si="23"/>
        <v>0.10039447826765135</v>
      </c>
      <c r="J381" s="9">
        <v>54.54</v>
      </c>
      <c r="K381" s="9">
        <v>33.958552024245598</v>
      </c>
    </row>
    <row r="382" spans="1:11" ht="12.75" customHeight="1">
      <c r="A382" s="1">
        <v>46189</v>
      </c>
      <c r="B382" s="2">
        <v>21</v>
      </c>
      <c r="C382" s="7">
        <v>-5.7600239372418898</v>
      </c>
      <c r="D382" s="7">
        <v>-6.3949480000000003</v>
      </c>
      <c r="E382" s="7">
        <v>0.63493907315811304</v>
      </c>
      <c r="F382" s="7">
        <f t="shared" si="20"/>
        <v>5.7600239372418898</v>
      </c>
      <c r="G382" s="7">
        <f t="shared" si="21"/>
        <v>6.3949480000000003</v>
      </c>
      <c r="H382" s="7">
        <f t="shared" si="22"/>
        <v>0.63492406275811053</v>
      </c>
      <c r="I382" s="8">
        <f t="shared" si="23"/>
        <v>9.9285258106572641E-2</v>
      </c>
      <c r="J382" s="9">
        <v>67.25</v>
      </c>
      <c r="K382" s="9">
        <v>42.6996526698831</v>
      </c>
    </row>
    <row r="383" spans="1:11" ht="12.75" customHeight="1">
      <c r="A383" s="1">
        <v>46189</v>
      </c>
      <c r="B383" s="2">
        <v>22</v>
      </c>
      <c r="C383" s="7">
        <v>-5.5271413855842999</v>
      </c>
      <c r="D383" s="7">
        <v>-6.1833790000000004</v>
      </c>
      <c r="E383" s="7">
        <v>0.65623761441570405</v>
      </c>
      <c r="F383" s="7">
        <f t="shared" si="20"/>
        <v>5.5271413855842999</v>
      </c>
      <c r="G383" s="7">
        <f t="shared" si="21"/>
        <v>6.1833790000000004</v>
      </c>
      <c r="H383" s="7">
        <f t="shared" si="22"/>
        <v>0.6562376144157005</v>
      </c>
      <c r="I383" s="8">
        <f t="shared" si="23"/>
        <v>0.10612928860024599</v>
      </c>
      <c r="J383" s="9">
        <v>68.09</v>
      </c>
      <c r="K383" s="9">
        <v>44.683219165565298</v>
      </c>
    </row>
    <row r="384" spans="1:11" ht="12.75" customHeight="1">
      <c r="A384" s="1">
        <v>46189</v>
      </c>
      <c r="B384" s="2">
        <v>23</v>
      </c>
      <c r="C384" s="7">
        <v>-4.8321922193681397</v>
      </c>
      <c r="D384" s="7">
        <v>-5.4348000000000001</v>
      </c>
      <c r="E384" s="7">
        <v>0.60260778063186604</v>
      </c>
      <c r="F384" s="7">
        <f t="shared" si="20"/>
        <v>4.8321922193681397</v>
      </c>
      <c r="G384" s="7">
        <f t="shared" si="21"/>
        <v>5.4348000000000001</v>
      </c>
      <c r="H384" s="7">
        <f t="shared" si="22"/>
        <v>0.60260778063186038</v>
      </c>
      <c r="I384" s="8">
        <f t="shared" si="23"/>
        <v>0.11087947682193648</v>
      </c>
      <c r="J384" s="9">
        <v>40.369999999999997</v>
      </c>
      <c r="K384" s="9">
        <v>24.3272761041084</v>
      </c>
    </row>
    <row r="385" spans="1:11" ht="12.75" customHeight="1">
      <c r="A385" s="1">
        <v>46189</v>
      </c>
      <c r="B385" s="2">
        <v>24</v>
      </c>
      <c r="C385" s="7">
        <v>-4.1916524052936497</v>
      </c>
      <c r="D385" s="7">
        <v>-4.8104449999999996</v>
      </c>
      <c r="E385" s="7">
        <v>0.61879259470634695</v>
      </c>
      <c r="F385" s="7">
        <f t="shared" si="20"/>
        <v>4.1916524052936497</v>
      </c>
      <c r="G385" s="7">
        <f t="shared" si="21"/>
        <v>4.8104449999999996</v>
      </c>
      <c r="H385" s="7">
        <f t="shared" si="22"/>
        <v>0.61879259470634995</v>
      </c>
      <c r="I385" s="8">
        <f t="shared" si="23"/>
        <v>0.12863520832404279</v>
      </c>
      <c r="J385" s="9">
        <v>29.38</v>
      </c>
      <c r="K385" s="9">
        <v>18.180126432472498</v>
      </c>
    </row>
    <row r="386" spans="1:11" ht="12.75" customHeight="1">
      <c r="A386" s="1">
        <v>46190</v>
      </c>
      <c r="B386" s="2">
        <v>1</v>
      </c>
      <c r="C386" s="7">
        <v>-4.04652441485434</v>
      </c>
      <c r="D386" s="7">
        <v>-4.2462609999999996</v>
      </c>
      <c r="E386" s="7">
        <v>0.199736585145662</v>
      </c>
      <c r="F386" s="7">
        <f t="shared" ref="F386:F449" si="24">ABS(C386)</f>
        <v>4.04652441485434</v>
      </c>
      <c r="G386" s="7">
        <f t="shared" ref="G386:G449" si="25">ABS(D386)</f>
        <v>4.2462609999999996</v>
      </c>
      <c r="H386" s="7">
        <f t="shared" ref="H386:H449" si="26">ABS(G386-F386)</f>
        <v>0.19973658514565962</v>
      </c>
      <c r="I386" s="8">
        <f t="shared" ref="I386:I449" si="27">H386/G386</f>
        <v>4.7038226134865385E-2</v>
      </c>
      <c r="J386" s="9">
        <v>18.68</v>
      </c>
      <c r="K386" s="9">
        <v>3.7310794105209699</v>
      </c>
    </row>
    <row r="387" spans="1:11" ht="12.75" customHeight="1">
      <c r="A387" s="1">
        <v>46190</v>
      </c>
      <c r="B387" s="2">
        <v>2</v>
      </c>
      <c r="C387" s="7">
        <v>-4.0267018141406403</v>
      </c>
      <c r="D387" s="7">
        <v>-4.1906189999999999</v>
      </c>
      <c r="E387" s="7">
        <v>0.16391718585935999</v>
      </c>
      <c r="F387" s="7">
        <f t="shared" si="24"/>
        <v>4.0267018141406403</v>
      </c>
      <c r="G387" s="7">
        <f t="shared" si="25"/>
        <v>4.1906189999999999</v>
      </c>
      <c r="H387" s="7">
        <f t="shared" si="26"/>
        <v>0.16391718585935955</v>
      </c>
      <c r="I387" s="8">
        <f t="shared" si="27"/>
        <v>3.9115268140424972E-2</v>
      </c>
      <c r="J387" s="9">
        <v>19.850000000000001</v>
      </c>
      <c r="K387" s="9">
        <v>3.2537561393083001</v>
      </c>
    </row>
    <row r="388" spans="1:11" ht="12.75" customHeight="1">
      <c r="A388" s="1">
        <v>46190</v>
      </c>
      <c r="B388" s="2">
        <v>3</v>
      </c>
      <c r="C388" s="7">
        <v>-3.9176462513702499</v>
      </c>
      <c r="D388" s="7">
        <v>-4.0793350000000004</v>
      </c>
      <c r="E388" s="7">
        <v>0.16168874862975399</v>
      </c>
      <c r="F388" s="7">
        <f t="shared" si="24"/>
        <v>3.9176462513702499</v>
      </c>
      <c r="G388" s="7">
        <f t="shared" si="25"/>
        <v>4.0793350000000004</v>
      </c>
      <c r="H388" s="7">
        <f t="shared" si="26"/>
        <v>0.16168874862975047</v>
      </c>
      <c r="I388" s="8">
        <f t="shared" si="27"/>
        <v>3.9636055540854198E-2</v>
      </c>
      <c r="J388" s="9">
        <v>10.220000000000001</v>
      </c>
      <c r="K388" s="9">
        <v>1.6524590109960799</v>
      </c>
    </row>
    <row r="389" spans="1:11" ht="12.75" customHeight="1">
      <c r="A389" s="1">
        <v>46190</v>
      </c>
      <c r="B389" s="2">
        <v>4</v>
      </c>
      <c r="C389" s="7">
        <v>-3.9106496413199801</v>
      </c>
      <c r="D389" s="7">
        <v>-3.9693450000000001</v>
      </c>
      <c r="E389" s="7">
        <v>5.8695358680022403E-2</v>
      </c>
      <c r="F389" s="7">
        <f t="shared" si="24"/>
        <v>3.9106496413199801</v>
      </c>
      <c r="G389" s="7">
        <f t="shared" si="25"/>
        <v>3.9693450000000001</v>
      </c>
      <c r="H389" s="7">
        <f t="shared" si="26"/>
        <v>5.8695358680020071E-2</v>
      </c>
      <c r="I389" s="8">
        <f t="shared" si="27"/>
        <v>1.4787164804273771E-2</v>
      </c>
      <c r="J389" s="9">
        <v>9.27</v>
      </c>
      <c r="K389" s="9">
        <v>0.54410597496380797</v>
      </c>
    </row>
    <row r="390" spans="1:11" ht="12.75" customHeight="1">
      <c r="A390" s="1">
        <v>46190</v>
      </c>
      <c r="B390" s="2">
        <v>5</v>
      </c>
      <c r="C390" s="7">
        <v>-3.8572697879894</v>
      </c>
      <c r="D390" s="7">
        <v>-3.9602870000000001</v>
      </c>
      <c r="E390" s="7">
        <v>0.10301721201059701</v>
      </c>
      <c r="F390" s="7">
        <f t="shared" si="24"/>
        <v>3.8572697879894</v>
      </c>
      <c r="G390" s="7">
        <f t="shared" si="25"/>
        <v>3.9602870000000001</v>
      </c>
      <c r="H390" s="7">
        <f t="shared" si="26"/>
        <v>0.1030172120106001</v>
      </c>
      <c r="I390" s="8">
        <f t="shared" si="27"/>
        <v>2.6012562223545945E-2</v>
      </c>
      <c r="J390" s="9">
        <v>12.33</v>
      </c>
      <c r="K390" s="9">
        <v>1.2702022240906601</v>
      </c>
    </row>
    <row r="391" spans="1:11" ht="12.75" customHeight="1">
      <c r="A391" s="1">
        <v>46190</v>
      </c>
      <c r="B391" s="2">
        <v>6</v>
      </c>
      <c r="C391" s="7">
        <v>-3.4963651095202701</v>
      </c>
      <c r="D391" s="7">
        <v>-3.6853120000000001</v>
      </c>
      <c r="E391" s="7">
        <v>0.20070378627973101</v>
      </c>
      <c r="F391" s="7">
        <f t="shared" si="24"/>
        <v>3.4963651095202701</v>
      </c>
      <c r="G391" s="7">
        <f t="shared" si="25"/>
        <v>3.6853120000000001</v>
      </c>
      <c r="H391" s="7">
        <f t="shared" si="26"/>
        <v>0.18894689047973001</v>
      </c>
      <c r="I391" s="8">
        <f t="shared" si="27"/>
        <v>5.1270256217039428E-2</v>
      </c>
      <c r="J391" s="9">
        <v>10.51</v>
      </c>
      <c r="K391" s="9">
        <v>2.10939679379997</v>
      </c>
    </row>
    <row r="392" spans="1:11" ht="12.75" customHeight="1">
      <c r="A392" s="1">
        <v>46190</v>
      </c>
      <c r="B392" s="2">
        <v>7</v>
      </c>
      <c r="C392" s="7">
        <v>-3.1459247469336602</v>
      </c>
      <c r="D392" s="7">
        <v>-3.4181010000000001</v>
      </c>
      <c r="E392" s="7">
        <v>0.36506358446634501</v>
      </c>
      <c r="F392" s="7">
        <f t="shared" si="24"/>
        <v>3.1459247469336602</v>
      </c>
      <c r="G392" s="7">
        <f t="shared" si="25"/>
        <v>3.4181010000000001</v>
      </c>
      <c r="H392" s="7">
        <f t="shared" si="26"/>
        <v>0.27217625306633986</v>
      </c>
      <c r="I392" s="8">
        <f t="shared" si="27"/>
        <v>7.9627914174080827E-2</v>
      </c>
      <c r="J392" s="9">
        <v>9.59</v>
      </c>
      <c r="K392" s="9">
        <v>3.5009597750322499</v>
      </c>
    </row>
    <row r="393" spans="1:11" ht="12.75" customHeight="1">
      <c r="A393" s="1">
        <v>46190</v>
      </c>
      <c r="B393" s="2">
        <v>8</v>
      </c>
      <c r="C393" s="7">
        <v>-3.0495975856797299</v>
      </c>
      <c r="D393" s="7">
        <v>-3.4336289999999998</v>
      </c>
      <c r="E393" s="7">
        <v>0.77373504232026802</v>
      </c>
      <c r="F393" s="7">
        <f t="shared" si="24"/>
        <v>3.0495975856797299</v>
      </c>
      <c r="G393" s="7">
        <f t="shared" si="25"/>
        <v>3.4336289999999998</v>
      </c>
      <c r="H393" s="7">
        <f t="shared" si="26"/>
        <v>0.38403141432026988</v>
      </c>
      <c r="I393" s="8">
        <f t="shared" si="27"/>
        <v>0.11184417836646589</v>
      </c>
      <c r="J393" s="9">
        <v>42.68</v>
      </c>
      <c r="K393" s="9">
        <v>33.023011606229097</v>
      </c>
    </row>
    <row r="394" spans="1:11" ht="12.75" customHeight="1">
      <c r="A394" s="1">
        <v>46190</v>
      </c>
      <c r="B394" s="2">
        <v>9</v>
      </c>
      <c r="C394" s="7">
        <v>-3.63500713859725</v>
      </c>
      <c r="D394" s="7">
        <v>-3.8069480000000002</v>
      </c>
      <c r="E394" s="7">
        <v>0.68204083740275201</v>
      </c>
      <c r="F394" s="7">
        <f t="shared" si="24"/>
        <v>3.63500713859725</v>
      </c>
      <c r="G394" s="7">
        <f t="shared" si="25"/>
        <v>3.8069480000000002</v>
      </c>
      <c r="H394" s="7">
        <f t="shared" si="26"/>
        <v>0.17194086140275022</v>
      </c>
      <c r="I394" s="8">
        <f t="shared" si="27"/>
        <v>4.5165014442737385E-2</v>
      </c>
      <c r="J394" s="9">
        <v>34.46</v>
      </c>
      <c r="K394" s="9">
        <v>23.5031272568989</v>
      </c>
    </row>
    <row r="395" spans="1:11" ht="12.75" customHeight="1">
      <c r="A395" s="1">
        <v>46190</v>
      </c>
      <c r="B395" s="2">
        <v>10</v>
      </c>
      <c r="C395" s="7">
        <v>-3.61691791374921</v>
      </c>
      <c r="D395" s="7">
        <v>-3.988108</v>
      </c>
      <c r="E395" s="7">
        <v>1.0379736640507999</v>
      </c>
      <c r="F395" s="7">
        <f t="shared" si="24"/>
        <v>3.61691791374921</v>
      </c>
      <c r="G395" s="7">
        <f t="shared" si="25"/>
        <v>3.988108</v>
      </c>
      <c r="H395" s="7">
        <f t="shared" si="26"/>
        <v>0.37119008625078997</v>
      </c>
      <c r="I395" s="8">
        <f t="shared" si="27"/>
        <v>9.3074231252210315E-2</v>
      </c>
      <c r="J395" s="9">
        <v>7.84</v>
      </c>
      <c r="K395" s="9">
        <v>8.1377135261582296</v>
      </c>
    </row>
    <row r="396" spans="1:11" ht="12.75" customHeight="1">
      <c r="A396" s="1">
        <v>46190</v>
      </c>
      <c r="B396" s="2">
        <v>11</v>
      </c>
      <c r="C396" s="7">
        <v>-3.6804238802959501</v>
      </c>
      <c r="D396" s="7">
        <v>-3.4853890000000001</v>
      </c>
      <c r="E396" s="7">
        <v>0.62660335970405101</v>
      </c>
      <c r="F396" s="7">
        <f t="shared" si="24"/>
        <v>3.6804238802959501</v>
      </c>
      <c r="G396" s="7">
        <f t="shared" si="25"/>
        <v>3.4853890000000001</v>
      </c>
      <c r="H396" s="7">
        <f t="shared" si="26"/>
        <v>0.19503488029595006</v>
      </c>
      <c r="I396" s="8">
        <f t="shared" si="27"/>
        <v>5.5957851561461304E-2</v>
      </c>
      <c r="J396" s="9">
        <v>16.96</v>
      </c>
      <c r="K396" s="9">
        <v>10.6271929805807</v>
      </c>
    </row>
    <row r="397" spans="1:11" ht="12.75" customHeight="1">
      <c r="A397" s="1">
        <v>46190</v>
      </c>
      <c r="B397" s="2">
        <v>12</v>
      </c>
      <c r="C397" s="7">
        <v>-3.86385018914405</v>
      </c>
      <c r="D397" s="7">
        <v>-3.7577759999999998</v>
      </c>
      <c r="E397" s="7">
        <v>0.71368775085595404</v>
      </c>
      <c r="F397" s="7">
        <f t="shared" si="24"/>
        <v>3.86385018914405</v>
      </c>
      <c r="G397" s="7">
        <f t="shared" si="25"/>
        <v>3.7577759999999998</v>
      </c>
      <c r="H397" s="7">
        <f t="shared" si="26"/>
        <v>0.1060741891440502</v>
      </c>
      <c r="I397" s="8">
        <f t="shared" si="27"/>
        <v>2.8227917029660685E-2</v>
      </c>
      <c r="J397" s="9">
        <v>4.2699999999999996</v>
      </c>
      <c r="K397" s="9">
        <v>3.04744669615493</v>
      </c>
    </row>
    <row r="398" spans="1:11" ht="12.75" customHeight="1">
      <c r="A398" s="1">
        <v>46190</v>
      </c>
      <c r="B398" s="2">
        <v>13</v>
      </c>
      <c r="C398" s="7">
        <v>-3.8102489404062099</v>
      </c>
      <c r="D398" s="7">
        <v>-3.7467769999999998</v>
      </c>
      <c r="E398" s="7">
        <v>0.73668033539379496</v>
      </c>
      <c r="F398" s="7">
        <f t="shared" si="24"/>
        <v>3.8102489404062099</v>
      </c>
      <c r="G398" s="7">
        <f t="shared" si="25"/>
        <v>3.7467769999999998</v>
      </c>
      <c r="H398" s="7">
        <f t="shared" si="26"/>
        <v>6.347194040621007E-2</v>
      </c>
      <c r="I398" s="8">
        <f t="shared" si="27"/>
        <v>1.6940410493127847E-2</v>
      </c>
      <c r="J398" s="9">
        <v>23.65</v>
      </c>
      <c r="K398" s="9">
        <v>17.4224899320633</v>
      </c>
    </row>
    <row r="399" spans="1:11" ht="12.75" customHeight="1">
      <c r="A399" s="1">
        <v>46190</v>
      </c>
      <c r="B399" s="2">
        <v>14</v>
      </c>
      <c r="C399" s="7">
        <v>-4.0592451813683796</v>
      </c>
      <c r="D399" s="7">
        <v>-4.2779639999999999</v>
      </c>
      <c r="E399" s="7">
        <v>0.94342740063162001</v>
      </c>
      <c r="F399" s="7">
        <f t="shared" si="24"/>
        <v>4.0592451813683796</v>
      </c>
      <c r="G399" s="7">
        <f t="shared" si="25"/>
        <v>4.2779639999999999</v>
      </c>
      <c r="H399" s="7">
        <f t="shared" si="26"/>
        <v>0.21871881863162024</v>
      </c>
      <c r="I399" s="8">
        <f t="shared" si="27"/>
        <v>5.1126848807428078E-2</v>
      </c>
      <c r="J399" s="9">
        <v>6.85</v>
      </c>
      <c r="K399" s="9">
        <v>6.4624776943265996</v>
      </c>
    </row>
    <row r="400" spans="1:11" ht="12.75" customHeight="1">
      <c r="A400" s="1">
        <v>46190</v>
      </c>
      <c r="B400" s="2">
        <v>15</v>
      </c>
      <c r="C400" s="7">
        <v>-4.5714111050786101</v>
      </c>
      <c r="D400" s="7">
        <v>-4.3051380000000004</v>
      </c>
      <c r="E400" s="7">
        <v>0.20948022892139301</v>
      </c>
      <c r="F400" s="7">
        <f t="shared" si="24"/>
        <v>4.5714111050786101</v>
      </c>
      <c r="G400" s="7">
        <f t="shared" si="25"/>
        <v>4.3051380000000004</v>
      </c>
      <c r="H400" s="7">
        <f t="shared" si="26"/>
        <v>0.2662731050786098</v>
      </c>
      <c r="I400" s="8">
        <f t="shared" si="27"/>
        <v>6.1850074278364545E-2</v>
      </c>
      <c r="J400" s="9">
        <v>23.4</v>
      </c>
      <c r="K400" s="9">
        <v>4.9018373567606002</v>
      </c>
    </row>
    <row r="401" spans="1:11" ht="12.75" customHeight="1">
      <c r="A401" s="1">
        <v>46190</v>
      </c>
      <c r="B401" s="2">
        <v>16</v>
      </c>
      <c r="C401" s="7">
        <v>-5.1765600549789701</v>
      </c>
      <c r="D401" s="7">
        <v>-4.2546720000000002</v>
      </c>
      <c r="E401" s="7">
        <v>-0.638943308978972</v>
      </c>
      <c r="F401" s="7">
        <f t="shared" si="24"/>
        <v>5.1765600549789701</v>
      </c>
      <c r="G401" s="7">
        <f t="shared" si="25"/>
        <v>4.2546720000000002</v>
      </c>
      <c r="H401" s="7">
        <f t="shared" si="26"/>
        <v>0.92188805497896986</v>
      </c>
      <c r="I401" s="8">
        <f t="shared" si="27"/>
        <v>0.21667664510424536</v>
      </c>
      <c r="J401" s="9">
        <v>20.37</v>
      </c>
      <c r="K401" s="9">
        <v>-13.0152752039017</v>
      </c>
    </row>
    <row r="402" spans="1:11" ht="12.75" customHeight="1">
      <c r="A402" s="1">
        <v>46190</v>
      </c>
      <c r="B402" s="2">
        <v>17</v>
      </c>
      <c r="C402" s="7">
        <v>-4.6994002480428501</v>
      </c>
      <c r="D402" s="7">
        <v>-4.3873069999999998</v>
      </c>
      <c r="E402" s="7">
        <v>-0.167455104042846</v>
      </c>
      <c r="F402" s="7">
        <f t="shared" si="24"/>
        <v>4.6994002480428501</v>
      </c>
      <c r="G402" s="7">
        <f t="shared" si="25"/>
        <v>4.3873069999999998</v>
      </c>
      <c r="H402" s="7">
        <f t="shared" si="26"/>
        <v>0.31209324804285021</v>
      </c>
      <c r="I402" s="8">
        <f t="shared" si="27"/>
        <v>7.1135493377338363E-2</v>
      </c>
      <c r="J402" s="9">
        <v>10.8</v>
      </c>
      <c r="K402" s="9">
        <v>-1.8085151236627399</v>
      </c>
    </row>
    <row r="403" spans="1:11" ht="12.75" customHeight="1">
      <c r="A403" s="1">
        <v>46190</v>
      </c>
      <c r="B403" s="2">
        <v>18</v>
      </c>
      <c r="C403" s="7">
        <v>-4.1336166430039301</v>
      </c>
      <c r="D403" s="7">
        <v>-4.9566670000000004</v>
      </c>
      <c r="E403" s="7">
        <v>1.0744687339960699</v>
      </c>
      <c r="F403" s="7">
        <f t="shared" si="24"/>
        <v>4.1336166430039301</v>
      </c>
      <c r="G403" s="7">
        <f t="shared" si="25"/>
        <v>4.9566670000000004</v>
      </c>
      <c r="H403" s="7">
        <f t="shared" si="26"/>
        <v>0.82305035699607032</v>
      </c>
      <c r="I403" s="8">
        <f t="shared" si="27"/>
        <v>0.16604915298850423</v>
      </c>
      <c r="J403" s="9">
        <v>50.01</v>
      </c>
      <c r="K403" s="9">
        <v>53.734181387143401</v>
      </c>
    </row>
    <row r="404" spans="1:11" ht="12.75" customHeight="1">
      <c r="A404" s="1">
        <v>46190</v>
      </c>
      <c r="B404" s="2">
        <v>19</v>
      </c>
      <c r="C404" s="7">
        <v>-4.7385390952504096</v>
      </c>
      <c r="D404" s="7">
        <v>-5.6728959999999997</v>
      </c>
      <c r="E404" s="7">
        <v>0.97186220074959395</v>
      </c>
      <c r="F404" s="7">
        <f t="shared" si="24"/>
        <v>4.7385390952504096</v>
      </c>
      <c r="G404" s="7">
        <f t="shared" si="25"/>
        <v>5.6728959999999997</v>
      </c>
      <c r="H404" s="7">
        <f t="shared" si="26"/>
        <v>0.9343569047495901</v>
      </c>
      <c r="I404" s="8">
        <f t="shared" si="27"/>
        <v>0.16470545286738733</v>
      </c>
      <c r="J404" s="9">
        <v>49.48</v>
      </c>
      <c r="K404" s="9">
        <v>48.087741693089903</v>
      </c>
    </row>
    <row r="405" spans="1:11" ht="12.75" customHeight="1">
      <c r="A405" s="1">
        <v>46190</v>
      </c>
      <c r="B405" s="2">
        <v>20</v>
      </c>
      <c r="C405" s="7">
        <v>-5.3350021993401198</v>
      </c>
      <c r="D405" s="7">
        <v>-6.3748909999999999</v>
      </c>
      <c r="E405" s="7">
        <v>1.0474379966598799</v>
      </c>
      <c r="F405" s="7">
        <f t="shared" si="24"/>
        <v>5.3350021993401198</v>
      </c>
      <c r="G405" s="7">
        <f t="shared" si="25"/>
        <v>6.3748909999999999</v>
      </c>
      <c r="H405" s="7">
        <f t="shared" si="26"/>
        <v>1.0398888006598801</v>
      </c>
      <c r="I405" s="8">
        <f t="shared" si="27"/>
        <v>0.1631226009448444</v>
      </c>
      <c r="J405" s="9">
        <v>64.05</v>
      </c>
      <c r="K405" s="9">
        <v>67.088403686065604</v>
      </c>
    </row>
    <row r="406" spans="1:11" ht="12.75" customHeight="1">
      <c r="A406" s="1">
        <v>46190</v>
      </c>
      <c r="B406" s="2">
        <v>21</v>
      </c>
      <c r="C406" s="7">
        <v>-5.7697463635386699</v>
      </c>
      <c r="D406" s="7">
        <v>-6.6433960000000001</v>
      </c>
      <c r="E406" s="7">
        <v>0.87364963646133398</v>
      </c>
      <c r="F406" s="7">
        <f t="shared" si="24"/>
        <v>5.7697463635386699</v>
      </c>
      <c r="G406" s="7">
        <f t="shared" si="25"/>
        <v>6.6433960000000001</v>
      </c>
      <c r="H406" s="7">
        <f t="shared" si="26"/>
        <v>0.8736496364613302</v>
      </c>
      <c r="I406" s="8">
        <f t="shared" si="27"/>
        <v>0.13150648199525217</v>
      </c>
      <c r="J406" s="9">
        <v>77.61</v>
      </c>
      <c r="K406" s="9">
        <v>67.803948285764093</v>
      </c>
    </row>
    <row r="407" spans="1:11" ht="12.75" customHeight="1">
      <c r="A407" s="1">
        <v>46190</v>
      </c>
      <c r="B407" s="2">
        <v>22</v>
      </c>
      <c r="C407" s="7">
        <v>-5.80872211863106</v>
      </c>
      <c r="D407" s="7">
        <v>-6.414358</v>
      </c>
      <c r="E407" s="7">
        <v>0.60563588136893998</v>
      </c>
      <c r="F407" s="7">
        <f t="shared" si="24"/>
        <v>5.80872211863106</v>
      </c>
      <c r="G407" s="7">
        <f t="shared" si="25"/>
        <v>6.414358</v>
      </c>
      <c r="H407" s="7">
        <f t="shared" si="26"/>
        <v>0.60563588136893998</v>
      </c>
      <c r="I407" s="8">
        <f t="shared" si="27"/>
        <v>9.4418783823562696E-2</v>
      </c>
      <c r="J407" s="9">
        <v>79.75</v>
      </c>
      <c r="K407" s="9">
        <v>48.299461539172903</v>
      </c>
    </row>
    <row r="408" spans="1:11" ht="12.75" customHeight="1">
      <c r="A408" s="1">
        <v>46190</v>
      </c>
      <c r="B408" s="2">
        <v>23</v>
      </c>
      <c r="C408" s="7">
        <v>-5.2458379839299099</v>
      </c>
      <c r="D408" s="7">
        <v>-5.6690139999999998</v>
      </c>
      <c r="E408" s="7">
        <v>0.42317601607009098</v>
      </c>
      <c r="F408" s="7">
        <f t="shared" si="24"/>
        <v>5.2458379839299099</v>
      </c>
      <c r="G408" s="7">
        <f t="shared" si="25"/>
        <v>5.6690139999999998</v>
      </c>
      <c r="H408" s="7">
        <f t="shared" si="26"/>
        <v>0.42317601607008992</v>
      </c>
      <c r="I408" s="8">
        <f t="shared" si="27"/>
        <v>7.4647198978533114E-2</v>
      </c>
      <c r="J408" s="9">
        <v>60.25</v>
      </c>
      <c r="K408" s="9">
        <v>25.496354968222999</v>
      </c>
    </row>
    <row r="409" spans="1:11" ht="12.75" customHeight="1">
      <c r="A409" s="1">
        <v>46190</v>
      </c>
      <c r="B409" s="2">
        <v>24</v>
      </c>
      <c r="C409" s="7">
        <v>-4.5743738086486303</v>
      </c>
      <c r="D409" s="7">
        <v>-4.914612</v>
      </c>
      <c r="E409" s="7">
        <v>0.34023819135136901</v>
      </c>
      <c r="F409" s="7">
        <f t="shared" si="24"/>
        <v>4.5743738086486303</v>
      </c>
      <c r="G409" s="7">
        <f t="shared" si="25"/>
        <v>4.914612</v>
      </c>
      <c r="H409" s="7">
        <f t="shared" si="26"/>
        <v>0.34023819135136968</v>
      </c>
      <c r="I409" s="8">
        <f t="shared" si="27"/>
        <v>6.9229919137333659E-2</v>
      </c>
      <c r="J409" s="9">
        <v>55.07</v>
      </c>
      <c r="K409" s="9">
        <v>18.736917197719901</v>
      </c>
    </row>
    <row r="410" spans="1:11" ht="12.75" customHeight="1">
      <c r="A410" s="1">
        <v>46191</v>
      </c>
      <c r="B410" s="2">
        <v>1</v>
      </c>
      <c r="C410" s="7">
        <v>-4.03028725074756</v>
      </c>
      <c r="D410" s="7">
        <v>-4.6008170000000002</v>
      </c>
      <c r="E410" s="7">
        <v>0.57052974925243904</v>
      </c>
      <c r="F410" s="7">
        <f t="shared" si="24"/>
        <v>4.03028725074756</v>
      </c>
      <c r="G410" s="7">
        <f t="shared" si="25"/>
        <v>4.6008170000000002</v>
      </c>
      <c r="H410" s="7">
        <f t="shared" si="26"/>
        <v>0.57052974925244015</v>
      </c>
      <c r="I410" s="8">
        <f t="shared" si="27"/>
        <v>0.12400618178302683</v>
      </c>
      <c r="J410" s="9">
        <v>53.87</v>
      </c>
      <c r="K410" s="9">
        <v>30.7344375922289</v>
      </c>
    </row>
    <row r="411" spans="1:11" ht="12.75" customHeight="1">
      <c r="A411" s="1">
        <v>46191</v>
      </c>
      <c r="B411" s="2">
        <v>2</v>
      </c>
      <c r="C411" s="7">
        <v>-3.8776796392415802</v>
      </c>
      <c r="D411" s="7">
        <v>-4.4908270000000003</v>
      </c>
      <c r="E411" s="7">
        <v>0.61314736075842102</v>
      </c>
      <c r="F411" s="7">
        <f t="shared" si="24"/>
        <v>3.8776796392415802</v>
      </c>
      <c r="G411" s="7">
        <f t="shared" si="25"/>
        <v>4.4908270000000003</v>
      </c>
      <c r="H411" s="7">
        <f t="shared" si="26"/>
        <v>0.61314736075842013</v>
      </c>
      <c r="I411" s="8">
        <f t="shared" si="27"/>
        <v>0.13653328457284597</v>
      </c>
      <c r="J411" s="9">
        <v>48.88</v>
      </c>
      <c r="K411" s="9">
        <v>29.9706429938716</v>
      </c>
    </row>
    <row r="412" spans="1:11" ht="12.75" customHeight="1">
      <c r="A412" s="1">
        <v>46191</v>
      </c>
      <c r="B412" s="2">
        <v>3</v>
      </c>
      <c r="C412" s="7">
        <v>-3.7888650451799899</v>
      </c>
      <c r="D412" s="7">
        <v>-4.1847960000000004</v>
      </c>
      <c r="E412" s="7">
        <v>0.395930954820016</v>
      </c>
      <c r="F412" s="7">
        <f t="shared" si="24"/>
        <v>3.7888650451799899</v>
      </c>
      <c r="G412" s="7">
        <f t="shared" si="25"/>
        <v>4.1847960000000004</v>
      </c>
      <c r="H412" s="7">
        <f t="shared" si="26"/>
        <v>0.39593095482001051</v>
      </c>
      <c r="I412" s="8">
        <f t="shared" si="27"/>
        <v>9.4611769562963272E-2</v>
      </c>
      <c r="J412" s="9">
        <v>24.41</v>
      </c>
      <c r="K412" s="9">
        <v>9.6646746071565808</v>
      </c>
    </row>
    <row r="413" spans="1:11" ht="12.75" customHeight="1">
      <c r="A413" s="1">
        <v>46191</v>
      </c>
      <c r="B413" s="2">
        <v>4</v>
      </c>
      <c r="C413" s="7">
        <v>-3.8344007602510999</v>
      </c>
      <c r="D413" s="7">
        <v>-3.9732270000000001</v>
      </c>
      <c r="E413" s="7">
        <v>0.13882623974889599</v>
      </c>
      <c r="F413" s="7">
        <f t="shared" si="24"/>
        <v>3.8344007602510999</v>
      </c>
      <c r="G413" s="7">
        <f t="shared" si="25"/>
        <v>3.9732270000000001</v>
      </c>
      <c r="H413" s="7">
        <f t="shared" si="26"/>
        <v>0.13882623974890018</v>
      </c>
      <c r="I413" s="8">
        <f t="shared" si="27"/>
        <v>3.4940424936430813E-2</v>
      </c>
      <c r="J413" s="9">
        <v>12.62</v>
      </c>
      <c r="K413" s="9">
        <v>1.7519871456310701</v>
      </c>
    </row>
    <row r="414" spans="1:11" ht="12.75" customHeight="1">
      <c r="A414" s="1">
        <v>46191</v>
      </c>
      <c r="B414" s="2">
        <v>5</v>
      </c>
      <c r="C414" s="7">
        <v>-3.8281440373664899</v>
      </c>
      <c r="D414" s="7">
        <v>-3.771363</v>
      </c>
      <c r="E414" s="7">
        <v>-5.6777155366487697E-2</v>
      </c>
      <c r="F414" s="7">
        <f t="shared" si="24"/>
        <v>3.8281440373664899</v>
      </c>
      <c r="G414" s="7">
        <f t="shared" si="25"/>
        <v>3.771363</v>
      </c>
      <c r="H414" s="7">
        <f t="shared" si="26"/>
        <v>5.6781037366489873E-2</v>
      </c>
      <c r="I414" s="8">
        <f t="shared" si="27"/>
        <v>1.5055839855906174E-2</v>
      </c>
      <c r="J414" s="9">
        <v>25.2</v>
      </c>
      <c r="K414" s="9">
        <v>-1.43078431523549</v>
      </c>
    </row>
    <row r="415" spans="1:11" ht="12.75" customHeight="1">
      <c r="A415" s="1">
        <v>46191</v>
      </c>
      <c r="B415" s="2">
        <v>6</v>
      </c>
      <c r="C415" s="7">
        <v>-3.5892566014111602</v>
      </c>
      <c r="D415" s="7">
        <v>-3.793361</v>
      </c>
      <c r="E415" s="7">
        <v>0.21717573958884401</v>
      </c>
      <c r="F415" s="7">
        <f t="shared" si="24"/>
        <v>3.5892566014111602</v>
      </c>
      <c r="G415" s="7">
        <f t="shared" si="25"/>
        <v>3.793361</v>
      </c>
      <c r="H415" s="7">
        <f t="shared" si="26"/>
        <v>0.20410439858883977</v>
      </c>
      <c r="I415" s="8">
        <f t="shared" si="27"/>
        <v>5.3805688039930757E-2</v>
      </c>
      <c r="J415" s="9">
        <v>39.020000000000003</v>
      </c>
      <c r="K415" s="9">
        <v>8.4741973587566903</v>
      </c>
    </row>
    <row r="416" spans="1:11" ht="12.75" customHeight="1">
      <c r="A416" s="1">
        <v>46191</v>
      </c>
      <c r="B416" s="2">
        <v>7</v>
      </c>
      <c r="C416" s="7">
        <v>-3.1082291976826699</v>
      </c>
      <c r="D416" s="7">
        <v>-3.6109070000000001</v>
      </c>
      <c r="E416" s="7">
        <v>0.56382836031733596</v>
      </c>
      <c r="F416" s="7">
        <f t="shared" si="24"/>
        <v>3.1082291976826699</v>
      </c>
      <c r="G416" s="7">
        <f t="shared" si="25"/>
        <v>3.6109070000000001</v>
      </c>
      <c r="H416" s="7">
        <f t="shared" si="26"/>
        <v>0.50267780231733017</v>
      </c>
      <c r="I416" s="8">
        <f t="shared" si="27"/>
        <v>0.13921095235001349</v>
      </c>
      <c r="J416" s="9">
        <v>38.6</v>
      </c>
      <c r="K416" s="9">
        <v>21.763774708249201</v>
      </c>
    </row>
    <row r="417" spans="1:11" ht="12.75" customHeight="1">
      <c r="A417" s="1">
        <v>46191</v>
      </c>
      <c r="B417" s="2">
        <v>8</v>
      </c>
      <c r="C417" s="7">
        <v>-3.08438218180184</v>
      </c>
      <c r="D417" s="7">
        <v>-4.066395</v>
      </c>
      <c r="E417" s="7">
        <v>1.2126663771981601</v>
      </c>
      <c r="F417" s="7">
        <f t="shared" si="24"/>
        <v>3.08438218180184</v>
      </c>
      <c r="G417" s="7">
        <f t="shared" si="25"/>
        <v>4.066395</v>
      </c>
      <c r="H417" s="7">
        <f t="shared" si="26"/>
        <v>0.98201281819816</v>
      </c>
      <c r="I417" s="8">
        <f t="shared" si="27"/>
        <v>0.24149469448938432</v>
      </c>
      <c r="J417" s="9">
        <v>25</v>
      </c>
      <c r="K417" s="9">
        <v>30.316659429953901</v>
      </c>
    </row>
    <row r="418" spans="1:11" ht="12.75" customHeight="1">
      <c r="A418" s="1">
        <v>46191</v>
      </c>
      <c r="B418" s="2">
        <v>9</v>
      </c>
      <c r="C418" s="7">
        <v>-3.6919346458102198</v>
      </c>
      <c r="D418" s="7">
        <v>-4.5374109999999996</v>
      </c>
      <c r="E418" s="7">
        <v>1.25647792818978</v>
      </c>
      <c r="F418" s="7">
        <f t="shared" si="24"/>
        <v>3.6919346458102198</v>
      </c>
      <c r="G418" s="7">
        <f t="shared" si="25"/>
        <v>4.5374109999999996</v>
      </c>
      <c r="H418" s="7">
        <f t="shared" si="26"/>
        <v>0.84547635418977984</v>
      </c>
      <c r="I418" s="8">
        <f t="shared" si="27"/>
        <v>0.18633453178250325</v>
      </c>
      <c r="J418" s="9">
        <v>3.92</v>
      </c>
      <c r="K418" s="9">
        <v>4.9253934785039402</v>
      </c>
    </row>
    <row r="419" spans="1:11" ht="12.75" customHeight="1">
      <c r="A419" s="1">
        <v>46191</v>
      </c>
      <c r="B419" s="2">
        <v>10</v>
      </c>
      <c r="C419" s="7">
        <v>-4.0535770269801201</v>
      </c>
      <c r="D419" s="7">
        <v>-4.2456139999999998</v>
      </c>
      <c r="E419" s="7">
        <v>0.75940615401988298</v>
      </c>
      <c r="F419" s="7">
        <f t="shared" si="24"/>
        <v>4.0535770269801201</v>
      </c>
      <c r="G419" s="7">
        <f t="shared" si="25"/>
        <v>4.2456139999999998</v>
      </c>
      <c r="H419" s="7">
        <f t="shared" si="26"/>
        <v>0.19203697301987965</v>
      </c>
      <c r="I419" s="8">
        <f t="shared" si="27"/>
        <v>4.5231849390896028E-2</v>
      </c>
      <c r="J419" s="9">
        <v>7.35</v>
      </c>
      <c r="K419" s="9">
        <v>5.58163523204614</v>
      </c>
    </row>
    <row r="420" spans="1:11" ht="12.75" customHeight="1">
      <c r="A420" s="1">
        <v>46191</v>
      </c>
      <c r="B420" s="2">
        <v>11</v>
      </c>
      <c r="C420" s="7">
        <v>-4.5704428324455302</v>
      </c>
      <c r="D420" s="7">
        <v>-3.74613</v>
      </c>
      <c r="E420" s="7">
        <v>-0.37209735844553199</v>
      </c>
      <c r="F420" s="7">
        <f t="shared" si="24"/>
        <v>4.5704428324455302</v>
      </c>
      <c r="G420" s="7">
        <f t="shared" si="25"/>
        <v>3.74613</v>
      </c>
      <c r="H420" s="7">
        <f t="shared" si="26"/>
        <v>0.82431283244553022</v>
      </c>
      <c r="I420" s="8">
        <f t="shared" si="27"/>
        <v>0.22004384056226833</v>
      </c>
      <c r="J420" s="9">
        <v>18.829999999999998</v>
      </c>
      <c r="K420" s="9">
        <v>-7.0065932595293701</v>
      </c>
    </row>
    <row r="421" spans="1:11" ht="12.75" customHeight="1">
      <c r="A421" s="1">
        <v>46191</v>
      </c>
      <c r="B421" s="2">
        <v>12</v>
      </c>
      <c r="C421" s="7">
        <v>-5.0342773935313501</v>
      </c>
      <c r="D421" s="7">
        <v>-3.7590699999999999</v>
      </c>
      <c r="E421" s="7">
        <v>-0.90351624553134602</v>
      </c>
      <c r="F421" s="7">
        <f t="shared" si="24"/>
        <v>5.0342773935313501</v>
      </c>
      <c r="G421" s="7">
        <f t="shared" si="25"/>
        <v>3.7590699999999999</v>
      </c>
      <c r="H421" s="7">
        <f t="shared" si="26"/>
        <v>1.2752073935313502</v>
      </c>
      <c r="I421" s="8">
        <f t="shared" si="27"/>
        <v>0.33923480901695102</v>
      </c>
      <c r="J421" s="9">
        <v>14.86</v>
      </c>
      <c r="K421" s="9">
        <v>-13.4262514085958</v>
      </c>
    </row>
    <row r="422" spans="1:11" ht="12.75" customHeight="1">
      <c r="A422" s="1">
        <v>46191</v>
      </c>
      <c r="B422" s="2">
        <v>13</v>
      </c>
      <c r="C422" s="7">
        <v>-4.7176745712739203</v>
      </c>
      <c r="D422" s="7">
        <v>-3.7629519999999999</v>
      </c>
      <c r="E422" s="7">
        <v>-0.54067103927392102</v>
      </c>
      <c r="F422" s="7">
        <f t="shared" si="24"/>
        <v>4.7176745712739203</v>
      </c>
      <c r="G422" s="7">
        <f t="shared" si="25"/>
        <v>3.7629519999999999</v>
      </c>
      <c r="H422" s="7">
        <f t="shared" si="26"/>
        <v>0.95472257127392046</v>
      </c>
      <c r="I422" s="8">
        <f t="shared" si="27"/>
        <v>0.25371638311461864</v>
      </c>
      <c r="J422" s="9">
        <v>6.81</v>
      </c>
      <c r="K422" s="9">
        <v>-3.6819697774554001</v>
      </c>
    </row>
    <row r="423" spans="1:11" ht="12.75" customHeight="1">
      <c r="A423" s="1">
        <v>46191</v>
      </c>
      <c r="B423" s="2">
        <v>14</v>
      </c>
      <c r="C423" s="7">
        <v>-5.0133318635548703</v>
      </c>
      <c r="D423" s="7">
        <v>-3.7674810000000001</v>
      </c>
      <c r="E423" s="7">
        <v>-0.92004948455486601</v>
      </c>
      <c r="F423" s="7">
        <f t="shared" si="24"/>
        <v>5.0133318635548703</v>
      </c>
      <c r="G423" s="7">
        <f t="shared" si="25"/>
        <v>3.7674810000000001</v>
      </c>
      <c r="H423" s="7">
        <f t="shared" si="26"/>
        <v>1.2458508635548702</v>
      </c>
      <c r="I423" s="8">
        <f t="shared" si="27"/>
        <v>0.33068537400848741</v>
      </c>
      <c r="J423" s="9">
        <v>16.579999999999998</v>
      </c>
      <c r="K423" s="9">
        <v>-15.2544204539197</v>
      </c>
    </row>
    <row r="424" spans="1:11" ht="12.75" customHeight="1">
      <c r="A424" s="1">
        <v>46191</v>
      </c>
      <c r="B424" s="2">
        <v>15</v>
      </c>
      <c r="C424" s="7">
        <v>-4.6764551911281096</v>
      </c>
      <c r="D424" s="7">
        <v>-3.9674040000000002</v>
      </c>
      <c r="E424" s="7">
        <v>-0.268055344128108</v>
      </c>
      <c r="F424" s="7">
        <f t="shared" si="24"/>
        <v>4.6764551911281096</v>
      </c>
      <c r="G424" s="7">
        <f t="shared" si="25"/>
        <v>3.9674040000000002</v>
      </c>
      <c r="H424" s="7">
        <f t="shared" si="26"/>
        <v>0.70905119112810944</v>
      </c>
      <c r="I424" s="8">
        <f t="shared" si="27"/>
        <v>0.17871918038296816</v>
      </c>
      <c r="J424" s="9">
        <v>3.85</v>
      </c>
      <c r="K424" s="9">
        <v>-1.0320130748932199</v>
      </c>
    </row>
    <row r="425" spans="1:11" ht="12.75" customHeight="1">
      <c r="A425" s="1">
        <v>46191</v>
      </c>
      <c r="B425" s="2">
        <v>16</v>
      </c>
      <c r="C425" s="7">
        <v>-4.6878844575637899</v>
      </c>
      <c r="D425" s="7">
        <v>-4.1226839999999996</v>
      </c>
      <c r="E425" s="7">
        <v>-0.113000511563789</v>
      </c>
      <c r="F425" s="7">
        <f t="shared" si="24"/>
        <v>4.6878844575637899</v>
      </c>
      <c r="G425" s="7">
        <f t="shared" si="25"/>
        <v>4.1226839999999996</v>
      </c>
      <c r="H425" s="7">
        <f t="shared" si="26"/>
        <v>0.56520045756379034</v>
      </c>
      <c r="I425" s="8">
        <f t="shared" si="27"/>
        <v>0.13709526550271386</v>
      </c>
      <c r="J425" s="9">
        <v>32.92</v>
      </c>
      <c r="K425" s="9">
        <v>-3.7199768406799398</v>
      </c>
    </row>
    <row r="426" spans="1:11" ht="12.75" customHeight="1">
      <c r="A426" s="1">
        <v>46191</v>
      </c>
      <c r="B426" s="2">
        <v>17</v>
      </c>
      <c r="C426" s="7">
        <v>-4.4667608316293199</v>
      </c>
      <c r="D426" s="7">
        <v>-4.2967269999999997</v>
      </c>
      <c r="E426" s="7">
        <v>0.30034357937068301</v>
      </c>
      <c r="F426" s="7">
        <f t="shared" si="24"/>
        <v>4.4667608316293199</v>
      </c>
      <c r="G426" s="7">
        <f t="shared" si="25"/>
        <v>4.2967269999999997</v>
      </c>
      <c r="H426" s="7">
        <f t="shared" si="26"/>
        <v>0.17003383162932018</v>
      </c>
      <c r="I426" s="8">
        <f t="shared" si="27"/>
        <v>3.9572872940105384E-2</v>
      </c>
      <c r="J426" s="9">
        <v>35.51</v>
      </c>
      <c r="K426" s="9">
        <v>10.665200503452899</v>
      </c>
    </row>
    <row r="427" spans="1:11" ht="12.75" customHeight="1">
      <c r="A427" s="1">
        <v>46191</v>
      </c>
      <c r="B427" s="2">
        <v>18</v>
      </c>
      <c r="C427" s="7">
        <v>-4.9079094260779002</v>
      </c>
      <c r="D427" s="7">
        <v>-4.6739280000000001</v>
      </c>
      <c r="E427" s="7">
        <v>1.6800949922103601E-2</v>
      </c>
      <c r="F427" s="7">
        <f t="shared" si="24"/>
        <v>4.9079094260779002</v>
      </c>
      <c r="G427" s="7">
        <f t="shared" si="25"/>
        <v>4.6739280000000001</v>
      </c>
      <c r="H427" s="7">
        <f t="shared" si="26"/>
        <v>0.23398142607790007</v>
      </c>
      <c r="I427" s="8">
        <f t="shared" si="27"/>
        <v>5.0060982128500922E-2</v>
      </c>
      <c r="J427" s="9">
        <v>45.13</v>
      </c>
      <c r="K427" s="9">
        <v>0.75822686998453603</v>
      </c>
    </row>
    <row r="428" spans="1:11" ht="12.75" customHeight="1">
      <c r="A428" s="1">
        <v>46191</v>
      </c>
      <c r="B428" s="2">
        <v>19</v>
      </c>
      <c r="C428" s="7">
        <v>-5.13582063446764</v>
      </c>
      <c r="D428" s="7">
        <v>-5.1869990000000001</v>
      </c>
      <c r="E428" s="7">
        <v>0.118633938532362</v>
      </c>
      <c r="F428" s="7">
        <f t="shared" si="24"/>
        <v>5.13582063446764</v>
      </c>
      <c r="G428" s="7">
        <f t="shared" si="25"/>
        <v>5.1869990000000001</v>
      </c>
      <c r="H428" s="7">
        <f t="shared" si="26"/>
        <v>5.1178365532360104E-2</v>
      </c>
      <c r="I428" s="8">
        <f t="shared" si="27"/>
        <v>9.8666619238523285E-3</v>
      </c>
      <c r="J428" s="9">
        <v>54.73</v>
      </c>
      <c r="K428" s="9">
        <v>6.4928354558761798</v>
      </c>
    </row>
    <row r="429" spans="1:11" ht="12.75" customHeight="1">
      <c r="A429" s="1">
        <v>46191</v>
      </c>
      <c r="B429" s="2">
        <v>20</v>
      </c>
      <c r="C429" s="7">
        <v>-5.7774372808096297</v>
      </c>
      <c r="D429" s="7">
        <v>-6.0209820000000001</v>
      </c>
      <c r="E429" s="7">
        <v>0.26175000519036801</v>
      </c>
      <c r="F429" s="7">
        <f t="shared" si="24"/>
        <v>5.7774372808096297</v>
      </c>
      <c r="G429" s="7">
        <f t="shared" si="25"/>
        <v>6.0209820000000001</v>
      </c>
      <c r="H429" s="7">
        <f t="shared" si="26"/>
        <v>0.24354471919037035</v>
      </c>
      <c r="I429" s="8">
        <f t="shared" si="27"/>
        <v>4.0449335206511221E-2</v>
      </c>
      <c r="J429" s="9">
        <v>52.65</v>
      </c>
      <c r="K429" s="9">
        <v>13.781137773272899</v>
      </c>
    </row>
    <row r="430" spans="1:11" ht="12.75" customHeight="1">
      <c r="A430" s="1">
        <v>46191</v>
      </c>
      <c r="B430" s="2">
        <v>21</v>
      </c>
      <c r="C430" s="7">
        <v>-6.1265454371402797</v>
      </c>
      <c r="D430" s="7">
        <v>-6.4408849999999997</v>
      </c>
      <c r="E430" s="7">
        <v>0.31433956285971598</v>
      </c>
      <c r="F430" s="7">
        <f t="shared" si="24"/>
        <v>6.1265454371402797</v>
      </c>
      <c r="G430" s="7">
        <f t="shared" si="25"/>
        <v>6.4408849999999997</v>
      </c>
      <c r="H430" s="7">
        <f t="shared" si="26"/>
        <v>0.31433956285972009</v>
      </c>
      <c r="I430" s="8">
        <f t="shared" si="27"/>
        <v>4.880378439604497E-2</v>
      </c>
      <c r="J430" s="9">
        <v>50</v>
      </c>
      <c r="K430" s="9">
        <v>15.7169781429858</v>
      </c>
    </row>
    <row r="431" spans="1:11" ht="12.75" customHeight="1">
      <c r="A431" s="1">
        <v>46191</v>
      </c>
      <c r="B431" s="2">
        <v>22</v>
      </c>
      <c r="C431" s="7">
        <v>-6.0622026415113002</v>
      </c>
      <c r="D431" s="7">
        <v>-6.2668419999999996</v>
      </c>
      <c r="E431" s="7">
        <v>0.20463935848869699</v>
      </c>
      <c r="F431" s="7">
        <f t="shared" si="24"/>
        <v>6.0622026415113002</v>
      </c>
      <c r="G431" s="7">
        <f t="shared" si="25"/>
        <v>6.2668419999999996</v>
      </c>
      <c r="H431" s="7">
        <f t="shared" si="26"/>
        <v>0.20463935848869941</v>
      </c>
      <c r="I431" s="8">
        <f t="shared" si="27"/>
        <v>3.2654303154395693E-2</v>
      </c>
      <c r="J431" s="9">
        <v>56.48</v>
      </c>
      <c r="K431" s="9">
        <v>11.558030967441599</v>
      </c>
    </row>
    <row r="432" spans="1:11" ht="12.75" customHeight="1">
      <c r="A432" s="1">
        <v>46191</v>
      </c>
      <c r="B432" s="2">
        <v>23</v>
      </c>
      <c r="C432" s="7">
        <v>-5.1986447803945701</v>
      </c>
      <c r="D432" s="7">
        <v>-5.5415549999999998</v>
      </c>
      <c r="E432" s="7">
        <v>0.342910219605431</v>
      </c>
      <c r="F432" s="7">
        <f t="shared" si="24"/>
        <v>5.1986447803945701</v>
      </c>
      <c r="G432" s="7">
        <f t="shared" si="25"/>
        <v>5.5415549999999998</v>
      </c>
      <c r="H432" s="7">
        <f t="shared" si="26"/>
        <v>0.34291021960542967</v>
      </c>
      <c r="I432" s="8">
        <f t="shared" si="27"/>
        <v>6.1879782769534847E-2</v>
      </c>
      <c r="J432" s="9">
        <v>64.510000000000005</v>
      </c>
      <c r="K432" s="9">
        <v>22.121138266746399</v>
      </c>
    </row>
    <row r="433" spans="1:11" ht="12.75" customHeight="1">
      <c r="A433" s="1">
        <v>46191</v>
      </c>
      <c r="B433" s="2">
        <v>24</v>
      </c>
      <c r="C433" s="7">
        <v>-4.3787610174520202</v>
      </c>
      <c r="D433" s="7">
        <v>-4.6066399999999996</v>
      </c>
      <c r="E433" s="7">
        <v>0.227878982547979</v>
      </c>
      <c r="F433" s="7">
        <f t="shared" si="24"/>
        <v>4.3787610174520202</v>
      </c>
      <c r="G433" s="7">
        <f t="shared" si="25"/>
        <v>4.6066399999999996</v>
      </c>
      <c r="H433" s="7">
        <f t="shared" si="26"/>
        <v>0.22787898254797945</v>
      </c>
      <c r="I433" s="8">
        <f t="shared" si="27"/>
        <v>4.9467503982941897E-2</v>
      </c>
      <c r="J433" s="9">
        <v>53.43</v>
      </c>
      <c r="K433" s="9">
        <v>12.1755740375385</v>
      </c>
    </row>
    <row r="434" spans="1:11" ht="12.75" customHeight="1">
      <c r="A434" s="1">
        <v>46192</v>
      </c>
      <c r="B434" s="2">
        <v>1</v>
      </c>
      <c r="C434" s="7">
        <v>-3.9635527096939702</v>
      </c>
      <c r="D434" s="7">
        <v>-4.0993919999999999</v>
      </c>
      <c r="E434" s="7">
        <v>0.13583929030603301</v>
      </c>
      <c r="F434" s="7">
        <f t="shared" si="24"/>
        <v>3.9635527096939702</v>
      </c>
      <c r="G434" s="7">
        <f t="shared" si="25"/>
        <v>4.0993919999999999</v>
      </c>
      <c r="H434" s="7">
        <f t="shared" si="26"/>
        <v>0.1358392903060297</v>
      </c>
      <c r="I434" s="8">
        <f t="shared" si="27"/>
        <v>3.3136448113776314E-2</v>
      </c>
      <c r="J434" s="9">
        <v>96.44</v>
      </c>
      <c r="K434" s="9">
        <v>13.1003411571138</v>
      </c>
    </row>
    <row r="435" spans="1:11" ht="12.75" customHeight="1">
      <c r="A435" s="1">
        <v>46192</v>
      </c>
      <c r="B435" s="2">
        <v>2</v>
      </c>
      <c r="C435" s="7">
        <v>-3.8099807457204999</v>
      </c>
      <c r="D435" s="7">
        <v>-3.8567670000000001</v>
      </c>
      <c r="E435" s="7">
        <v>4.6786254279502101E-2</v>
      </c>
      <c r="F435" s="7">
        <f t="shared" si="24"/>
        <v>3.8099807457204999</v>
      </c>
      <c r="G435" s="7">
        <f t="shared" si="25"/>
        <v>3.8567670000000001</v>
      </c>
      <c r="H435" s="7">
        <f t="shared" si="26"/>
        <v>4.6786254279500117E-2</v>
      </c>
      <c r="I435" s="8">
        <f t="shared" si="27"/>
        <v>1.2130951721869669E-2</v>
      </c>
      <c r="J435" s="9">
        <v>100.74</v>
      </c>
      <c r="K435" s="9">
        <v>4.7132472561170404</v>
      </c>
    </row>
    <row r="436" spans="1:11" ht="12.75" customHeight="1">
      <c r="A436" s="1">
        <v>46192</v>
      </c>
      <c r="B436" s="2">
        <v>3</v>
      </c>
      <c r="C436" s="7">
        <v>-3.7411248724581601</v>
      </c>
      <c r="D436" s="7">
        <v>-3.8308870000000002</v>
      </c>
      <c r="E436" s="7">
        <v>8.9762127541837697E-2</v>
      </c>
      <c r="F436" s="7">
        <f t="shared" si="24"/>
        <v>3.7411248724581601</v>
      </c>
      <c r="G436" s="7">
        <f t="shared" si="25"/>
        <v>3.8308870000000002</v>
      </c>
      <c r="H436" s="7">
        <f t="shared" si="26"/>
        <v>8.9762127541840098E-2</v>
      </c>
      <c r="I436" s="8">
        <f t="shared" si="27"/>
        <v>2.3431160340109246E-2</v>
      </c>
      <c r="J436" s="9">
        <v>90.75</v>
      </c>
      <c r="K436" s="9">
        <v>8.1459130744217703</v>
      </c>
    </row>
    <row r="437" spans="1:11" ht="12.75" customHeight="1">
      <c r="A437" s="1">
        <v>46192</v>
      </c>
      <c r="B437" s="2">
        <v>4</v>
      </c>
      <c r="C437" s="7">
        <v>-3.79985950782129</v>
      </c>
      <c r="D437" s="7">
        <v>-3.813418</v>
      </c>
      <c r="E437" s="7">
        <v>1.3558492178708E-2</v>
      </c>
      <c r="F437" s="7">
        <f t="shared" si="24"/>
        <v>3.79985950782129</v>
      </c>
      <c r="G437" s="7">
        <f t="shared" si="25"/>
        <v>3.813418</v>
      </c>
      <c r="H437" s="7">
        <f t="shared" si="26"/>
        <v>1.3558492178709969E-2</v>
      </c>
      <c r="I437" s="8">
        <f t="shared" si="27"/>
        <v>3.5554697068902411E-3</v>
      </c>
      <c r="J437" s="9">
        <v>86.57</v>
      </c>
      <c r="K437" s="9">
        <v>1.1737586679107499</v>
      </c>
    </row>
    <row r="438" spans="1:11" ht="12.75" customHeight="1">
      <c r="A438" s="1">
        <v>46192</v>
      </c>
      <c r="B438" s="2">
        <v>5</v>
      </c>
      <c r="C438" s="7">
        <v>-3.6812644690437799</v>
      </c>
      <c r="D438" s="7">
        <v>-3.8160059999999998</v>
      </c>
      <c r="E438" s="7">
        <v>0.13474153095622499</v>
      </c>
      <c r="F438" s="7">
        <f t="shared" si="24"/>
        <v>3.6812644690437799</v>
      </c>
      <c r="G438" s="7">
        <f t="shared" si="25"/>
        <v>3.8160059999999998</v>
      </c>
      <c r="H438" s="7">
        <f t="shared" si="26"/>
        <v>0.13474153095621988</v>
      </c>
      <c r="I438" s="8">
        <f t="shared" si="27"/>
        <v>3.5309569994444422E-2</v>
      </c>
      <c r="J438" s="9">
        <v>89.54</v>
      </c>
      <c r="K438" s="9">
        <v>12.0647566818204</v>
      </c>
    </row>
    <row r="439" spans="1:11" ht="12.75" customHeight="1">
      <c r="A439" s="1">
        <v>46192</v>
      </c>
      <c r="B439" s="2">
        <v>6</v>
      </c>
      <c r="C439" s="7">
        <v>-3.3233592639240199</v>
      </c>
      <c r="D439" s="7">
        <v>-3.5436190000000001</v>
      </c>
      <c r="E439" s="7">
        <v>0.23693551407598101</v>
      </c>
      <c r="F439" s="7">
        <f t="shared" si="24"/>
        <v>3.3233592639240199</v>
      </c>
      <c r="G439" s="7">
        <f t="shared" si="25"/>
        <v>3.5436190000000001</v>
      </c>
      <c r="H439" s="7">
        <f t="shared" si="26"/>
        <v>0.22025973607598015</v>
      </c>
      <c r="I439" s="8">
        <f t="shared" si="27"/>
        <v>6.2156720594392381E-2</v>
      </c>
      <c r="J439" s="9">
        <v>98.45</v>
      </c>
      <c r="K439" s="9">
        <v>23.326301360780299</v>
      </c>
    </row>
    <row r="440" spans="1:11" ht="12.75" customHeight="1">
      <c r="A440" s="1">
        <v>46192</v>
      </c>
      <c r="B440" s="2">
        <v>7</v>
      </c>
      <c r="C440" s="7">
        <v>-2.9631125481420799</v>
      </c>
      <c r="D440" s="7">
        <v>-3.2459989999999999</v>
      </c>
      <c r="E440" s="7">
        <v>0.43755891885791898</v>
      </c>
      <c r="F440" s="7">
        <f t="shared" si="24"/>
        <v>2.9631125481420799</v>
      </c>
      <c r="G440" s="7">
        <f t="shared" si="25"/>
        <v>3.2459989999999999</v>
      </c>
      <c r="H440" s="7">
        <f t="shared" si="26"/>
        <v>0.28288645185791994</v>
      </c>
      <c r="I440" s="8">
        <f t="shared" si="27"/>
        <v>8.7149272645469067E-2</v>
      </c>
      <c r="J440" s="9">
        <v>65.209999999999994</v>
      </c>
      <c r="K440" s="9">
        <v>28.533217098724901</v>
      </c>
    </row>
    <row r="441" spans="1:11" ht="12.75" customHeight="1">
      <c r="A441" s="1">
        <v>46192</v>
      </c>
      <c r="B441" s="2">
        <v>8</v>
      </c>
      <c r="C441" s="7">
        <v>-3.0578765589572501</v>
      </c>
      <c r="D441" s="7">
        <v>-3.7597170000000002</v>
      </c>
      <c r="E441" s="7">
        <v>1.07118686104275</v>
      </c>
      <c r="F441" s="7">
        <f t="shared" si="24"/>
        <v>3.0578765589572501</v>
      </c>
      <c r="G441" s="7">
        <f t="shared" si="25"/>
        <v>3.7597170000000002</v>
      </c>
      <c r="H441" s="7">
        <f t="shared" si="26"/>
        <v>0.70184044104275012</v>
      </c>
      <c r="I441" s="8">
        <f t="shared" si="27"/>
        <v>0.18667374194460648</v>
      </c>
      <c r="J441" s="9">
        <v>13.85</v>
      </c>
      <c r="K441" s="9">
        <v>14.8359380254421</v>
      </c>
    </row>
    <row r="442" spans="1:11" ht="12.75" customHeight="1">
      <c r="A442" s="1">
        <v>46192</v>
      </c>
      <c r="B442" s="2">
        <v>9</v>
      </c>
      <c r="C442" s="7">
        <v>-3.6394784910632598</v>
      </c>
      <c r="D442" s="7">
        <v>-4.1369179999999997</v>
      </c>
      <c r="E442" s="7">
        <v>1.05413642493675</v>
      </c>
      <c r="F442" s="7">
        <f t="shared" si="24"/>
        <v>3.6394784910632598</v>
      </c>
      <c r="G442" s="7">
        <f t="shared" si="25"/>
        <v>4.1369179999999997</v>
      </c>
      <c r="H442" s="7">
        <f t="shared" si="26"/>
        <v>0.49743950893673983</v>
      </c>
      <c r="I442" s="8">
        <f t="shared" si="27"/>
        <v>0.12024398572481733</v>
      </c>
      <c r="J442" s="9">
        <v>12.39</v>
      </c>
      <c r="K442" s="9">
        <v>13.0607503049663</v>
      </c>
    </row>
    <row r="443" spans="1:11" ht="12.75" customHeight="1">
      <c r="A443" s="1">
        <v>46192</v>
      </c>
      <c r="B443" s="2">
        <v>10</v>
      </c>
      <c r="C443" s="7">
        <v>-4.1016380614821299</v>
      </c>
      <c r="D443" s="7">
        <v>-4.0631599999999999</v>
      </c>
      <c r="E443" s="7">
        <v>0.68542824051786999</v>
      </c>
      <c r="F443" s="7">
        <f t="shared" si="24"/>
        <v>4.1016380614821299</v>
      </c>
      <c r="G443" s="7">
        <f t="shared" si="25"/>
        <v>4.0631599999999999</v>
      </c>
      <c r="H443" s="7">
        <f t="shared" si="26"/>
        <v>3.8478061482130066E-2</v>
      </c>
      <c r="I443" s="8">
        <f t="shared" si="27"/>
        <v>9.4699843181489454E-3</v>
      </c>
      <c r="J443" s="9">
        <v>9.92</v>
      </c>
      <c r="K443" s="9">
        <v>6.7994481459372702</v>
      </c>
    </row>
    <row r="444" spans="1:11" ht="12.75" customHeight="1">
      <c r="A444" s="1">
        <v>46192</v>
      </c>
      <c r="B444" s="2">
        <v>11</v>
      </c>
      <c r="C444" s="7">
        <v>-4.0958164603902096</v>
      </c>
      <c r="D444" s="7">
        <v>-3.6316109999999999</v>
      </c>
      <c r="E444" s="7">
        <v>0.34023163760979203</v>
      </c>
      <c r="F444" s="7">
        <f t="shared" si="24"/>
        <v>4.0958164603902096</v>
      </c>
      <c r="G444" s="7">
        <f t="shared" si="25"/>
        <v>3.6316109999999999</v>
      </c>
      <c r="H444" s="7">
        <f t="shared" si="26"/>
        <v>0.46420546039020971</v>
      </c>
      <c r="I444" s="8">
        <f t="shared" si="27"/>
        <v>0.12782356380961774</v>
      </c>
      <c r="J444" s="9">
        <v>30.23</v>
      </c>
      <c r="K444" s="9">
        <v>10.285202404944</v>
      </c>
    </row>
    <row r="445" spans="1:11" ht="12.75" customHeight="1">
      <c r="A445" s="1">
        <v>46192</v>
      </c>
      <c r="B445" s="2">
        <v>12</v>
      </c>
      <c r="C445" s="7">
        <v>-4.1945184566243299</v>
      </c>
      <c r="D445" s="7">
        <v>-3.6309640000000001</v>
      </c>
      <c r="E445" s="7">
        <v>0.30309427937566802</v>
      </c>
      <c r="F445" s="7">
        <f t="shared" si="24"/>
        <v>4.1945184566243299</v>
      </c>
      <c r="G445" s="7">
        <f t="shared" si="25"/>
        <v>3.6309640000000001</v>
      </c>
      <c r="H445" s="7">
        <f t="shared" si="26"/>
        <v>0.56355445662432979</v>
      </c>
      <c r="I445" s="8">
        <f t="shared" si="27"/>
        <v>0.15520794384750985</v>
      </c>
      <c r="J445" s="9">
        <v>39.6</v>
      </c>
      <c r="K445" s="9">
        <v>12.0025334632764</v>
      </c>
    </row>
    <row r="446" spans="1:11" ht="12.75" customHeight="1">
      <c r="A446" s="1">
        <v>46192</v>
      </c>
      <c r="B446" s="2">
        <v>13</v>
      </c>
      <c r="C446" s="7">
        <v>-4.1774858315155203</v>
      </c>
      <c r="D446" s="7">
        <v>-3.6413160000000002</v>
      </c>
      <c r="E446" s="7">
        <v>0.31246771848448102</v>
      </c>
      <c r="F446" s="7">
        <f t="shared" si="24"/>
        <v>4.1774858315155203</v>
      </c>
      <c r="G446" s="7">
        <f t="shared" si="25"/>
        <v>3.6413160000000002</v>
      </c>
      <c r="H446" s="7">
        <f t="shared" si="26"/>
        <v>0.53616983151552011</v>
      </c>
      <c r="I446" s="8">
        <f t="shared" si="27"/>
        <v>0.14724616910905838</v>
      </c>
      <c r="J446" s="9">
        <v>10.8</v>
      </c>
      <c r="K446" s="9">
        <v>3.3746513596323999</v>
      </c>
    </row>
    <row r="447" spans="1:11" ht="12.75" customHeight="1">
      <c r="A447" s="1">
        <v>46192</v>
      </c>
      <c r="B447" s="2">
        <v>14</v>
      </c>
      <c r="C447" s="7">
        <v>-4.1488415320675198</v>
      </c>
      <c r="D447" s="7">
        <v>-3.6594319999999998</v>
      </c>
      <c r="E447" s="7">
        <v>0.34067011693247601</v>
      </c>
      <c r="F447" s="7">
        <f t="shared" si="24"/>
        <v>4.1488415320675198</v>
      </c>
      <c r="G447" s="7">
        <f t="shared" si="25"/>
        <v>3.6594319999999998</v>
      </c>
      <c r="H447" s="7">
        <f t="shared" si="26"/>
        <v>0.48940953206752003</v>
      </c>
      <c r="I447" s="8">
        <f t="shared" si="27"/>
        <v>0.13373920654011881</v>
      </c>
      <c r="J447" s="9">
        <v>35.31</v>
      </c>
      <c r="K447" s="9">
        <v>12.0290618288857</v>
      </c>
    </row>
    <row r="448" spans="1:11" ht="12.75" customHeight="1">
      <c r="A448" s="1">
        <v>46192</v>
      </c>
      <c r="B448" s="2">
        <v>15</v>
      </c>
      <c r="C448" s="7">
        <v>-4.4003574804362797</v>
      </c>
      <c r="D448" s="7">
        <v>-3.9337599999999999</v>
      </c>
      <c r="E448" s="7">
        <v>0.209641743563723</v>
      </c>
      <c r="F448" s="7">
        <f t="shared" si="24"/>
        <v>4.4003574804362797</v>
      </c>
      <c r="G448" s="7">
        <f t="shared" si="25"/>
        <v>3.9337599999999999</v>
      </c>
      <c r="H448" s="7">
        <f t="shared" si="26"/>
        <v>0.4665974804362798</v>
      </c>
      <c r="I448" s="8">
        <f t="shared" si="27"/>
        <v>0.11861361151577113</v>
      </c>
      <c r="J448" s="9">
        <v>39.020000000000003</v>
      </c>
      <c r="K448" s="9">
        <v>8.1802208338564597</v>
      </c>
    </row>
    <row r="449" spans="1:11" ht="12.75" customHeight="1">
      <c r="A449" s="1">
        <v>46192</v>
      </c>
      <c r="B449" s="2">
        <v>16</v>
      </c>
      <c r="C449" s="7">
        <v>-4.5984783331472903</v>
      </c>
      <c r="D449" s="7">
        <v>-4.2598479999999999</v>
      </c>
      <c r="E449" s="7">
        <v>0.25814887985271201</v>
      </c>
      <c r="F449" s="7">
        <f t="shared" si="24"/>
        <v>4.5984783331472903</v>
      </c>
      <c r="G449" s="7">
        <f t="shared" si="25"/>
        <v>4.2598479999999999</v>
      </c>
      <c r="H449" s="7">
        <f t="shared" si="26"/>
        <v>0.33863033314729041</v>
      </c>
      <c r="I449" s="8">
        <f t="shared" si="27"/>
        <v>7.9493524920910427E-2</v>
      </c>
      <c r="J449" s="9">
        <v>55.64</v>
      </c>
      <c r="K449" s="9">
        <v>14.3634036750049</v>
      </c>
    </row>
    <row r="450" spans="1:11" ht="12.75" customHeight="1">
      <c r="A450" s="1">
        <v>46192</v>
      </c>
      <c r="B450" s="2">
        <v>17</v>
      </c>
      <c r="C450" s="7">
        <v>-4.5411092350336402</v>
      </c>
      <c r="D450" s="7">
        <v>-4.404776</v>
      </c>
      <c r="E450" s="7">
        <v>0.25722521896635903</v>
      </c>
      <c r="F450" s="7">
        <f t="shared" ref="F450:F513" si="28">ABS(C450)</f>
        <v>4.5411092350336402</v>
      </c>
      <c r="G450" s="7">
        <f t="shared" ref="G450:G513" si="29">ABS(D450)</f>
        <v>4.404776</v>
      </c>
      <c r="H450" s="7">
        <f t="shared" ref="H450:H513" si="30">ABS(G450-F450)</f>
        <v>0.13633323503364014</v>
      </c>
      <c r="I450" s="8">
        <f t="shared" ref="I450:I513" si="31">H450/G450</f>
        <v>3.0951229990728277E-2</v>
      </c>
      <c r="J450" s="9">
        <v>40.39</v>
      </c>
      <c r="K450" s="9">
        <v>10.389326594051299</v>
      </c>
    </row>
    <row r="451" spans="1:11" ht="12.75" customHeight="1">
      <c r="A451" s="1">
        <v>46192</v>
      </c>
      <c r="B451" s="2">
        <v>18</v>
      </c>
      <c r="C451" s="7">
        <v>-4.7824061163595601</v>
      </c>
      <c r="D451" s="7">
        <v>-4.6131099999999998</v>
      </c>
      <c r="E451" s="7">
        <v>8.3655650640439103E-2</v>
      </c>
      <c r="F451" s="7">
        <f t="shared" si="28"/>
        <v>4.7824061163595601</v>
      </c>
      <c r="G451" s="7">
        <f t="shared" si="29"/>
        <v>4.6131099999999998</v>
      </c>
      <c r="H451" s="7">
        <f t="shared" si="30"/>
        <v>0.16929611635956032</v>
      </c>
      <c r="I451" s="8">
        <f t="shared" si="31"/>
        <v>3.6698911658200287E-2</v>
      </c>
      <c r="J451" s="9">
        <v>52.26</v>
      </c>
      <c r="K451" s="9">
        <v>4.3718443024693503</v>
      </c>
    </row>
    <row r="452" spans="1:11" ht="12.75" customHeight="1">
      <c r="A452" s="1">
        <v>46192</v>
      </c>
      <c r="B452" s="2">
        <v>19</v>
      </c>
      <c r="C452" s="7">
        <v>-5.0354037974286197</v>
      </c>
      <c r="D452" s="7">
        <v>-4.925611</v>
      </c>
      <c r="E452" s="7">
        <v>-5.2002757428620802E-2</v>
      </c>
      <c r="F452" s="7">
        <f t="shared" si="28"/>
        <v>5.0354037974286197</v>
      </c>
      <c r="G452" s="7">
        <f t="shared" si="29"/>
        <v>4.925611</v>
      </c>
      <c r="H452" s="7">
        <f t="shared" si="30"/>
        <v>0.10979279742861969</v>
      </c>
      <c r="I452" s="8">
        <f t="shared" si="31"/>
        <v>2.2290188451467179E-2</v>
      </c>
      <c r="J452" s="9">
        <v>134.61000000000001</v>
      </c>
      <c r="K452" s="9">
        <v>-7.0000911774666497</v>
      </c>
    </row>
    <row r="453" spans="1:11" ht="12.75" customHeight="1">
      <c r="A453" s="1">
        <v>46192</v>
      </c>
      <c r="B453" s="2">
        <v>20</v>
      </c>
      <c r="C453" s="7">
        <v>-5.8595551604770604</v>
      </c>
      <c r="D453" s="7">
        <v>-6.0300399999999996</v>
      </c>
      <c r="E453" s="7">
        <v>0.18107234752293799</v>
      </c>
      <c r="F453" s="7">
        <f t="shared" si="28"/>
        <v>5.8595551604770604</v>
      </c>
      <c r="G453" s="7">
        <f t="shared" si="29"/>
        <v>6.0300399999999996</v>
      </c>
      <c r="H453" s="7">
        <f t="shared" si="30"/>
        <v>0.17048483952293925</v>
      </c>
      <c r="I453" s="8">
        <f t="shared" si="31"/>
        <v>2.8272588494096102E-2</v>
      </c>
      <c r="J453" s="9">
        <v>144.11000000000001</v>
      </c>
      <c r="K453" s="9">
        <v>26.0943360015306</v>
      </c>
    </row>
    <row r="454" spans="1:11" ht="12.75" customHeight="1">
      <c r="A454" s="1">
        <v>46192</v>
      </c>
      <c r="B454" s="2">
        <v>21</v>
      </c>
      <c r="C454" s="7">
        <v>-6.0400042067673603</v>
      </c>
      <c r="D454" s="7">
        <v>-6.3470700000000004</v>
      </c>
      <c r="E454" s="7">
        <v>0.30707873323263801</v>
      </c>
      <c r="F454" s="7">
        <f t="shared" si="28"/>
        <v>6.0400042067673603</v>
      </c>
      <c r="G454" s="7">
        <f t="shared" si="29"/>
        <v>6.3470700000000004</v>
      </c>
      <c r="H454" s="7">
        <f t="shared" si="30"/>
        <v>0.30706579323264016</v>
      </c>
      <c r="I454" s="8">
        <f t="shared" si="31"/>
        <v>4.8379140805543369E-2</v>
      </c>
      <c r="J454" s="9">
        <v>203.29</v>
      </c>
      <c r="K454" s="9">
        <v>62.426035678863002</v>
      </c>
    </row>
    <row r="455" spans="1:11" ht="12.75" customHeight="1">
      <c r="A455" s="1">
        <v>46192</v>
      </c>
      <c r="B455" s="2">
        <v>22</v>
      </c>
      <c r="C455" s="7">
        <v>-5.8895310556472404</v>
      </c>
      <c r="D455" s="7">
        <v>-6.1316189999999997</v>
      </c>
      <c r="E455" s="7">
        <v>0.24208794435275999</v>
      </c>
      <c r="F455" s="7">
        <f t="shared" si="28"/>
        <v>5.8895310556472404</v>
      </c>
      <c r="G455" s="7">
        <f t="shared" si="29"/>
        <v>6.1316189999999997</v>
      </c>
      <c r="H455" s="7">
        <f t="shared" si="30"/>
        <v>0.24208794435275927</v>
      </c>
      <c r="I455" s="8">
        <f t="shared" si="31"/>
        <v>3.9481896111411889E-2</v>
      </c>
      <c r="J455" s="9">
        <v>205.91</v>
      </c>
      <c r="K455" s="9">
        <v>49.848328621676899</v>
      </c>
    </row>
    <row r="456" spans="1:11" ht="12.75" customHeight="1">
      <c r="A456" s="1">
        <v>46192</v>
      </c>
      <c r="B456" s="2">
        <v>23</v>
      </c>
      <c r="C456" s="7">
        <v>-5.0199690878379304</v>
      </c>
      <c r="D456" s="7">
        <v>-5.3474550000000001</v>
      </c>
      <c r="E456" s="7">
        <v>0.32748591216207001</v>
      </c>
      <c r="F456" s="7">
        <f t="shared" si="28"/>
        <v>5.0199690878379304</v>
      </c>
      <c r="G456" s="7">
        <f t="shared" si="29"/>
        <v>5.3474550000000001</v>
      </c>
      <c r="H456" s="7">
        <f t="shared" si="30"/>
        <v>0.32748591216206968</v>
      </c>
      <c r="I456" s="8">
        <f t="shared" si="31"/>
        <v>6.1241452646552362E-2</v>
      </c>
      <c r="J456" s="9">
        <v>112.05</v>
      </c>
      <c r="K456" s="9">
        <v>36.6947964577599</v>
      </c>
    </row>
    <row r="457" spans="1:11" ht="12.75" customHeight="1">
      <c r="A457" s="1">
        <v>46192</v>
      </c>
      <c r="B457" s="2">
        <v>24</v>
      </c>
      <c r="C457" s="7">
        <v>-4.3507516347259303</v>
      </c>
      <c r="D457" s="7">
        <v>-4.5115309999999997</v>
      </c>
      <c r="E457" s="7">
        <v>0.160779365274066</v>
      </c>
      <c r="F457" s="7">
        <f t="shared" si="28"/>
        <v>4.3507516347259303</v>
      </c>
      <c r="G457" s="7">
        <f t="shared" si="29"/>
        <v>4.5115309999999997</v>
      </c>
      <c r="H457" s="7">
        <f t="shared" si="30"/>
        <v>0.16077936527406944</v>
      </c>
      <c r="I457" s="8">
        <f t="shared" si="31"/>
        <v>3.5637428906965161E-2</v>
      </c>
      <c r="J457" s="9">
        <v>104.37</v>
      </c>
      <c r="K457" s="9">
        <v>16.780542353654301</v>
      </c>
    </row>
    <row r="458" spans="1:11" ht="12.75" customHeight="1">
      <c r="A458" s="1">
        <v>46193</v>
      </c>
      <c r="B458" s="2">
        <v>1</v>
      </c>
      <c r="C458" s="7">
        <v>-4.0047888275801196</v>
      </c>
      <c r="D458" s="7">
        <v>-3.9745210000000002</v>
      </c>
      <c r="E458" s="7">
        <v>-3.02678275801192E-2</v>
      </c>
      <c r="F458" s="7">
        <f t="shared" si="28"/>
        <v>4.0047888275801196</v>
      </c>
      <c r="G458" s="7">
        <f t="shared" si="29"/>
        <v>3.9745210000000002</v>
      </c>
      <c r="H458" s="7">
        <f t="shared" si="30"/>
        <v>3.0267827580119366E-2</v>
      </c>
      <c r="I458" s="8">
        <f t="shared" si="31"/>
        <v>7.6154655064394842E-3</v>
      </c>
      <c r="J458" s="9">
        <v>55.49</v>
      </c>
      <c r="K458" s="9">
        <v>-1.67956175242082</v>
      </c>
    </row>
    <row r="459" spans="1:11" ht="12.75" customHeight="1">
      <c r="A459" s="1">
        <v>46193</v>
      </c>
      <c r="B459" s="2">
        <v>2</v>
      </c>
      <c r="C459" s="7">
        <v>-4.0299553895095102</v>
      </c>
      <c r="D459" s="7">
        <v>-3.9544640000000002</v>
      </c>
      <c r="E459" s="7">
        <v>-7.5491389509506998E-2</v>
      </c>
      <c r="F459" s="7">
        <f t="shared" si="28"/>
        <v>4.0299553895095102</v>
      </c>
      <c r="G459" s="7">
        <f t="shared" si="29"/>
        <v>3.9544640000000002</v>
      </c>
      <c r="H459" s="7">
        <f t="shared" si="30"/>
        <v>7.5491389509509954E-2</v>
      </c>
      <c r="I459" s="8">
        <f t="shared" si="31"/>
        <v>1.9090169871191127E-2</v>
      </c>
      <c r="J459" s="9">
        <v>57.06</v>
      </c>
      <c r="K459" s="9">
        <v>-4.30753868541247</v>
      </c>
    </row>
    <row r="460" spans="1:11" ht="12.75" customHeight="1">
      <c r="A460" s="1">
        <v>46193</v>
      </c>
      <c r="B460" s="2">
        <v>3</v>
      </c>
      <c r="C460" s="7">
        <v>-3.7688609641826698</v>
      </c>
      <c r="D460" s="7">
        <v>-3.5921439999999998</v>
      </c>
      <c r="E460" s="7">
        <v>-0.17671696418266999</v>
      </c>
      <c r="F460" s="7">
        <f t="shared" si="28"/>
        <v>3.7688609641826698</v>
      </c>
      <c r="G460" s="7">
        <f t="shared" si="29"/>
        <v>3.5921439999999998</v>
      </c>
      <c r="H460" s="7">
        <f t="shared" si="30"/>
        <v>0.17671696418267002</v>
      </c>
      <c r="I460" s="8">
        <f t="shared" si="31"/>
        <v>4.9195400903379718E-2</v>
      </c>
      <c r="J460" s="9">
        <v>53.48</v>
      </c>
      <c r="K460" s="9">
        <v>-9.45082324448917</v>
      </c>
    </row>
    <row r="461" spans="1:11" ht="12.75" customHeight="1">
      <c r="A461" s="1">
        <v>46193</v>
      </c>
      <c r="B461" s="2">
        <v>4</v>
      </c>
      <c r="C461" s="7">
        <v>-3.7202094141125102</v>
      </c>
      <c r="D461" s="7">
        <v>-3.753247</v>
      </c>
      <c r="E461" s="7">
        <v>3.3037585887488098E-2</v>
      </c>
      <c r="F461" s="7">
        <f t="shared" si="28"/>
        <v>3.7202094141125102</v>
      </c>
      <c r="G461" s="7">
        <f t="shared" si="29"/>
        <v>3.753247</v>
      </c>
      <c r="H461" s="7">
        <f t="shared" si="30"/>
        <v>3.303758588748984E-2</v>
      </c>
      <c r="I461" s="8">
        <f t="shared" si="31"/>
        <v>8.8024011975470409E-3</v>
      </c>
      <c r="J461" s="9">
        <v>52.5</v>
      </c>
      <c r="K461" s="9">
        <v>1.73447325909312</v>
      </c>
    </row>
    <row r="462" spans="1:11" ht="12.75" customHeight="1">
      <c r="A462" s="1">
        <v>46193</v>
      </c>
      <c r="B462" s="2">
        <v>5</v>
      </c>
      <c r="C462" s="7">
        <v>-3.64250641077951</v>
      </c>
      <c r="D462" s="7">
        <v>-3.7448359999999998</v>
      </c>
      <c r="E462" s="7">
        <v>0.102329589220486</v>
      </c>
      <c r="F462" s="7">
        <f t="shared" si="28"/>
        <v>3.64250641077951</v>
      </c>
      <c r="G462" s="7">
        <f t="shared" si="29"/>
        <v>3.7448359999999998</v>
      </c>
      <c r="H462" s="7">
        <f t="shared" si="30"/>
        <v>0.10232958922048985</v>
      </c>
      <c r="I462" s="8">
        <f t="shared" si="31"/>
        <v>2.7325519520878847E-2</v>
      </c>
      <c r="J462" s="9">
        <v>46.65</v>
      </c>
      <c r="K462" s="9">
        <v>4.7736753371356597</v>
      </c>
    </row>
    <row r="463" spans="1:11" ht="12.75" customHeight="1">
      <c r="A463" s="1">
        <v>46193</v>
      </c>
      <c r="B463" s="2">
        <v>6</v>
      </c>
      <c r="C463" s="7">
        <v>-3.49069408284441</v>
      </c>
      <c r="D463" s="7">
        <v>-3.3462839999999998</v>
      </c>
      <c r="E463" s="7">
        <v>-0.13119575484441401</v>
      </c>
      <c r="F463" s="7">
        <f t="shared" si="28"/>
        <v>3.49069408284441</v>
      </c>
      <c r="G463" s="7">
        <f t="shared" si="29"/>
        <v>3.3462839999999998</v>
      </c>
      <c r="H463" s="7">
        <f t="shared" si="30"/>
        <v>0.14441008284441015</v>
      </c>
      <c r="I463" s="8">
        <f t="shared" si="31"/>
        <v>4.3155357657751151E-2</v>
      </c>
      <c r="J463" s="9">
        <v>49.03</v>
      </c>
      <c r="K463" s="9">
        <v>-6.43252786002164</v>
      </c>
    </row>
    <row r="464" spans="1:11" ht="12.75" customHeight="1">
      <c r="A464" s="1">
        <v>46193</v>
      </c>
      <c r="B464" s="2">
        <v>7</v>
      </c>
      <c r="C464" s="7">
        <v>-2.8617237042012702</v>
      </c>
      <c r="D464" s="7">
        <v>-2.8209200000000001</v>
      </c>
      <c r="E464" s="7">
        <v>0.126428973798727</v>
      </c>
      <c r="F464" s="7">
        <f t="shared" si="28"/>
        <v>2.8617237042012702</v>
      </c>
      <c r="G464" s="7">
        <f t="shared" si="29"/>
        <v>2.8209200000000001</v>
      </c>
      <c r="H464" s="7">
        <f t="shared" si="30"/>
        <v>4.0803704201270108E-2</v>
      </c>
      <c r="I464" s="8">
        <f t="shared" si="31"/>
        <v>1.4464679679420226E-2</v>
      </c>
      <c r="J464" s="9">
        <v>48.84</v>
      </c>
      <c r="K464" s="9">
        <v>6.17479108032982</v>
      </c>
    </row>
    <row r="465" spans="1:11" ht="12.75" customHeight="1">
      <c r="A465" s="1">
        <v>46193</v>
      </c>
      <c r="B465" s="2">
        <v>8</v>
      </c>
      <c r="C465" s="7">
        <v>-2.7392937834734199</v>
      </c>
      <c r="D465" s="7">
        <v>-2.54271</v>
      </c>
      <c r="E465" s="7">
        <v>0.45941728052658298</v>
      </c>
      <c r="F465" s="7">
        <f t="shared" si="28"/>
        <v>2.7392937834734199</v>
      </c>
      <c r="G465" s="7">
        <f t="shared" si="29"/>
        <v>2.54271</v>
      </c>
      <c r="H465" s="7">
        <f t="shared" si="30"/>
        <v>0.19658378347341987</v>
      </c>
      <c r="I465" s="8">
        <f t="shared" si="31"/>
        <v>7.7312703168438343E-2</v>
      </c>
      <c r="J465" s="9">
        <v>44.46</v>
      </c>
      <c r="K465" s="9">
        <v>20.425692292211899</v>
      </c>
    </row>
    <row r="466" spans="1:11" ht="12.75" customHeight="1">
      <c r="A466" s="1">
        <v>46193</v>
      </c>
      <c r="B466" s="2">
        <v>9</v>
      </c>
      <c r="C466" s="7">
        <v>-3.1017548433958901</v>
      </c>
      <c r="D466" s="7">
        <v>-2.7711009999999998</v>
      </c>
      <c r="E466" s="7">
        <v>0.51952162560410897</v>
      </c>
      <c r="F466" s="7">
        <f t="shared" si="28"/>
        <v>3.1017548433958901</v>
      </c>
      <c r="G466" s="7">
        <f t="shared" si="29"/>
        <v>2.7711009999999998</v>
      </c>
      <c r="H466" s="7">
        <f t="shared" si="30"/>
        <v>0.33065384339589032</v>
      </c>
      <c r="I466" s="8">
        <f t="shared" si="31"/>
        <v>0.11932219121421064</v>
      </c>
      <c r="J466" s="9">
        <v>38.71</v>
      </c>
      <c r="K466" s="9">
        <v>20.1106821271351</v>
      </c>
    </row>
    <row r="467" spans="1:11" ht="12.75" customHeight="1">
      <c r="A467" s="1">
        <v>46193</v>
      </c>
      <c r="B467" s="2">
        <v>10</v>
      </c>
      <c r="C467" s="7">
        <v>-3.2626371046437201</v>
      </c>
      <c r="D467" s="7">
        <v>-2.7076950000000002</v>
      </c>
      <c r="E467" s="7">
        <v>0.39623006435628499</v>
      </c>
      <c r="F467" s="7">
        <f t="shared" si="28"/>
        <v>3.2626371046437201</v>
      </c>
      <c r="G467" s="7">
        <f t="shared" si="29"/>
        <v>2.7076950000000002</v>
      </c>
      <c r="H467" s="7">
        <f t="shared" si="30"/>
        <v>0.55494210464371996</v>
      </c>
      <c r="I467" s="8">
        <f t="shared" si="31"/>
        <v>0.20495000531585719</v>
      </c>
      <c r="J467" s="9">
        <v>13.76</v>
      </c>
      <c r="K467" s="9">
        <v>5.4521256855424802</v>
      </c>
    </row>
    <row r="468" spans="1:11" ht="12.75" customHeight="1">
      <c r="A468" s="1">
        <v>46193</v>
      </c>
      <c r="B468" s="2">
        <v>11</v>
      </c>
      <c r="C468" s="7">
        <v>-3.43208151760633</v>
      </c>
      <c r="D468" s="7">
        <v>-2.661111</v>
      </c>
      <c r="E468" s="7">
        <v>0.143695323393675</v>
      </c>
      <c r="F468" s="7">
        <f t="shared" si="28"/>
        <v>3.43208151760633</v>
      </c>
      <c r="G468" s="7">
        <f t="shared" si="29"/>
        <v>2.661111</v>
      </c>
      <c r="H468" s="7">
        <f t="shared" si="30"/>
        <v>0.77097051760632995</v>
      </c>
      <c r="I468" s="8">
        <f t="shared" si="31"/>
        <v>0.28971753437054298</v>
      </c>
      <c r="J468" s="9">
        <v>11.34</v>
      </c>
      <c r="K468" s="9">
        <v>1.6295049672842801</v>
      </c>
    </row>
    <row r="469" spans="1:11" ht="12.75" customHeight="1">
      <c r="A469" s="1">
        <v>46193</v>
      </c>
      <c r="B469" s="2">
        <v>12</v>
      </c>
      <c r="C469" s="7">
        <v>-3.4381427756700802</v>
      </c>
      <c r="D469" s="7">
        <v>-2.8008630000000001</v>
      </c>
      <c r="E469" s="7">
        <v>0.33468373832992299</v>
      </c>
      <c r="F469" s="7">
        <f t="shared" si="28"/>
        <v>3.4381427756700802</v>
      </c>
      <c r="G469" s="7">
        <f t="shared" si="29"/>
        <v>2.8008630000000001</v>
      </c>
      <c r="H469" s="7">
        <f t="shared" si="30"/>
        <v>0.6372797756700801</v>
      </c>
      <c r="I469" s="8">
        <f t="shared" si="31"/>
        <v>0.22752979194986692</v>
      </c>
      <c r="J469" s="9">
        <v>11.11</v>
      </c>
      <c r="K469" s="9">
        <v>3.71833633284544</v>
      </c>
    </row>
    <row r="470" spans="1:11" ht="12.75" customHeight="1">
      <c r="A470" s="1">
        <v>46193</v>
      </c>
      <c r="B470" s="2">
        <v>13</v>
      </c>
      <c r="C470" s="7">
        <v>-3.7121335311151902</v>
      </c>
      <c r="D470" s="7">
        <v>-2.8002159999999998</v>
      </c>
      <c r="E470" s="7">
        <v>-0.10698418411518699</v>
      </c>
      <c r="F470" s="7">
        <f t="shared" si="28"/>
        <v>3.7121335311151902</v>
      </c>
      <c r="G470" s="7">
        <f t="shared" si="29"/>
        <v>2.8002159999999998</v>
      </c>
      <c r="H470" s="7">
        <f t="shared" si="30"/>
        <v>0.91191753111519036</v>
      </c>
      <c r="I470" s="8">
        <f t="shared" si="31"/>
        <v>0.32565971022063672</v>
      </c>
      <c r="J470" s="9">
        <v>13.76</v>
      </c>
      <c r="K470" s="9">
        <v>-1.4721023734249701</v>
      </c>
    </row>
    <row r="471" spans="1:11" ht="12.75" customHeight="1">
      <c r="A471" s="1">
        <v>46193</v>
      </c>
      <c r="B471" s="2">
        <v>14</v>
      </c>
      <c r="C471" s="7">
        <v>-3.8129533733723702</v>
      </c>
      <c r="D471" s="7">
        <v>-2.9645540000000001</v>
      </c>
      <c r="E471" s="7">
        <v>-8.6916605372365299E-2</v>
      </c>
      <c r="F471" s="7">
        <f t="shared" si="28"/>
        <v>3.8129533733723702</v>
      </c>
      <c r="G471" s="7">
        <f t="shared" si="29"/>
        <v>2.9645540000000001</v>
      </c>
      <c r="H471" s="7">
        <f t="shared" si="30"/>
        <v>0.84839937337237004</v>
      </c>
      <c r="I471" s="8">
        <f t="shared" si="31"/>
        <v>0.2861811164081916</v>
      </c>
      <c r="J471" s="9">
        <v>9.77</v>
      </c>
      <c r="K471" s="9">
        <v>-0.84917523448800902</v>
      </c>
    </row>
    <row r="472" spans="1:11" ht="12.75" customHeight="1">
      <c r="A472" s="1">
        <v>46193</v>
      </c>
      <c r="B472" s="2">
        <v>15</v>
      </c>
      <c r="C472" s="7">
        <v>-3.91300750173209</v>
      </c>
      <c r="D472" s="7">
        <v>-3.1825929999999998</v>
      </c>
      <c r="E472" s="7">
        <v>-4.9878550732094698E-2</v>
      </c>
      <c r="F472" s="7">
        <f t="shared" si="28"/>
        <v>3.91300750173209</v>
      </c>
      <c r="G472" s="7">
        <f t="shared" si="29"/>
        <v>3.1825929999999998</v>
      </c>
      <c r="H472" s="7">
        <f t="shared" si="30"/>
        <v>0.73041450173209022</v>
      </c>
      <c r="I472" s="8">
        <f t="shared" si="31"/>
        <v>0.22950295615307714</v>
      </c>
      <c r="J472" s="9">
        <v>13.76</v>
      </c>
      <c r="K472" s="9">
        <v>-0.68632885807362298</v>
      </c>
    </row>
    <row r="473" spans="1:11" ht="12.75" customHeight="1">
      <c r="A473" s="1">
        <v>46193</v>
      </c>
      <c r="B473" s="2">
        <v>16</v>
      </c>
      <c r="C473" s="7">
        <v>-4.0098406911688897</v>
      </c>
      <c r="D473" s="7">
        <v>-3.5753219999999999</v>
      </c>
      <c r="E473" s="7">
        <v>0.16643949483110901</v>
      </c>
      <c r="F473" s="7">
        <f t="shared" si="28"/>
        <v>4.0098406911688897</v>
      </c>
      <c r="G473" s="7">
        <f t="shared" si="29"/>
        <v>3.5753219999999999</v>
      </c>
      <c r="H473" s="7">
        <f t="shared" si="30"/>
        <v>0.43451869116888986</v>
      </c>
      <c r="I473" s="8">
        <f t="shared" si="31"/>
        <v>0.12153274339175321</v>
      </c>
      <c r="J473" s="9">
        <v>12.53</v>
      </c>
      <c r="K473" s="9">
        <v>2.0854868702337899</v>
      </c>
    </row>
    <row r="474" spans="1:11" ht="12.75" customHeight="1">
      <c r="A474" s="1">
        <v>46193</v>
      </c>
      <c r="B474" s="2">
        <v>17</v>
      </c>
      <c r="C474" s="7">
        <v>-4.22196234997016</v>
      </c>
      <c r="D474" s="7">
        <v>-3.5707930000000001</v>
      </c>
      <c r="E474" s="7">
        <v>1.6103101029844399E-2</v>
      </c>
      <c r="F474" s="7">
        <f t="shared" si="28"/>
        <v>4.22196234997016</v>
      </c>
      <c r="G474" s="7">
        <f t="shared" si="29"/>
        <v>3.5707930000000001</v>
      </c>
      <c r="H474" s="7">
        <f t="shared" si="30"/>
        <v>0.65116934997015985</v>
      </c>
      <c r="I474" s="8">
        <f t="shared" si="31"/>
        <v>0.18235987075424417</v>
      </c>
      <c r="J474" s="9">
        <v>34.5</v>
      </c>
      <c r="K474" s="9">
        <v>0.55555698552963195</v>
      </c>
    </row>
    <row r="475" spans="1:11" ht="12.75" customHeight="1">
      <c r="A475" s="1">
        <v>46193</v>
      </c>
      <c r="B475" s="2">
        <v>18</v>
      </c>
      <c r="C475" s="7">
        <v>-4.3585581000647799</v>
      </c>
      <c r="D475" s="7">
        <v>-3.5591469999999998</v>
      </c>
      <c r="E475" s="7">
        <v>-0.30273572706478202</v>
      </c>
      <c r="F475" s="7">
        <f t="shared" si="28"/>
        <v>4.3585581000647799</v>
      </c>
      <c r="G475" s="7">
        <f t="shared" si="29"/>
        <v>3.5591469999999998</v>
      </c>
      <c r="H475" s="7">
        <f t="shared" si="30"/>
        <v>0.79941110006478011</v>
      </c>
      <c r="I475" s="8">
        <f t="shared" si="31"/>
        <v>0.22460749726402987</v>
      </c>
      <c r="J475" s="9">
        <v>20.41</v>
      </c>
      <c r="K475" s="9">
        <v>-6.1788361893921904</v>
      </c>
    </row>
    <row r="476" spans="1:11" ht="12.75" customHeight="1">
      <c r="A476" s="1">
        <v>46193</v>
      </c>
      <c r="B476" s="2">
        <v>19</v>
      </c>
      <c r="C476" s="7">
        <v>-4.5848704439230596</v>
      </c>
      <c r="D476" s="7">
        <v>-4.1945009999999998</v>
      </c>
      <c r="E476" s="7">
        <v>-0.20153731792306301</v>
      </c>
      <c r="F476" s="7">
        <f t="shared" si="28"/>
        <v>4.5848704439230596</v>
      </c>
      <c r="G476" s="7">
        <f t="shared" si="29"/>
        <v>4.1945009999999998</v>
      </c>
      <c r="H476" s="7">
        <f t="shared" si="30"/>
        <v>0.39036944392305983</v>
      </c>
      <c r="I476" s="8">
        <f t="shared" si="31"/>
        <v>9.3066956933151243E-2</v>
      </c>
      <c r="J476" s="9">
        <v>70.489999999999995</v>
      </c>
      <c r="K476" s="9">
        <v>-14.2063655403967</v>
      </c>
    </row>
    <row r="477" spans="1:11" ht="12.75" customHeight="1">
      <c r="A477" s="1">
        <v>46193</v>
      </c>
      <c r="B477" s="2">
        <v>20</v>
      </c>
      <c r="C477" s="7">
        <v>-5.4398886032648903</v>
      </c>
      <c r="D477" s="7">
        <v>-5.4069789999999998</v>
      </c>
      <c r="E477" s="7">
        <v>-6.8031532648872798E-3</v>
      </c>
      <c r="F477" s="7">
        <f t="shared" si="28"/>
        <v>5.4398886032648903</v>
      </c>
      <c r="G477" s="7">
        <f t="shared" si="29"/>
        <v>5.4069789999999998</v>
      </c>
      <c r="H477" s="7">
        <f t="shared" si="30"/>
        <v>3.2909603264890563E-2</v>
      </c>
      <c r="I477" s="8">
        <f t="shared" si="31"/>
        <v>6.0865047311799373E-3</v>
      </c>
      <c r="J477" s="9">
        <v>81.3</v>
      </c>
      <c r="K477" s="9">
        <v>-0.55309636043533605</v>
      </c>
    </row>
    <row r="478" spans="1:11" ht="12.75" customHeight="1">
      <c r="A478" s="1">
        <v>46193</v>
      </c>
      <c r="B478" s="2">
        <v>21</v>
      </c>
      <c r="C478" s="7">
        <v>-5.6816981403880797</v>
      </c>
      <c r="D478" s="7">
        <v>-5.9685750000000004</v>
      </c>
      <c r="E478" s="7">
        <v>0.28690273961192098</v>
      </c>
      <c r="F478" s="7">
        <f t="shared" si="28"/>
        <v>5.6816981403880797</v>
      </c>
      <c r="G478" s="7">
        <f t="shared" si="29"/>
        <v>5.9685750000000004</v>
      </c>
      <c r="H478" s="7">
        <f t="shared" si="30"/>
        <v>0.28687685961192066</v>
      </c>
      <c r="I478" s="8">
        <f t="shared" si="31"/>
        <v>4.8064548005498905E-2</v>
      </c>
      <c r="J478" s="9">
        <v>60.57</v>
      </c>
      <c r="K478" s="9">
        <v>17.377698938294099</v>
      </c>
    </row>
    <row r="479" spans="1:11" ht="12.75" customHeight="1">
      <c r="A479" s="1">
        <v>46193</v>
      </c>
      <c r="B479" s="2">
        <v>22</v>
      </c>
      <c r="C479" s="7">
        <v>-5.3664382515812799</v>
      </c>
      <c r="D479" s="7">
        <v>-5.9323430000000004</v>
      </c>
      <c r="E479" s="7">
        <v>0.56590474841871796</v>
      </c>
      <c r="F479" s="7">
        <f t="shared" si="28"/>
        <v>5.3664382515812799</v>
      </c>
      <c r="G479" s="7">
        <f t="shared" si="29"/>
        <v>5.9323430000000004</v>
      </c>
      <c r="H479" s="7">
        <f t="shared" si="30"/>
        <v>0.56590474841872052</v>
      </c>
      <c r="I479" s="8">
        <f t="shared" si="31"/>
        <v>9.5393126867195727E-2</v>
      </c>
      <c r="J479" s="9">
        <v>75.52</v>
      </c>
      <c r="K479" s="9">
        <v>42.737126600581597</v>
      </c>
    </row>
    <row r="480" spans="1:11" ht="12.75" customHeight="1">
      <c r="A480" s="1">
        <v>46193</v>
      </c>
      <c r="B480" s="2">
        <v>23</v>
      </c>
      <c r="C480" s="7">
        <v>-4.5961366232301799</v>
      </c>
      <c r="D480" s="7">
        <v>-4.9780179999999996</v>
      </c>
      <c r="E480" s="7">
        <v>0.38188137676981598</v>
      </c>
      <c r="F480" s="7">
        <f t="shared" si="28"/>
        <v>4.5961366232301799</v>
      </c>
      <c r="G480" s="7">
        <f t="shared" si="29"/>
        <v>4.9780179999999996</v>
      </c>
      <c r="H480" s="7">
        <f t="shared" si="30"/>
        <v>0.3818813767698197</v>
      </c>
      <c r="I480" s="8">
        <f t="shared" si="31"/>
        <v>7.6713538755749724E-2</v>
      </c>
      <c r="J480" s="9">
        <v>44.37</v>
      </c>
      <c r="K480" s="9">
        <v>16.944076687276699</v>
      </c>
    </row>
    <row r="481" spans="1:11" ht="12.75" customHeight="1">
      <c r="A481" s="1">
        <v>46193</v>
      </c>
      <c r="B481" s="2">
        <v>24</v>
      </c>
      <c r="C481" s="7">
        <v>-3.9873838701501598</v>
      </c>
      <c r="D481" s="7">
        <v>-4.2462609999999996</v>
      </c>
      <c r="E481" s="7">
        <v>0.25887712984983802</v>
      </c>
      <c r="F481" s="7">
        <f t="shared" si="28"/>
        <v>3.9873838701501598</v>
      </c>
      <c r="G481" s="7">
        <f t="shared" si="29"/>
        <v>4.2462609999999996</v>
      </c>
      <c r="H481" s="7">
        <f t="shared" si="30"/>
        <v>0.25887712984983979</v>
      </c>
      <c r="I481" s="8">
        <f t="shared" si="31"/>
        <v>6.0965901495419104E-2</v>
      </c>
      <c r="J481" s="9">
        <v>66.62</v>
      </c>
      <c r="K481" s="9">
        <v>17.246394390596201</v>
      </c>
    </row>
    <row r="482" spans="1:11" ht="12.75" customHeight="1">
      <c r="A482" s="1">
        <v>46194</v>
      </c>
      <c r="B482" s="2">
        <v>1</v>
      </c>
      <c r="C482" s="7">
        <v>-3.7193113497510599</v>
      </c>
      <c r="D482" s="7">
        <v>-3.489271</v>
      </c>
      <c r="E482" s="7">
        <v>-0.230040349751057</v>
      </c>
      <c r="F482" s="7">
        <f t="shared" si="28"/>
        <v>3.7193113497510599</v>
      </c>
      <c r="G482" s="7">
        <f t="shared" si="29"/>
        <v>3.489271</v>
      </c>
      <c r="H482" s="7">
        <f t="shared" si="30"/>
        <v>0.23004034975105991</v>
      </c>
      <c r="I482" s="8">
        <f t="shared" si="31"/>
        <v>6.5927911518211091E-2</v>
      </c>
      <c r="J482" s="9">
        <v>148.55000000000001</v>
      </c>
      <c r="K482" s="9">
        <v>-34.172493955519599</v>
      </c>
    </row>
    <row r="483" spans="1:11" ht="12.75" customHeight="1">
      <c r="A483" s="1">
        <v>46194</v>
      </c>
      <c r="B483" s="2">
        <v>2</v>
      </c>
      <c r="C483" s="7">
        <v>-3.5337783621033498</v>
      </c>
      <c r="D483" s="7">
        <v>-3.480213</v>
      </c>
      <c r="E483" s="7">
        <v>-5.356536210335E-2</v>
      </c>
      <c r="F483" s="7">
        <f t="shared" si="28"/>
        <v>3.5337783621033498</v>
      </c>
      <c r="G483" s="7">
        <f t="shared" si="29"/>
        <v>3.480213</v>
      </c>
      <c r="H483" s="7">
        <f t="shared" si="30"/>
        <v>5.3565362103349834E-2</v>
      </c>
      <c r="I483" s="8">
        <f t="shared" si="31"/>
        <v>1.5391403371963106E-2</v>
      </c>
      <c r="J483" s="9">
        <v>152.16999999999999</v>
      </c>
      <c r="K483" s="9">
        <v>-8.1510411512667709</v>
      </c>
    </row>
    <row r="484" spans="1:11" ht="12.75" customHeight="1">
      <c r="A484" s="1">
        <v>46194</v>
      </c>
      <c r="B484" s="2">
        <v>3</v>
      </c>
      <c r="C484" s="7">
        <v>-3.4710262794374001</v>
      </c>
      <c r="D484" s="7">
        <v>-3.473096</v>
      </c>
      <c r="E484" s="7">
        <v>2.06972056259597E-3</v>
      </c>
      <c r="F484" s="7">
        <f t="shared" si="28"/>
        <v>3.4710262794374001</v>
      </c>
      <c r="G484" s="7">
        <f t="shared" si="29"/>
        <v>3.473096</v>
      </c>
      <c r="H484" s="7">
        <f t="shared" si="30"/>
        <v>2.0697205625999082E-3</v>
      </c>
      <c r="I484" s="8">
        <f t="shared" si="31"/>
        <v>5.9592955754747589E-4</v>
      </c>
      <c r="J484" s="9">
        <v>110</v>
      </c>
      <c r="K484" s="9">
        <v>0.227669261885557</v>
      </c>
    </row>
    <row r="485" spans="1:11" ht="12.75" customHeight="1">
      <c r="A485" s="1">
        <v>46194</v>
      </c>
      <c r="B485" s="2">
        <v>4</v>
      </c>
      <c r="C485" s="7">
        <v>-3.4668366582419798</v>
      </c>
      <c r="D485" s="7">
        <v>-3.4705080000000001</v>
      </c>
      <c r="E485" s="7">
        <v>3.67134175801687E-3</v>
      </c>
      <c r="F485" s="7">
        <f t="shared" si="28"/>
        <v>3.4668366582419798</v>
      </c>
      <c r="G485" s="7">
        <f t="shared" si="29"/>
        <v>3.4705080000000001</v>
      </c>
      <c r="H485" s="7">
        <f t="shared" si="30"/>
        <v>3.6713417580203078E-3</v>
      </c>
      <c r="I485" s="8">
        <f t="shared" si="31"/>
        <v>1.0578686918515409E-3</v>
      </c>
      <c r="J485" s="9">
        <v>110</v>
      </c>
      <c r="K485" s="9">
        <v>0.403847593381856</v>
      </c>
    </row>
    <row r="486" spans="1:11" ht="12.75" customHeight="1">
      <c r="A486" s="1">
        <v>46194</v>
      </c>
      <c r="B486" s="2">
        <v>5</v>
      </c>
      <c r="C486" s="7">
        <v>-3.38722984057096</v>
      </c>
      <c r="D486" s="7">
        <v>-3.4685670000000002</v>
      </c>
      <c r="E486" s="7">
        <v>8.1337159429036798E-2</v>
      </c>
      <c r="F486" s="7">
        <f t="shared" si="28"/>
        <v>3.38722984057096</v>
      </c>
      <c r="G486" s="7">
        <f t="shared" si="29"/>
        <v>3.4685670000000002</v>
      </c>
      <c r="H486" s="7">
        <f t="shared" si="30"/>
        <v>8.1337159429040184E-2</v>
      </c>
      <c r="I486" s="8">
        <f t="shared" si="31"/>
        <v>2.3449787600770051E-2</v>
      </c>
      <c r="J486" s="9">
        <v>110</v>
      </c>
      <c r="K486" s="9">
        <v>8.9470875371940508</v>
      </c>
    </row>
    <row r="487" spans="1:11" ht="12.75" customHeight="1">
      <c r="A487" s="1">
        <v>46194</v>
      </c>
      <c r="B487" s="2">
        <v>6</v>
      </c>
      <c r="C487" s="7">
        <v>-3.0572143898760999</v>
      </c>
      <c r="D487" s="7">
        <v>-2.9237929999999999</v>
      </c>
      <c r="E487" s="7">
        <v>-0.115638853676099</v>
      </c>
      <c r="F487" s="7">
        <f t="shared" si="28"/>
        <v>3.0572143898760999</v>
      </c>
      <c r="G487" s="7">
        <f t="shared" si="29"/>
        <v>2.9237929999999999</v>
      </c>
      <c r="H487" s="7">
        <f t="shared" si="30"/>
        <v>0.13342138987610008</v>
      </c>
      <c r="I487" s="8">
        <f t="shared" si="31"/>
        <v>4.5632980815023531E-2</v>
      </c>
      <c r="J487" s="9">
        <v>108.99</v>
      </c>
      <c r="K487" s="9">
        <v>-12.603478662158</v>
      </c>
    </row>
    <row r="488" spans="1:11" ht="12.75" customHeight="1">
      <c r="A488" s="1">
        <v>46194</v>
      </c>
      <c r="B488" s="2">
        <v>7</v>
      </c>
      <c r="C488" s="7">
        <v>-2.3875332369577</v>
      </c>
      <c r="D488" s="7">
        <v>-2.2683819999999999</v>
      </c>
      <c r="E488" s="7">
        <v>9.3937436642300406E-2</v>
      </c>
      <c r="F488" s="7">
        <f t="shared" si="28"/>
        <v>2.3875332369577</v>
      </c>
      <c r="G488" s="7">
        <f t="shared" si="29"/>
        <v>2.2683819999999999</v>
      </c>
      <c r="H488" s="7">
        <f t="shared" si="30"/>
        <v>0.11915123695770014</v>
      </c>
      <c r="I488" s="8">
        <f t="shared" si="31"/>
        <v>5.2526971628984953E-2</v>
      </c>
      <c r="J488" s="9">
        <v>57.73</v>
      </c>
      <c r="K488" s="9">
        <v>5.4230082173599996</v>
      </c>
    </row>
    <row r="489" spans="1:11" ht="12.75" customHeight="1">
      <c r="A489" s="1">
        <v>46194</v>
      </c>
      <c r="B489" s="2">
        <v>8</v>
      </c>
      <c r="C489" s="7">
        <v>-2.2118811775095102</v>
      </c>
      <c r="D489" s="7">
        <v>-1.595502</v>
      </c>
      <c r="E489" s="7">
        <v>7.8860754290490803E-2</v>
      </c>
      <c r="F489" s="7">
        <f t="shared" si="28"/>
        <v>2.2118811775095102</v>
      </c>
      <c r="G489" s="7">
        <f t="shared" si="29"/>
        <v>1.595502</v>
      </c>
      <c r="H489" s="7">
        <f t="shared" si="30"/>
        <v>0.61637917750951021</v>
      </c>
      <c r="I489" s="8">
        <f t="shared" si="31"/>
        <v>0.38632303658002948</v>
      </c>
      <c r="J489" s="9">
        <v>87.38</v>
      </c>
      <c r="K489" s="9">
        <v>6.8908527099030898</v>
      </c>
    </row>
    <row r="490" spans="1:11" ht="12.75" customHeight="1">
      <c r="A490" s="1">
        <v>46194</v>
      </c>
      <c r="B490" s="2">
        <v>9</v>
      </c>
      <c r="C490" s="7">
        <v>-2.2497987317130499</v>
      </c>
      <c r="D490" s="7">
        <v>-1.4337519999999999</v>
      </c>
      <c r="E490" s="7">
        <v>0.115685804686951</v>
      </c>
      <c r="F490" s="7">
        <f t="shared" si="28"/>
        <v>2.2497987317130499</v>
      </c>
      <c r="G490" s="7">
        <f t="shared" si="29"/>
        <v>1.4337519999999999</v>
      </c>
      <c r="H490" s="7">
        <f t="shared" si="30"/>
        <v>0.81604673171304998</v>
      </c>
      <c r="I490" s="8">
        <f t="shared" si="31"/>
        <v>0.56916867890196499</v>
      </c>
      <c r="J490" s="9">
        <v>34.4</v>
      </c>
      <c r="K490" s="9">
        <v>3.9795916812311098</v>
      </c>
    </row>
    <row r="491" spans="1:11" ht="12.75" customHeight="1">
      <c r="A491" s="1">
        <v>46194</v>
      </c>
      <c r="B491" s="2">
        <v>10</v>
      </c>
      <c r="C491" s="7">
        <v>-2.5243521011349102</v>
      </c>
      <c r="D491" s="7">
        <v>-3.5157980000000002</v>
      </c>
      <c r="E491" s="7">
        <v>2.0403635928650901</v>
      </c>
      <c r="F491" s="7">
        <f t="shared" si="28"/>
        <v>2.5243521011349102</v>
      </c>
      <c r="G491" s="7">
        <f t="shared" si="29"/>
        <v>3.5157980000000002</v>
      </c>
      <c r="H491" s="7">
        <f t="shared" si="30"/>
        <v>0.99144589886509005</v>
      </c>
      <c r="I491" s="8">
        <f t="shared" si="31"/>
        <v>0.28199740112062466</v>
      </c>
      <c r="J491" s="9">
        <v>19.510000000000002</v>
      </c>
      <c r="K491" s="9">
        <v>39.807493696797998</v>
      </c>
    </row>
    <row r="492" spans="1:11" ht="12.75" customHeight="1">
      <c r="A492" s="1">
        <v>46194</v>
      </c>
      <c r="B492" s="2">
        <v>11</v>
      </c>
      <c r="C492" s="7">
        <v>-2.7196273900611998</v>
      </c>
      <c r="D492" s="7">
        <v>-3.498329</v>
      </c>
      <c r="E492" s="7">
        <v>1.9019834135388101</v>
      </c>
      <c r="F492" s="7">
        <f t="shared" si="28"/>
        <v>2.7196273900611998</v>
      </c>
      <c r="G492" s="7">
        <f t="shared" si="29"/>
        <v>3.498329</v>
      </c>
      <c r="H492" s="7">
        <f t="shared" si="30"/>
        <v>0.77870160993880022</v>
      </c>
      <c r="I492" s="8">
        <f t="shared" si="31"/>
        <v>0.22259244626185823</v>
      </c>
      <c r="J492" s="9">
        <v>5.12</v>
      </c>
      <c r="K492" s="9">
        <v>9.7381550773186802</v>
      </c>
    </row>
    <row r="493" spans="1:11" ht="12.75" customHeight="1">
      <c r="A493" s="1">
        <v>46194</v>
      </c>
      <c r="B493" s="2">
        <v>12</v>
      </c>
      <c r="C493" s="7">
        <v>-2.9088560286273601</v>
      </c>
      <c r="D493" s="7">
        <v>-3.511269</v>
      </c>
      <c r="E493" s="7">
        <v>1.75209108097264</v>
      </c>
      <c r="F493" s="7">
        <f t="shared" si="28"/>
        <v>2.9088560286273601</v>
      </c>
      <c r="G493" s="7">
        <f t="shared" si="29"/>
        <v>3.511269</v>
      </c>
      <c r="H493" s="7">
        <f t="shared" si="30"/>
        <v>0.60241297137263983</v>
      </c>
      <c r="I493" s="8">
        <f t="shared" si="31"/>
        <v>0.17156559960875678</v>
      </c>
      <c r="J493" s="9">
        <v>25.79</v>
      </c>
      <c r="K493" s="9">
        <v>45.186428978284297</v>
      </c>
    </row>
    <row r="494" spans="1:11" ht="12.75" customHeight="1">
      <c r="A494" s="1">
        <v>46194</v>
      </c>
      <c r="B494" s="2">
        <v>13</v>
      </c>
      <c r="C494" s="7">
        <v>-2.99910543209125</v>
      </c>
      <c r="D494" s="7">
        <v>-3.522268</v>
      </c>
      <c r="E494" s="7">
        <v>1.5690279747087501</v>
      </c>
      <c r="F494" s="7">
        <f t="shared" si="28"/>
        <v>2.99910543209125</v>
      </c>
      <c r="G494" s="7">
        <f t="shared" si="29"/>
        <v>3.522268</v>
      </c>
      <c r="H494" s="7">
        <f t="shared" si="30"/>
        <v>0.52316256790874993</v>
      </c>
      <c r="I494" s="8">
        <f t="shared" si="31"/>
        <v>0.14853002892135123</v>
      </c>
      <c r="J494" s="9">
        <v>29.15</v>
      </c>
      <c r="K494" s="9">
        <v>45.737165462760103</v>
      </c>
    </row>
    <row r="495" spans="1:11" ht="12.75" customHeight="1">
      <c r="A495" s="1">
        <v>46194</v>
      </c>
      <c r="B495" s="2">
        <v>14</v>
      </c>
      <c r="C495" s="7">
        <v>-3.12249896290658</v>
      </c>
      <c r="D495" s="7">
        <v>-3.529385</v>
      </c>
      <c r="E495" s="7">
        <v>1.3838317098934301</v>
      </c>
      <c r="F495" s="7">
        <f t="shared" si="28"/>
        <v>3.12249896290658</v>
      </c>
      <c r="G495" s="7">
        <f t="shared" si="29"/>
        <v>3.529385</v>
      </c>
      <c r="H495" s="7">
        <f t="shared" si="30"/>
        <v>0.40688603709341997</v>
      </c>
      <c r="I495" s="8">
        <f t="shared" si="31"/>
        <v>0.11528525142295895</v>
      </c>
      <c r="J495" s="9">
        <v>28.93</v>
      </c>
      <c r="K495" s="9">
        <v>40.034251367216797</v>
      </c>
    </row>
    <row r="496" spans="1:11" ht="12.75" customHeight="1">
      <c r="A496" s="1">
        <v>46194</v>
      </c>
      <c r="B496" s="2">
        <v>15</v>
      </c>
      <c r="C496" s="7">
        <v>-3.1999329954078899</v>
      </c>
      <c r="D496" s="7">
        <v>-3.5423249999999999</v>
      </c>
      <c r="E496" s="7">
        <v>1.3190548089921099</v>
      </c>
      <c r="F496" s="7">
        <f t="shared" si="28"/>
        <v>3.1999329954078899</v>
      </c>
      <c r="G496" s="7">
        <f t="shared" si="29"/>
        <v>3.5423249999999999</v>
      </c>
      <c r="H496" s="7">
        <f t="shared" si="30"/>
        <v>0.34239200459211006</v>
      </c>
      <c r="I496" s="8">
        <f t="shared" si="31"/>
        <v>9.6657422622743558E-2</v>
      </c>
      <c r="J496" s="9">
        <v>20.56</v>
      </c>
      <c r="K496" s="9">
        <v>27.119766872877801</v>
      </c>
    </row>
    <row r="497" spans="1:11" ht="12.75" customHeight="1">
      <c r="A497" s="1">
        <v>46194</v>
      </c>
      <c r="B497" s="2">
        <v>16</v>
      </c>
      <c r="C497" s="7">
        <v>-3.4856661931898301</v>
      </c>
      <c r="D497" s="7">
        <v>-3.576616</v>
      </c>
      <c r="E497" s="7">
        <v>0.81956782161017105</v>
      </c>
      <c r="F497" s="7">
        <f t="shared" si="28"/>
        <v>3.4856661931898301</v>
      </c>
      <c r="G497" s="7">
        <f t="shared" si="29"/>
        <v>3.576616</v>
      </c>
      <c r="H497" s="7">
        <f t="shared" si="30"/>
        <v>9.0949806810169953E-2</v>
      </c>
      <c r="I497" s="8">
        <f t="shared" si="31"/>
        <v>2.5429010777273813E-2</v>
      </c>
      <c r="J497" s="9">
        <v>23.79</v>
      </c>
      <c r="K497" s="9">
        <v>19.497518476105999</v>
      </c>
    </row>
    <row r="498" spans="1:11" ht="12.75" customHeight="1">
      <c r="A498" s="1">
        <v>46194</v>
      </c>
      <c r="B498" s="2">
        <v>17</v>
      </c>
      <c r="C498" s="7">
        <v>-3.6453123831224001</v>
      </c>
      <c r="D498" s="7">
        <v>-2.1758609999999998</v>
      </c>
      <c r="E498" s="7">
        <v>-0.961972015922399</v>
      </c>
      <c r="F498" s="7">
        <f t="shared" si="28"/>
        <v>3.6453123831224001</v>
      </c>
      <c r="G498" s="7">
        <f t="shared" si="29"/>
        <v>2.1758609999999998</v>
      </c>
      <c r="H498" s="7">
        <f t="shared" si="30"/>
        <v>1.4694513831224003</v>
      </c>
      <c r="I498" s="8">
        <f t="shared" si="31"/>
        <v>0.6753424888457491</v>
      </c>
      <c r="J498" s="9">
        <v>21.8</v>
      </c>
      <c r="K498" s="9">
        <v>-20.970989947108301</v>
      </c>
    </row>
    <row r="499" spans="1:11" ht="12.75" customHeight="1">
      <c r="A499" s="1">
        <v>46194</v>
      </c>
      <c r="B499" s="2">
        <v>18</v>
      </c>
      <c r="C499" s="7">
        <v>-4.0074304837918602</v>
      </c>
      <c r="D499" s="7">
        <v>-2.6436419999999998</v>
      </c>
      <c r="E499" s="7">
        <v>-1.04228939599186</v>
      </c>
      <c r="F499" s="7">
        <f t="shared" si="28"/>
        <v>4.0074304837918602</v>
      </c>
      <c r="G499" s="7">
        <f t="shared" si="29"/>
        <v>2.6436419999999998</v>
      </c>
      <c r="H499" s="7">
        <f t="shared" si="30"/>
        <v>1.3637884837918604</v>
      </c>
      <c r="I499" s="8">
        <f t="shared" si="31"/>
        <v>0.51587487405324184</v>
      </c>
      <c r="J499" s="9">
        <v>68.510000000000005</v>
      </c>
      <c r="K499" s="9">
        <v>-71.407246519402094</v>
      </c>
    </row>
    <row r="500" spans="1:11" ht="12.75" customHeight="1">
      <c r="A500" s="1">
        <v>46194</v>
      </c>
      <c r="B500" s="2">
        <v>19</v>
      </c>
      <c r="C500" s="7">
        <v>-4.0186208899359901</v>
      </c>
      <c r="D500" s="7">
        <v>-3.5817920000000001</v>
      </c>
      <c r="E500" s="7">
        <v>-0.205861277135992</v>
      </c>
      <c r="F500" s="7">
        <f t="shared" si="28"/>
        <v>4.0186208899359901</v>
      </c>
      <c r="G500" s="7">
        <f t="shared" si="29"/>
        <v>3.5817920000000001</v>
      </c>
      <c r="H500" s="7">
        <f t="shared" si="30"/>
        <v>0.43682888993599001</v>
      </c>
      <c r="I500" s="8">
        <f t="shared" si="31"/>
        <v>0.12195819576792566</v>
      </c>
      <c r="J500" s="9">
        <v>100.67</v>
      </c>
      <c r="K500" s="9">
        <v>-20.7240547692804</v>
      </c>
    </row>
    <row r="501" spans="1:11" ht="12.75" customHeight="1">
      <c r="A501" s="1">
        <v>46194</v>
      </c>
      <c r="B501" s="2">
        <v>20</v>
      </c>
      <c r="C501" s="7">
        <v>-4.4115248057521903</v>
      </c>
      <c r="D501" s="7">
        <v>-4.6396369999999996</v>
      </c>
      <c r="E501" s="7">
        <v>0.27844607684781297</v>
      </c>
      <c r="F501" s="7">
        <f t="shared" si="28"/>
        <v>4.4115248057521903</v>
      </c>
      <c r="G501" s="7">
        <f t="shared" si="29"/>
        <v>4.6396369999999996</v>
      </c>
      <c r="H501" s="7">
        <f t="shared" si="30"/>
        <v>0.22811219424780926</v>
      </c>
      <c r="I501" s="8">
        <f t="shared" si="31"/>
        <v>4.9165957217732613E-2</v>
      </c>
      <c r="J501" s="9">
        <v>99.62</v>
      </c>
      <c r="K501" s="9">
        <v>27.738798175579198</v>
      </c>
    </row>
    <row r="502" spans="1:11" ht="12.75" customHeight="1">
      <c r="A502" s="1">
        <v>46194</v>
      </c>
      <c r="B502" s="2">
        <v>21</v>
      </c>
      <c r="C502" s="7">
        <v>-4.7649781613236399</v>
      </c>
      <c r="D502" s="7">
        <v>-5.1805289999999999</v>
      </c>
      <c r="E502" s="7">
        <v>0.41569913107635997</v>
      </c>
      <c r="F502" s="7">
        <f t="shared" si="28"/>
        <v>4.7649781613236399</v>
      </c>
      <c r="G502" s="7">
        <f t="shared" si="29"/>
        <v>5.1805289999999999</v>
      </c>
      <c r="H502" s="7">
        <f t="shared" si="30"/>
        <v>0.41555083867636</v>
      </c>
      <c r="I502" s="8">
        <f t="shared" si="31"/>
        <v>8.021397789228861E-2</v>
      </c>
      <c r="J502" s="9">
        <v>158.96</v>
      </c>
      <c r="K502" s="9">
        <v>66.079533875898207</v>
      </c>
    </row>
    <row r="503" spans="1:11" ht="12.75" customHeight="1">
      <c r="A503" s="1">
        <v>46194</v>
      </c>
      <c r="B503" s="2">
        <v>22</v>
      </c>
      <c r="C503" s="7">
        <v>-4.6321991275456398</v>
      </c>
      <c r="D503" s="7">
        <v>-4.9741359999999997</v>
      </c>
      <c r="E503" s="7">
        <v>0.341936872454356</v>
      </c>
      <c r="F503" s="7">
        <f t="shared" si="28"/>
        <v>4.6321991275456398</v>
      </c>
      <c r="G503" s="7">
        <f t="shared" si="29"/>
        <v>4.9741359999999997</v>
      </c>
      <c r="H503" s="7">
        <f t="shared" si="30"/>
        <v>0.34193687245435989</v>
      </c>
      <c r="I503" s="8">
        <f t="shared" si="31"/>
        <v>6.8742968116344214E-2</v>
      </c>
      <c r="J503" s="9">
        <v>166.53</v>
      </c>
      <c r="K503" s="9">
        <v>56.942747369823898</v>
      </c>
    </row>
    <row r="504" spans="1:11" ht="12.75" customHeight="1">
      <c r="A504" s="1">
        <v>46194</v>
      </c>
      <c r="B504" s="2">
        <v>23</v>
      </c>
      <c r="C504" s="7">
        <v>-4.0029158258899598</v>
      </c>
      <c r="D504" s="7">
        <v>-4.1634450000000003</v>
      </c>
      <c r="E504" s="7">
        <v>0.160529174110037</v>
      </c>
      <c r="F504" s="7">
        <f t="shared" si="28"/>
        <v>4.0029158258899598</v>
      </c>
      <c r="G504" s="7">
        <f t="shared" si="29"/>
        <v>4.1634450000000003</v>
      </c>
      <c r="H504" s="7">
        <f t="shared" si="30"/>
        <v>0.16052917411004053</v>
      </c>
      <c r="I504" s="8">
        <f t="shared" si="31"/>
        <v>3.8556813914928746E-2</v>
      </c>
      <c r="J504" s="9">
        <v>182.48</v>
      </c>
      <c r="K504" s="9">
        <v>29.293363691599598</v>
      </c>
    </row>
    <row r="505" spans="1:11" ht="12.75" customHeight="1">
      <c r="A505" s="1">
        <v>46194</v>
      </c>
      <c r="B505" s="2">
        <v>24</v>
      </c>
      <c r="C505" s="7">
        <v>-3.6248260252945999</v>
      </c>
      <c r="D505" s="7">
        <v>-3.7066629999999998</v>
      </c>
      <c r="E505" s="7">
        <v>8.1836974705403395E-2</v>
      </c>
      <c r="F505" s="7">
        <f t="shared" si="28"/>
        <v>3.6248260252945999</v>
      </c>
      <c r="G505" s="7">
        <f t="shared" si="29"/>
        <v>3.7066629999999998</v>
      </c>
      <c r="H505" s="7">
        <f t="shared" si="30"/>
        <v>8.1836974705399967E-2</v>
      </c>
      <c r="I505" s="8">
        <f t="shared" si="31"/>
        <v>2.2078342354133616E-2</v>
      </c>
      <c r="J505" s="9">
        <v>114.49</v>
      </c>
      <c r="K505" s="9">
        <v>9.3695152340216392</v>
      </c>
    </row>
    <row r="506" spans="1:11" ht="12.75" customHeight="1">
      <c r="A506" s="1">
        <v>46195</v>
      </c>
      <c r="B506" s="2">
        <v>1</v>
      </c>
      <c r="C506" s="7">
        <v>-3.3633158868306801</v>
      </c>
      <c r="D506" s="7">
        <v>-3.6406689999999999</v>
      </c>
      <c r="E506" s="7">
        <v>0.27735311316932498</v>
      </c>
      <c r="F506" s="7">
        <f t="shared" si="28"/>
        <v>3.3633158868306801</v>
      </c>
      <c r="G506" s="7">
        <f t="shared" si="29"/>
        <v>3.6406689999999999</v>
      </c>
      <c r="H506" s="7">
        <f t="shared" si="30"/>
        <v>0.27735311316931988</v>
      </c>
      <c r="I506" s="8">
        <f t="shared" si="31"/>
        <v>7.61819086462735E-2</v>
      </c>
      <c r="J506" s="9">
        <v>119.66</v>
      </c>
      <c r="K506" s="9">
        <v>33.188073521841403</v>
      </c>
    </row>
    <row r="507" spans="1:11" ht="12.75" customHeight="1">
      <c r="A507" s="1">
        <v>46195</v>
      </c>
      <c r="B507" s="2">
        <v>2</v>
      </c>
      <c r="C507" s="7">
        <v>-3.28842635780742</v>
      </c>
      <c r="D507" s="7">
        <v>-3.6251410000000002</v>
      </c>
      <c r="E507" s="7">
        <v>0.33671464219258301</v>
      </c>
      <c r="F507" s="7">
        <f t="shared" si="28"/>
        <v>3.28842635780742</v>
      </c>
      <c r="G507" s="7">
        <f t="shared" si="29"/>
        <v>3.6251410000000002</v>
      </c>
      <c r="H507" s="7">
        <f t="shared" si="30"/>
        <v>0.33671464219258018</v>
      </c>
      <c r="I507" s="8">
        <f t="shared" si="31"/>
        <v>9.2883185010618943E-2</v>
      </c>
      <c r="J507" s="9">
        <v>62.22</v>
      </c>
      <c r="K507" s="9">
        <v>20.9503850372225</v>
      </c>
    </row>
    <row r="508" spans="1:11" ht="12.75" customHeight="1">
      <c r="A508" s="1">
        <v>46195</v>
      </c>
      <c r="B508" s="2">
        <v>3</v>
      </c>
      <c r="C508" s="7">
        <v>-3.2550743238809701</v>
      </c>
      <c r="D508" s="7">
        <v>-3.4058079999999999</v>
      </c>
      <c r="E508" s="7">
        <v>0.15073367611902999</v>
      </c>
      <c r="F508" s="7">
        <f t="shared" si="28"/>
        <v>3.2550743238809701</v>
      </c>
      <c r="G508" s="7">
        <f t="shared" si="29"/>
        <v>3.4058079999999999</v>
      </c>
      <c r="H508" s="7">
        <f t="shared" si="30"/>
        <v>0.15073367611902988</v>
      </c>
      <c r="I508" s="8">
        <f t="shared" si="31"/>
        <v>4.4257831363080327E-2</v>
      </c>
      <c r="J508" s="9">
        <v>95.32</v>
      </c>
      <c r="K508" s="9">
        <v>14.367934007665999</v>
      </c>
    </row>
    <row r="509" spans="1:11" ht="12.75" customHeight="1">
      <c r="A509" s="1">
        <v>46195</v>
      </c>
      <c r="B509" s="2">
        <v>4</v>
      </c>
      <c r="C509" s="7">
        <v>-3.2086776364674501</v>
      </c>
      <c r="D509" s="7">
        <v>-3.3715169999999999</v>
      </c>
      <c r="E509" s="7">
        <v>0.16283936353254699</v>
      </c>
      <c r="F509" s="7">
        <f t="shared" si="28"/>
        <v>3.2086776364674501</v>
      </c>
      <c r="G509" s="7">
        <f t="shared" si="29"/>
        <v>3.3715169999999999</v>
      </c>
      <c r="H509" s="7">
        <f t="shared" si="30"/>
        <v>0.1628393635325498</v>
      </c>
      <c r="I509" s="8">
        <f t="shared" si="31"/>
        <v>4.8298544403765367E-2</v>
      </c>
      <c r="J509" s="9">
        <v>102.14</v>
      </c>
      <c r="K509" s="9">
        <v>16.632412591214301</v>
      </c>
    </row>
    <row r="510" spans="1:11" ht="12.75" customHeight="1">
      <c r="A510" s="1">
        <v>46195</v>
      </c>
      <c r="B510" s="2">
        <v>5</v>
      </c>
      <c r="C510" s="7">
        <v>-3.2041484862448599</v>
      </c>
      <c r="D510" s="7">
        <v>-3.334638</v>
      </c>
      <c r="E510" s="7">
        <v>0.13048951375513701</v>
      </c>
      <c r="F510" s="7">
        <f t="shared" si="28"/>
        <v>3.2041484862448599</v>
      </c>
      <c r="G510" s="7">
        <f t="shared" si="29"/>
        <v>3.334638</v>
      </c>
      <c r="H510" s="7">
        <f t="shared" si="30"/>
        <v>0.13048951375514006</v>
      </c>
      <c r="I510" s="8">
        <f t="shared" si="31"/>
        <v>3.9131538042552164E-2</v>
      </c>
      <c r="J510" s="9">
        <v>84.97</v>
      </c>
      <c r="K510" s="9">
        <v>11.087693983774001</v>
      </c>
    </row>
    <row r="511" spans="1:11" ht="12.75" customHeight="1">
      <c r="A511" s="1">
        <v>46195</v>
      </c>
      <c r="B511" s="2">
        <v>6</v>
      </c>
      <c r="C511" s="7">
        <v>-2.9772507446599601</v>
      </c>
      <c r="D511" s="7">
        <v>-2.9800819999999999</v>
      </c>
      <c r="E511" s="7">
        <v>2.2406240340037499E-2</v>
      </c>
      <c r="F511" s="7">
        <f t="shared" si="28"/>
        <v>2.9772507446599601</v>
      </c>
      <c r="G511" s="7">
        <f t="shared" si="29"/>
        <v>2.9800819999999999</v>
      </c>
      <c r="H511" s="7">
        <f t="shared" si="30"/>
        <v>2.8312553400398066E-3</v>
      </c>
      <c r="I511" s="8">
        <f t="shared" si="31"/>
        <v>9.5005954199911503E-4</v>
      </c>
      <c r="J511" s="9">
        <v>60.96</v>
      </c>
      <c r="K511" s="9">
        <v>1.3658844111286901</v>
      </c>
    </row>
    <row r="512" spans="1:11" ht="12.75" customHeight="1">
      <c r="A512" s="1">
        <v>46195</v>
      </c>
      <c r="B512" s="2">
        <v>7</v>
      </c>
      <c r="C512" s="7">
        <v>-2.7241573722646502</v>
      </c>
      <c r="D512" s="7">
        <v>-2.6015869999999999</v>
      </c>
      <c r="E512" s="7">
        <v>6.0551331735354097E-2</v>
      </c>
      <c r="F512" s="7">
        <f t="shared" si="28"/>
        <v>2.7241573722646502</v>
      </c>
      <c r="G512" s="7">
        <f t="shared" si="29"/>
        <v>2.6015869999999999</v>
      </c>
      <c r="H512" s="7">
        <f t="shared" si="30"/>
        <v>0.12257037226465028</v>
      </c>
      <c r="I512" s="8">
        <f t="shared" si="31"/>
        <v>4.7113693397395622E-2</v>
      </c>
      <c r="J512" s="9">
        <v>84.44</v>
      </c>
      <c r="K512" s="9">
        <v>5.1129544517332999</v>
      </c>
    </row>
    <row r="513" spans="1:11" ht="12.75" customHeight="1">
      <c r="A513" s="1">
        <v>46195</v>
      </c>
      <c r="B513" s="2">
        <v>8</v>
      </c>
      <c r="C513" s="7">
        <v>-3.0991236891547702</v>
      </c>
      <c r="D513" s="7">
        <v>-2.6546409999999998</v>
      </c>
      <c r="E513" s="7">
        <v>-5.2453881547701803E-3</v>
      </c>
      <c r="F513" s="7">
        <f t="shared" si="28"/>
        <v>3.0991236891547702</v>
      </c>
      <c r="G513" s="7">
        <f t="shared" si="29"/>
        <v>2.6546409999999998</v>
      </c>
      <c r="H513" s="7">
        <f t="shared" si="30"/>
        <v>0.44448268915477041</v>
      </c>
      <c r="I513" s="8">
        <f t="shared" si="31"/>
        <v>0.16743608237602389</v>
      </c>
      <c r="J513" s="9">
        <v>45.13</v>
      </c>
      <c r="K513" s="9">
        <v>-0.23672436742477801</v>
      </c>
    </row>
    <row r="514" spans="1:11" ht="12.75" customHeight="1">
      <c r="A514" s="1">
        <v>46195</v>
      </c>
      <c r="B514" s="2">
        <v>9</v>
      </c>
      <c r="C514" s="7">
        <v>-3.9754314363752101</v>
      </c>
      <c r="D514" s="7">
        <v>-3.3462839999999998</v>
      </c>
      <c r="E514" s="7">
        <v>-0.105058026375213</v>
      </c>
      <c r="F514" s="7">
        <f t="shared" ref="F514:F577" si="32">ABS(C514)</f>
        <v>3.9754314363752101</v>
      </c>
      <c r="G514" s="7">
        <f t="shared" ref="G514:G577" si="33">ABS(D514)</f>
        <v>3.3462839999999998</v>
      </c>
      <c r="H514" s="7">
        <f t="shared" ref="H514:H577" si="34">ABS(G514-F514)</f>
        <v>0.62914743637521031</v>
      </c>
      <c r="I514" s="8">
        <f t="shared" ref="I514:I577" si="35">H514/G514</f>
        <v>0.18801375985278307</v>
      </c>
      <c r="J514" s="9">
        <v>31.48</v>
      </c>
      <c r="K514" s="9">
        <v>-3.3072266702917101</v>
      </c>
    </row>
    <row r="515" spans="1:11" ht="12.75" customHeight="1">
      <c r="A515" s="1">
        <v>46195</v>
      </c>
      <c r="B515" s="2">
        <v>10</v>
      </c>
      <c r="C515" s="7">
        <v>-4.5461814986074103</v>
      </c>
      <c r="D515" s="7">
        <v>-3.5526770000000001</v>
      </c>
      <c r="E515" s="7">
        <v>-0.33289873560741101</v>
      </c>
      <c r="F515" s="7">
        <f t="shared" si="32"/>
        <v>4.5461814986074103</v>
      </c>
      <c r="G515" s="7">
        <f t="shared" si="33"/>
        <v>3.5526770000000001</v>
      </c>
      <c r="H515" s="7">
        <f t="shared" si="34"/>
        <v>0.99350449860741019</v>
      </c>
      <c r="I515" s="8">
        <f t="shared" si="35"/>
        <v>0.27964954275533921</v>
      </c>
      <c r="J515" s="9">
        <v>21</v>
      </c>
      <c r="K515" s="9">
        <v>-6.9908734477556296</v>
      </c>
    </row>
    <row r="516" spans="1:11" ht="12.75" customHeight="1">
      <c r="A516" s="1">
        <v>46195</v>
      </c>
      <c r="B516" s="2">
        <v>11</v>
      </c>
      <c r="C516" s="7">
        <v>-4.5086478405766099</v>
      </c>
      <c r="D516" s="7">
        <v>-3.2026500000000002</v>
      </c>
      <c r="E516" s="7">
        <v>-0.56269124357660405</v>
      </c>
      <c r="F516" s="7">
        <f t="shared" si="32"/>
        <v>4.5086478405766099</v>
      </c>
      <c r="G516" s="7">
        <f t="shared" si="33"/>
        <v>3.2026500000000002</v>
      </c>
      <c r="H516" s="7">
        <f t="shared" si="34"/>
        <v>1.3059978405766097</v>
      </c>
      <c r="I516" s="8">
        <f t="shared" si="35"/>
        <v>0.40778662687980566</v>
      </c>
      <c r="J516" s="9">
        <v>46.92</v>
      </c>
      <c r="K516" s="9">
        <v>-26.401473148614301</v>
      </c>
    </row>
    <row r="517" spans="1:11" ht="12.75" customHeight="1">
      <c r="A517" s="1">
        <v>46195</v>
      </c>
      <c r="B517" s="2">
        <v>12</v>
      </c>
      <c r="C517" s="7">
        <v>-5.1463878075234097</v>
      </c>
      <c r="D517" s="7">
        <v>-3.2718790000000002</v>
      </c>
      <c r="E517" s="7">
        <v>-1.4410129845234101</v>
      </c>
      <c r="F517" s="7">
        <f t="shared" si="32"/>
        <v>5.1463878075234097</v>
      </c>
      <c r="G517" s="7">
        <f t="shared" si="33"/>
        <v>3.2718790000000002</v>
      </c>
      <c r="H517" s="7">
        <f t="shared" si="34"/>
        <v>1.8745088075234095</v>
      </c>
      <c r="I517" s="8">
        <f t="shared" si="35"/>
        <v>0.57291507648155982</v>
      </c>
      <c r="J517" s="9">
        <v>28.01</v>
      </c>
      <c r="K517" s="9">
        <v>-40.362773696500703</v>
      </c>
    </row>
    <row r="518" spans="1:11" ht="12.75" customHeight="1">
      <c r="A518" s="1">
        <v>46195</v>
      </c>
      <c r="B518" s="2">
        <v>13</v>
      </c>
      <c r="C518" s="7">
        <v>-5.2899335585380296</v>
      </c>
      <c r="D518" s="7">
        <v>-3.356636</v>
      </c>
      <c r="E518" s="7">
        <v>-1.5987675025380299</v>
      </c>
      <c r="F518" s="7">
        <f t="shared" si="32"/>
        <v>5.2899335585380296</v>
      </c>
      <c r="G518" s="7">
        <f t="shared" si="33"/>
        <v>3.356636</v>
      </c>
      <c r="H518" s="7">
        <f t="shared" si="34"/>
        <v>1.9332975585380296</v>
      </c>
      <c r="I518" s="8">
        <f t="shared" si="35"/>
        <v>0.57596282663298304</v>
      </c>
      <c r="J518" s="9">
        <v>30.22</v>
      </c>
      <c r="K518" s="9">
        <v>-48.314753926699403</v>
      </c>
    </row>
    <row r="519" spans="1:11" ht="12.75" customHeight="1">
      <c r="A519" s="1">
        <v>46195</v>
      </c>
      <c r="B519" s="2">
        <v>14</v>
      </c>
      <c r="C519" s="7">
        <v>-5.1054963569037</v>
      </c>
      <c r="D519" s="7">
        <v>-3.5397370000000001</v>
      </c>
      <c r="E519" s="7">
        <v>-0.99407986190369402</v>
      </c>
      <c r="F519" s="7">
        <f t="shared" si="32"/>
        <v>5.1054963569037</v>
      </c>
      <c r="G519" s="7">
        <f t="shared" si="33"/>
        <v>3.5397370000000001</v>
      </c>
      <c r="H519" s="7">
        <f t="shared" si="34"/>
        <v>1.5657593569036998</v>
      </c>
      <c r="I519" s="8">
        <f t="shared" si="35"/>
        <v>0.44233776602716524</v>
      </c>
      <c r="J519" s="9">
        <v>65.83</v>
      </c>
      <c r="K519" s="9">
        <v>-65.440277309120205</v>
      </c>
    </row>
    <row r="520" spans="1:11" ht="12.75" customHeight="1">
      <c r="A520" s="1">
        <v>46195</v>
      </c>
      <c r="B520" s="2">
        <v>15</v>
      </c>
      <c r="C520" s="7">
        <v>-5.4955724361291498</v>
      </c>
      <c r="D520" s="7">
        <v>-3.7991839999999999</v>
      </c>
      <c r="E520" s="7">
        <v>-1.30358050212915</v>
      </c>
      <c r="F520" s="7">
        <f t="shared" si="32"/>
        <v>5.4955724361291498</v>
      </c>
      <c r="G520" s="7">
        <f t="shared" si="33"/>
        <v>3.7991839999999999</v>
      </c>
      <c r="H520" s="7">
        <f t="shared" si="34"/>
        <v>1.6963884361291499</v>
      </c>
      <c r="I520" s="8">
        <f t="shared" si="35"/>
        <v>0.44651389249090068</v>
      </c>
      <c r="J520" s="9">
        <v>69.87</v>
      </c>
      <c r="K520" s="9">
        <v>-91.081169683764003</v>
      </c>
    </row>
    <row r="521" spans="1:11" ht="12.75" customHeight="1">
      <c r="A521" s="1">
        <v>46195</v>
      </c>
      <c r="B521" s="2">
        <v>16</v>
      </c>
      <c r="C521" s="7">
        <v>-5.2180156315971002</v>
      </c>
      <c r="D521" s="7">
        <v>-4.3096670000000001</v>
      </c>
      <c r="E521" s="7">
        <v>-0.544968198597096</v>
      </c>
      <c r="F521" s="7">
        <f t="shared" si="32"/>
        <v>5.2180156315971002</v>
      </c>
      <c r="G521" s="7">
        <f t="shared" si="33"/>
        <v>4.3096670000000001</v>
      </c>
      <c r="H521" s="7">
        <f t="shared" si="34"/>
        <v>0.90834863159710011</v>
      </c>
      <c r="I521" s="8">
        <f t="shared" si="35"/>
        <v>0.21077002738195319</v>
      </c>
      <c r="J521" s="9">
        <v>54.14</v>
      </c>
      <c r="K521" s="9">
        <v>-29.5045782720468</v>
      </c>
    </row>
    <row r="522" spans="1:11" ht="12.75" customHeight="1">
      <c r="A522" s="1">
        <v>46195</v>
      </c>
      <c r="B522" s="2">
        <v>17</v>
      </c>
      <c r="C522" s="7">
        <v>-4.7013190053454696</v>
      </c>
      <c r="D522" s="7">
        <v>-4.230086</v>
      </c>
      <c r="E522" s="7">
        <v>2.7637236545314499E-3</v>
      </c>
      <c r="F522" s="7">
        <f t="shared" si="32"/>
        <v>4.7013190053454696</v>
      </c>
      <c r="G522" s="7">
        <f t="shared" si="33"/>
        <v>4.230086</v>
      </c>
      <c r="H522" s="7">
        <f t="shared" si="34"/>
        <v>0.47123300534546964</v>
      </c>
      <c r="I522" s="8">
        <f t="shared" si="35"/>
        <v>0.1114003368596926</v>
      </c>
      <c r="J522" s="9">
        <v>20.47</v>
      </c>
      <c r="K522" s="9">
        <v>5.65734232082587E-2</v>
      </c>
    </row>
    <row r="523" spans="1:11" ht="12.75" customHeight="1">
      <c r="A523" s="1">
        <v>46195</v>
      </c>
      <c r="B523" s="2">
        <v>18</v>
      </c>
      <c r="C523" s="7">
        <v>-4.7581708842928601</v>
      </c>
      <c r="D523" s="7">
        <v>-4.171856</v>
      </c>
      <c r="E523" s="7">
        <v>-0.15959897429286199</v>
      </c>
      <c r="F523" s="7">
        <f t="shared" si="32"/>
        <v>4.7581708842928601</v>
      </c>
      <c r="G523" s="7">
        <f t="shared" si="33"/>
        <v>4.171856</v>
      </c>
      <c r="H523" s="7">
        <f t="shared" si="34"/>
        <v>0.58631488429286005</v>
      </c>
      <c r="I523" s="8">
        <f t="shared" si="35"/>
        <v>0.14054053742335787</v>
      </c>
      <c r="J523" s="9">
        <v>80.930000000000007</v>
      </c>
      <c r="K523" s="9">
        <v>-12.916344989521299</v>
      </c>
    </row>
    <row r="524" spans="1:11" ht="12.75" customHeight="1">
      <c r="A524" s="1">
        <v>46195</v>
      </c>
      <c r="B524" s="2">
        <v>19</v>
      </c>
      <c r="C524" s="7">
        <v>-5.08167888033016</v>
      </c>
      <c r="D524" s="7">
        <v>-4.8337370000000002</v>
      </c>
      <c r="E524" s="7">
        <v>-0.15353811033015799</v>
      </c>
      <c r="F524" s="7">
        <f t="shared" si="32"/>
        <v>5.08167888033016</v>
      </c>
      <c r="G524" s="7">
        <f t="shared" si="33"/>
        <v>4.8337370000000002</v>
      </c>
      <c r="H524" s="7">
        <f t="shared" si="34"/>
        <v>0.24794188033015985</v>
      </c>
      <c r="I524" s="8">
        <f t="shared" si="35"/>
        <v>5.1294036131911983E-2</v>
      </c>
      <c r="J524" s="9">
        <v>126.3</v>
      </c>
      <c r="K524" s="9">
        <v>-19.3918633346989</v>
      </c>
    </row>
    <row r="525" spans="1:11" ht="12.75" customHeight="1">
      <c r="A525" s="1">
        <v>46195</v>
      </c>
      <c r="B525" s="2">
        <v>20</v>
      </c>
      <c r="C525" s="7">
        <v>-5.8094382234439799</v>
      </c>
      <c r="D525" s="7">
        <v>-6.083094</v>
      </c>
      <c r="E525" s="7">
        <v>0.28540788455602201</v>
      </c>
      <c r="F525" s="7">
        <f t="shared" si="32"/>
        <v>5.8094382234439799</v>
      </c>
      <c r="G525" s="7">
        <f t="shared" si="33"/>
        <v>6.083094</v>
      </c>
      <c r="H525" s="7">
        <f t="shared" si="34"/>
        <v>0.27365577655602014</v>
      </c>
      <c r="I525" s="8">
        <f t="shared" si="35"/>
        <v>4.4986281085911239E-2</v>
      </c>
      <c r="J525" s="9">
        <v>80.94</v>
      </c>
      <c r="K525" s="9">
        <v>23.100914175964402</v>
      </c>
    </row>
    <row r="526" spans="1:11" ht="12.75" customHeight="1">
      <c r="A526" s="1">
        <v>46195</v>
      </c>
      <c r="B526" s="2">
        <v>21</v>
      </c>
      <c r="C526" s="7">
        <v>-6.1625520367646001</v>
      </c>
      <c r="D526" s="7">
        <v>-6.4965270000000004</v>
      </c>
      <c r="E526" s="7">
        <v>0.33397496323539999</v>
      </c>
      <c r="F526" s="7">
        <f t="shared" si="32"/>
        <v>6.1625520367646001</v>
      </c>
      <c r="G526" s="7">
        <f t="shared" si="33"/>
        <v>6.4965270000000004</v>
      </c>
      <c r="H526" s="7">
        <f t="shared" si="34"/>
        <v>0.33397496323540032</v>
      </c>
      <c r="I526" s="8">
        <f t="shared" si="35"/>
        <v>5.1408231388155597E-2</v>
      </c>
      <c r="J526" s="9">
        <v>105.1</v>
      </c>
      <c r="K526" s="9">
        <v>35.100768636040598</v>
      </c>
    </row>
    <row r="527" spans="1:11" ht="12.75" customHeight="1">
      <c r="A527" s="1">
        <v>46195</v>
      </c>
      <c r="B527" s="2">
        <v>22</v>
      </c>
      <c r="C527" s="7">
        <v>-5.8689530205916798</v>
      </c>
      <c r="D527" s="7">
        <v>-6.4460610000000003</v>
      </c>
      <c r="E527" s="7">
        <v>0.57710797940832104</v>
      </c>
      <c r="F527" s="7">
        <f t="shared" si="32"/>
        <v>5.8689530205916798</v>
      </c>
      <c r="G527" s="7">
        <f t="shared" si="33"/>
        <v>6.4460610000000003</v>
      </c>
      <c r="H527" s="7">
        <f t="shared" si="34"/>
        <v>0.57710797940832048</v>
      </c>
      <c r="I527" s="8">
        <f t="shared" si="35"/>
        <v>8.9528780352578177E-2</v>
      </c>
      <c r="J527" s="9">
        <v>109.21</v>
      </c>
      <c r="K527" s="9">
        <v>63.025962431182698</v>
      </c>
    </row>
    <row r="528" spans="1:11" ht="12.75" customHeight="1">
      <c r="A528" s="1">
        <v>46195</v>
      </c>
      <c r="B528" s="2">
        <v>23</v>
      </c>
      <c r="C528" s="7">
        <v>-4.9901498922001304</v>
      </c>
      <c r="D528" s="7">
        <v>-5.6819540000000002</v>
      </c>
      <c r="E528" s="7">
        <v>0.69180410779986901</v>
      </c>
      <c r="F528" s="7">
        <f t="shared" si="32"/>
        <v>4.9901498922001304</v>
      </c>
      <c r="G528" s="7">
        <f t="shared" si="33"/>
        <v>5.6819540000000002</v>
      </c>
      <c r="H528" s="7">
        <f t="shared" si="34"/>
        <v>0.69180410779986978</v>
      </c>
      <c r="I528" s="8">
        <f t="shared" si="35"/>
        <v>0.12175461255051867</v>
      </c>
      <c r="J528" s="9">
        <v>138.66999999999999</v>
      </c>
      <c r="K528" s="9">
        <v>95.932475628607804</v>
      </c>
    </row>
    <row r="529" spans="1:11" ht="12.75" customHeight="1">
      <c r="A529" s="1">
        <v>46195</v>
      </c>
      <c r="B529" s="2">
        <v>24</v>
      </c>
      <c r="C529" s="7">
        <v>-4.4500809856435604</v>
      </c>
      <c r="D529" s="7">
        <v>-4.739922</v>
      </c>
      <c r="E529" s="7">
        <v>0.28984101435644299</v>
      </c>
      <c r="F529" s="7">
        <f t="shared" si="32"/>
        <v>4.4500809856435604</v>
      </c>
      <c r="G529" s="7">
        <f t="shared" si="33"/>
        <v>4.739922</v>
      </c>
      <c r="H529" s="7">
        <f t="shared" si="34"/>
        <v>0.28984101435643961</v>
      </c>
      <c r="I529" s="8">
        <f t="shared" si="35"/>
        <v>6.1148899571857852E-2</v>
      </c>
      <c r="J529" s="9">
        <v>114.99</v>
      </c>
      <c r="K529" s="9">
        <v>33.328818240847298</v>
      </c>
    </row>
    <row r="530" spans="1:11" ht="12.75" customHeight="1">
      <c r="A530" s="1">
        <v>46196</v>
      </c>
      <c r="B530" s="2">
        <v>1</v>
      </c>
      <c r="C530" s="7">
        <v>-3.9733990402655399</v>
      </c>
      <c r="D530" s="7">
        <v>-4.1071559999999998</v>
      </c>
      <c r="E530" s="7">
        <v>0.133756959734461</v>
      </c>
      <c r="F530" s="7">
        <f t="shared" si="32"/>
        <v>3.9733990402655399</v>
      </c>
      <c r="G530" s="7">
        <f t="shared" si="33"/>
        <v>4.1071559999999998</v>
      </c>
      <c r="H530" s="7">
        <f t="shared" si="34"/>
        <v>0.13375695973445989</v>
      </c>
      <c r="I530" s="8">
        <f t="shared" si="35"/>
        <v>3.2566807721562049E-2</v>
      </c>
      <c r="J530" s="9">
        <v>133.97999999999999</v>
      </c>
      <c r="K530" s="9">
        <v>17.920757465223101</v>
      </c>
    </row>
    <row r="531" spans="1:11" ht="12.75" customHeight="1">
      <c r="A531" s="1">
        <v>46196</v>
      </c>
      <c r="B531" s="2">
        <v>2</v>
      </c>
      <c r="C531" s="7">
        <v>-3.9506834680685698</v>
      </c>
      <c r="D531" s="7">
        <v>-4.0094589999999997</v>
      </c>
      <c r="E531" s="7">
        <v>5.8775531931428697E-2</v>
      </c>
      <c r="F531" s="7">
        <f t="shared" si="32"/>
        <v>3.9506834680685698</v>
      </c>
      <c r="G531" s="7">
        <f t="shared" si="33"/>
        <v>4.0094589999999997</v>
      </c>
      <c r="H531" s="7">
        <f t="shared" si="34"/>
        <v>5.8775531931429814E-2</v>
      </c>
      <c r="I531" s="8">
        <f t="shared" si="35"/>
        <v>1.4659217598042484E-2</v>
      </c>
      <c r="J531" s="9">
        <v>101.61</v>
      </c>
      <c r="K531" s="9">
        <v>5.9721817995524704</v>
      </c>
    </row>
    <row r="532" spans="1:11" ht="12.75" customHeight="1">
      <c r="A532" s="1">
        <v>46196</v>
      </c>
      <c r="B532" s="2">
        <v>3</v>
      </c>
      <c r="C532" s="7">
        <v>-3.6955773482821899</v>
      </c>
      <c r="D532" s="7">
        <v>-3.8179470000000002</v>
      </c>
      <c r="E532" s="7">
        <v>0.122369651717807</v>
      </c>
      <c r="F532" s="7">
        <f t="shared" si="32"/>
        <v>3.6955773482821899</v>
      </c>
      <c r="G532" s="7">
        <f t="shared" si="33"/>
        <v>3.8179470000000002</v>
      </c>
      <c r="H532" s="7">
        <f t="shared" si="34"/>
        <v>0.12236965171781033</v>
      </c>
      <c r="I532" s="8">
        <f t="shared" si="35"/>
        <v>3.2051165644208873E-2</v>
      </c>
      <c r="J532" s="9">
        <v>90.64</v>
      </c>
      <c r="K532" s="9">
        <v>11.091585231702</v>
      </c>
    </row>
    <row r="533" spans="1:11" ht="12.75" customHeight="1">
      <c r="A533" s="1">
        <v>46196</v>
      </c>
      <c r="B533" s="2">
        <v>4</v>
      </c>
      <c r="C533" s="7">
        <v>-3.6721399146018499</v>
      </c>
      <c r="D533" s="7">
        <v>-3.8412389999999998</v>
      </c>
      <c r="E533" s="7">
        <v>0.16909908539815099</v>
      </c>
      <c r="F533" s="7">
        <f t="shared" si="32"/>
        <v>3.6721399146018499</v>
      </c>
      <c r="G533" s="7">
        <f t="shared" si="33"/>
        <v>3.8412389999999998</v>
      </c>
      <c r="H533" s="7">
        <f t="shared" si="34"/>
        <v>0.16909908539815</v>
      </c>
      <c r="I533" s="8">
        <f t="shared" si="35"/>
        <v>4.4022016177111087E-2</v>
      </c>
      <c r="J533" s="9">
        <v>94.16</v>
      </c>
      <c r="K533" s="9">
        <v>15.922369881089899</v>
      </c>
    </row>
    <row r="534" spans="1:11" ht="12.75" customHeight="1">
      <c r="A534" s="1">
        <v>46196</v>
      </c>
      <c r="B534" s="2">
        <v>5</v>
      </c>
      <c r="C534" s="7">
        <v>-3.7138510854139501</v>
      </c>
      <c r="D534" s="7">
        <v>-3.7778330000000002</v>
      </c>
      <c r="E534" s="7">
        <v>6.39819145860476E-2</v>
      </c>
      <c r="F534" s="7">
        <f t="shared" si="32"/>
        <v>3.7138510854139501</v>
      </c>
      <c r="G534" s="7">
        <f t="shared" si="33"/>
        <v>3.7778330000000002</v>
      </c>
      <c r="H534" s="7">
        <f t="shared" si="34"/>
        <v>6.398191458605007E-2</v>
      </c>
      <c r="I534" s="8">
        <f t="shared" si="35"/>
        <v>1.6936141588590619E-2</v>
      </c>
      <c r="J534" s="9">
        <v>97.68</v>
      </c>
      <c r="K534" s="9">
        <v>6.2497534167651301</v>
      </c>
    </row>
    <row r="535" spans="1:11" ht="12.75" customHeight="1">
      <c r="A535" s="1">
        <v>46196</v>
      </c>
      <c r="B535" s="2">
        <v>6</v>
      </c>
      <c r="C535" s="7">
        <v>-3.4373816999511599</v>
      </c>
      <c r="D535" s="7">
        <v>-3.5701459999999998</v>
      </c>
      <c r="E535" s="7">
        <v>0.145152409048839</v>
      </c>
      <c r="F535" s="7">
        <f t="shared" si="32"/>
        <v>3.4373816999511599</v>
      </c>
      <c r="G535" s="7">
        <f t="shared" si="33"/>
        <v>3.5701459999999998</v>
      </c>
      <c r="H535" s="7">
        <f t="shared" si="34"/>
        <v>0.13276430004883988</v>
      </c>
      <c r="I535" s="8">
        <f t="shared" si="35"/>
        <v>3.7187358737945139E-2</v>
      </c>
      <c r="J535" s="9">
        <v>95.48</v>
      </c>
      <c r="K535" s="9">
        <v>13.8591520159832</v>
      </c>
    </row>
    <row r="536" spans="1:11" ht="12.75" customHeight="1">
      <c r="A536" s="1">
        <v>46196</v>
      </c>
      <c r="B536" s="2">
        <v>7</v>
      </c>
      <c r="C536" s="7">
        <v>-3.0982585553199802</v>
      </c>
      <c r="D536" s="7">
        <v>-3.1120700000000001</v>
      </c>
      <c r="E536" s="7">
        <v>0.12738453068002201</v>
      </c>
      <c r="F536" s="7">
        <f t="shared" si="32"/>
        <v>3.0982585553199802</v>
      </c>
      <c r="G536" s="7">
        <f t="shared" si="33"/>
        <v>3.1120700000000001</v>
      </c>
      <c r="H536" s="7">
        <f t="shared" si="34"/>
        <v>1.3811444680019935E-2</v>
      </c>
      <c r="I536" s="8">
        <f t="shared" si="35"/>
        <v>4.4380250701365762E-3</v>
      </c>
      <c r="J536" s="9">
        <v>80.7</v>
      </c>
      <c r="K536" s="9">
        <v>10.279931625877801</v>
      </c>
    </row>
    <row r="537" spans="1:11" ht="12.75" customHeight="1">
      <c r="A537" s="1">
        <v>46196</v>
      </c>
      <c r="B537" s="2">
        <v>8</v>
      </c>
      <c r="C537" s="7">
        <v>-3.44015065218233</v>
      </c>
      <c r="D537" s="7">
        <v>-2.974259</v>
      </c>
      <c r="E537" s="7">
        <v>-0.145766404182329</v>
      </c>
      <c r="F537" s="7">
        <f t="shared" si="32"/>
        <v>3.44015065218233</v>
      </c>
      <c r="G537" s="7">
        <f t="shared" si="33"/>
        <v>2.974259</v>
      </c>
      <c r="H537" s="7">
        <f t="shared" si="34"/>
        <v>0.46589165218232997</v>
      </c>
      <c r="I537" s="8">
        <f t="shared" si="35"/>
        <v>0.15664125154612626</v>
      </c>
      <c r="J537" s="9">
        <v>59.84</v>
      </c>
      <c r="K537" s="9">
        <v>-8.7226616262705505</v>
      </c>
    </row>
    <row r="538" spans="1:11" ht="12.75" customHeight="1">
      <c r="A538" s="1">
        <v>46196</v>
      </c>
      <c r="B538" s="2">
        <v>9</v>
      </c>
      <c r="C538" s="7">
        <v>-4.1867031855066497</v>
      </c>
      <c r="D538" s="7">
        <v>-3.5539710000000002</v>
      </c>
      <c r="E538" s="7">
        <v>-0.17678287450664501</v>
      </c>
      <c r="F538" s="7">
        <f t="shared" si="32"/>
        <v>4.1867031855066497</v>
      </c>
      <c r="G538" s="7">
        <f t="shared" si="33"/>
        <v>3.5539710000000002</v>
      </c>
      <c r="H538" s="7">
        <f t="shared" si="34"/>
        <v>0.63273218550664945</v>
      </c>
      <c r="I538" s="8">
        <f t="shared" si="35"/>
        <v>0.17803526970440936</v>
      </c>
      <c r="J538" s="9">
        <v>39.630000000000003</v>
      </c>
      <c r="K538" s="9">
        <v>-7.0059053166983496</v>
      </c>
    </row>
    <row r="539" spans="1:11" ht="12.75" customHeight="1">
      <c r="A539" s="1">
        <v>46196</v>
      </c>
      <c r="B539" s="2">
        <v>10</v>
      </c>
      <c r="C539" s="7">
        <v>-4.6020564819435901</v>
      </c>
      <c r="D539" s="7">
        <v>-3.5377960000000002</v>
      </c>
      <c r="E539" s="7">
        <v>-0.40268033694358701</v>
      </c>
      <c r="F539" s="7">
        <f t="shared" si="32"/>
        <v>4.6020564819435901</v>
      </c>
      <c r="G539" s="7">
        <f t="shared" si="33"/>
        <v>3.5377960000000002</v>
      </c>
      <c r="H539" s="7">
        <f t="shared" si="34"/>
        <v>1.0642604819435899</v>
      </c>
      <c r="I539" s="8">
        <f t="shared" si="35"/>
        <v>0.30082584805443557</v>
      </c>
      <c r="J539" s="9">
        <v>24.21</v>
      </c>
      <c r="K539" s="9">
        <v>-9.7488909574042406</v>
      </c>
    </row>
    <row r="540" spans="1:11" ht="12.75" customHeight="1">
      <c r="A540" s="1">
        <v>46196</v>
      </c>
      <c r="B540" s="2">
        <v>11</v>
      </c>
      <c r="C540" s="7">
        <v>-4.7050927685891999</v>
      </c>
      <c r="D540" s="7">
        <v>-3.5157980000000002</v>
      </c>
      <c r="E540" s="7">
        <v>-0.61538118258919505</v>
      </c>
      <c r="F540" s="7">
        <f t="shared" si="32"/>
        <v>4.7050927685891999</v>
      </c>
      <c r="G540" s="7">
        <f t="shared" si="33"/>
        <v>3.5157980000000002</v>
      </c>
      <c r="H540" s="7">
        <f t="shared" si="34"/>
        <v>1.1892947685891997</v>
      </c>
      <c r="I540" s="8">
        <f t="shared" si="35"/>
        <v>0.33827164376030694</v>
      </c>
      <c r="J540" s="9">
        <v>39.99</v>
      </c>
      <c r="K540" s="9">
        <v>-24.609093491741898</v>
      </c>
    </row>
    <row r="541" spans="1:11" ht="12.75" customHeight="1">
      <c r="A541" s="1">
        <v>46196</v>
      </c>
      <c r="B541" s="2">
        <v>12</v>
      </c>
      <c r="C541" s="7">
        <v>-4.3605542047946999</v>
      </c>
      <c r="D541" s="7">
        <v>-3.5190329999999999</v>
      </c>
      <c r="E541" s="7">
        <v>-0.18738181859469599</v>
      </c>
      <c r="F541" s="7">
        <f t="shared" si="32"/>
        <v>4.3605542047946999</v>
      </c>
      <c r="G541" s="7">
        <f t="shared" si="33"/>
        <v>3.5190329999999999</v>
      </c>
      <c r="H541" s="7">
        <f t="shared" si="34"/>
        <v>0.84152120479470005</v>
      </c>
      <c r="I541" s="8">
        <f t="shared" si="35"/>
        <v>0.23913421806351348</v>
      </c>
      <c r="J541" s="9">
        <v>45.03</v>
      </c>
      <c r="K541" s="9">
        <v>-8.4378032913191596</v>
      </c>
    </row>
    <row r="542" spans="1:11" ht="12.75" customHeight="1">
      <c r="A542" s="1">
        <v>46196</v>
      </c>
      <c r="B542" s="2">
        <v>13</v>
      </c>
      <c r="C542" s="7">
        <v>-4.7488712046402703</v>
      </c>
      <c r="D542" s="7">
        <v>-3.5397370000000001</v>
      </c>
      <c r="E542" s="7">
        <v>-0.68433930584027003</v>
      </c>
      <c r="F542" s="7">
        <f t="shared" si="32"/>
        <v>4.7488712046402703</v>
      </c>
      <c r="G542" s="7">
        <f t="shared" si="33"/>
        <v>3.5397370000000001</v>
      </c>
      <c r="H542" s="7">
        <f t="shared" si="34"/>
        <v>1.2091342046402702</v>
      </c>
      <c r="I542" s="8">
        <f t="shared" si="35"/>
        <v>0.3415887125626198</v>
      </c>
      <c r="J542" s="9">
        <v>36.26</v>
      </c>
      <c r="K542" s="9">
        <v>-24.814143229768199</v>
      </c>
    </row>
    <row r="543" spans="1:11" ht="12.75" customHeight="1">
      <c r="A543" s="1">
        <v>46196</v>
      </c>
      <c r="B543" s="2">
        <v>14</v>
      </c>
      <c r="C543" s="7">
        <v>-4.6936419995990697</v>
      </c>
      <c r="D543" s="7">
        <v>-3.5585</v>
      </c>
      <c r="E543" s="7">
        <v>-0.61688128319906799</v>
      </c>
      <c r="F543" s="7">
        <f t="shared" si="32"/>
        <v>4.6936419995990697</v>
      </c>
      <c r="G543" s="7">
        <f t="shared" si="33"/>
        <v>3.5585</v>
      </c>
      <c r="H543" s="7">
        <f t="shared" si="34"/>
        <v>1.1351419995990697</v>
      </c>
      <c r="I543" s="8">
        <f t="shared" si="35"/>
        <v>0.31899452005032169</v>
      </c>
      <c r="J543" s="9">
        <v>13.63</v>
      </c>
      <c r="K543" s="9">
        <v>-8.4080918900033002</v>
      </c>
    </row>
    <row r="544" spans="1:11" ht="12.75" customHeight="1">
      <c r="A544" s="1">
        <v>46196</v>
      </c>
      <c r="B544" s="2">
        <v>15</v>
      </c>
      <c r="C544" s="7">
        <v>-4.5956787760799704</v>
      </c>
      <c r="D544" s="7">
        <v>-4.0948630000000001</v>
      </c>
      <c r="E544" s="7">
        <v>-3.9279490679967499E-2</v>
      </c>
      <c r="F544" s="7">
        <f t="shared" si="32"/>
        <v>4.5956787760799704</v>
      </c>
      <c r="G544" s="7">
        <f t="shared" si="33"/>
        <v>4.0948630000000001</v>
      </c>
      <c r="H544" s="7">
        <f t="shared" si="34"/>
        <v>0.5008157760799703</v>
      </c>
      <c r="I544" s="8">
        <f t="shared" si="35"/>
        <v>0.12230342653221128</v>
      </c>
      <c r="J544" s="9">
        <v>24.54</v>
      </c>
      <c r="K544" s="9">
        <v>-0.963918701286401</v>
      </c>
    </row>
    <row r="545" spans="1:11" ht="12.75" customHeight="1">
      <c r="A545" s="1">
        <v>46196</v>
      </c>
      <c r="B545" s="2">
        <v>16</v>
      </c>
      <c r="C545" s="7">
        <v>-4.7993741737177702</v>
      </c>
      <c r="D545" s="7">
        <v>-4.4306559999999999</v>
      </c>
      <c r="E545" s="7">
        <v>0.16908698928223301</v>
      </c>
      <c r="F545" s="7">
        <f t="shared" si="32"/>
        <v>4.7993741737177702</v>
      </c>
      <c r="G545" s="7">
        <f t="shared" si="33"/>
        <v>4.4306559999999999</v>
      </c>
      <c r="H545" s="7">
        <f t="shared" si="34"/>
        <v>0.36871817371777027</v>
      </c>
      <c r="I545" s="8">
        <f t="shared" si="35"/>
        <v>8.3219770101260457E-2</v>
      </c>
      <c r="J545" s="9">
        <v>18.14</v>
      </c>
      <c r="K545" s="9">
        <v>3.0672379855797001</v>
      </c>
    </row>
    <row r="546" spans="1:11" ht="12.75" customHeight="1">
      <c r="A546" s="1">
        <v>46196</v>
      </c>
      <c r="B546" s="2">
        <v>17</v>
      </c>
      <c r="C546" s="7">
        <v>-5.5280107039044299</v>
      </c>
      <c r="D546" s="7">
        <v>-4.5535860000000001</v>
      </c>
      <c r="E546" s="7">
        <v>-0.71496799890442397</v>
      </c>
      <c r="F546" s="7">
        <f t="shared" si="32"/>
        <v>5.5280107039044299</v>
      </c>
      <c r="G546" s="7">
        <f t="shared" si="33"/>
        <v>4.5535860000000001</v>
      </c>
      <c r="H546" s="7">
        <f t="shared" si="34"/>
        <v>0.97442470390442981</v>
      </c>
      <c r="I546" s="8">
        <f t="shared" si="35"/>
        <v>0.21399062275411726</v>
      </c>
      <c r="J546" s="9">
        <v>41.69</v>
      </c>
      <c r="K546" s="9">
        <v>-29.807015874325401</v>
      </c>
    </row>
    <row r="547" spans="1:11" ht="12.75" customHeight="1">
      <c r="A547" s="1">
        <v>46196</v>
      </c>
      <c r="B547" s="2">
        <v>18</v>
      </c>
      <c r="C547" s="7">
        <v>-5.3156068284432498</v>
      </c>
      <c r="D547" s="7">
        <v>-4.4636529999999999</v>
      </c>
      <c r="E547" s="7">
        <v>-0.70656969344325105</v>
      </c>
      <c r="F547" s="7">
        <f t="shared" si="32"/>
        <v>5.3156068284432498</v>
      </c>
      <c r="G547" s="7">
        <f t="shared" si="33"/>
        <v>4.4636529999999999</v>
      </c>
      <c r="H547" s="7">
        <f t="shared" si="34"/>
        <v>0.85195382844324996</v>
      </c>
      <c r="I547" s="8">
        <f t="shared" si="35"/>
        <v>0.19086470844468645</v>
      </c>
      <c r="J547" s="9">
        <v>121.55</v>
      </c>
      <c r="K547" s="9">
        <v>-85.883546238027094</v>
      </c>
    </row>
    <row r="548" spans="1:11" ht="12.75" customHeight="1">
      <c r="A548" s="1">
        <v>46196</v>
      </c>
      <c r="B548" s="2">
        <v>19</v>
      </c>
      <c r="C548" s="7">
        <v>-5.4298564527978401</v>
      </c>
      <c r="D548" s="7">
        <v>-5.129416</v>
      </c>
      <c r="E548" s="7">
        <v>-0.24728099179784199</v>
      </c>
      <c r="F548" s="7">
        <f t="shared" si="32"/>
        <v>5.4298564527978401</v>
      </c>
      <c r="G548" s="7">
        <f t="shared" si="33"/>
        <v>5.129416</v>
      </c>
      <c r="H548" s="7">
        <f t="shared" si="34"/>
        <v>0.30044045279784015</v>
      </c>
      <c r="I548" s="8">
        <f t="shared" si="35"/>
        <v>5.8572058261182197E-2</v>
      </c>
      <c r="J548" s="9">
        <v>148.54</v>
      </c>
      <c r="K548" s="9">
        <v>-36.731118521651503</v>
      </c>
    </row>
    <row r="549" spans="1:11" ht="12.75" customHeight="1">
      <c r="A549" s="1">
        <v>46196</v>
      </c>
      <c r="B549" s="2">
        <v>20</v>
      </c>
      <c r="C549" s="7">
        <v>-5.9251093722535702</v>
      </c>
      <c r="D549" s="7">
        <v>-6.0805059999999997</v>
      </c>
      <c r="E549" s="7">
        <v>0.18393773874643099</v>
      </c>
      <c r="F549" s="7">
        <f t="shared" si="32"/>
        <v>5.9251093722535702</v>
      </c>
      <c r="G549" s="7">
        <f t="shared" si="33"/>
        <v>6.0805059999999997</v>
      </c>
      <c r="H549" s="7">
        <f t="shared" si="34"/>
        <v>0.15539662774642959</v>
      </c>
      <c r="I549" s="8">
        <f t="shared" si="35"/>
        <v>2.5556528970850388E-2</v>
      </c>
      <c r="J549" s="9">
        <v>187.9</v>
      </c>
      <c r="K549" s="9">
        <v>34.5619011104545</v>
      </c>
    </row>
    <row r="550" spans="1:11" ht="12.75" customHeight="1">
      <c r="A550" s="1">
        <v>46196</v>
      </c>
      <c r="B550" s="2">
        <v>21</v>
      </c>
      <c r="C550" s="7">
        <v>-6.5460171913755802</v>
      </c>
      <c r="D550" s="7">
        <v>-6.3580690000000004</v>
      </c>
      <c r="E550" s="7">
        <v>-0.18794172137557999</v>
      </c>
      <c r="F550" s="7">
        <f t="shared" si="32"/>
        <v>6.5460171913755802</v>
      </c>
      <c r="G550" s="7">
        <f t="shared" si="33"/>
        <v>6.3580690000000004</v>
      </c>
      <c r="H550" s="7">
        <f t="shared" si="34"/>
        <v>0.18794819137557983</v>
      </c>
      <c r="I550" s="8">
        <f t="shared" si="35"/>
        <v>2.9560577492251158E-2</v>
      </c>
      <c r="J550" s="9">
        <v>199.65</v>
      </c>
      <c r="K550" s="9">
        <v>-37.522564672634601</v>
      </c>
    </row>
    <row r="551" spans="1:11" ht="12.75" customHeight="1">
      <c r="A551" s="1">
        <v>46196</v>
      </c>
      <c r="B551" s="2">
        <v>22</v>
      </c>
      <c r="C551" s="7">
        <v>-6.2802326909789503</v>
      </c>
      <c r="D551" s="7">
        <v>-6.257784</v>
      </c>
      <c r="E551" s="7">
        <v>-2.2448690978948901E-2</v>
      </c>
      <c r="F551" s="7">
        <f t="shared" si="32"/>
        <v>6.2802326909789503</v>
      </c>
      <c r="G551" s="7">
        <f t="shared" si="33"/>
        <v>6.257784</v>
      </c>
      <c r="H551" s="7">
        <f t="shared" si="34"/>
        <v>2.2448690978950303E-2</v>
      </c>
      <c r="I551" s="8">
        <f t="shared" si="35"/>
        <v>3.5873227613721251E-3</v>
      </c>
      <c r="J551" s="9">
        <v>220</v>
      </c>
      <c r="K551" s="9">
        <v>-4.9387120153687603</v>
      </c>
    </row>
    <row r="552" spans="1:11" ht="12.75" customHeight="1">
      <c r="A552" s="1">
        <v>46196</v>
      </c>
      <c r="B552" s="2">
        <v>23</v>
      </c>
      <c r="C552" s="7">
        <v>-5.29974445347528</v>
      </c>
      <c r="D552" s="7">
        <v>-5.5706699999999998</v>
      </c>
      <c r="E552" s="7">
        <v>0.27092554652471901</v>
      </c>
      <c r="F552" s="7">
        <f t="shared" si="32"/>
        <v>5.29974445347528</v>
      </c>
      <c r="G552" s="7">
        <f t="shared" si="33"/>
        <v>5.5706699999999998</v>
      </c>
      <c r="H552" s="7">
        <f t="shared" si="34"/>
        <v>0.27092554652471978</v>
      </c>
      <c r="I552" s="8">
        <f t="shared" si="35"/>
        <v>4.8634283941558158E-2</v>
      </c>
      <c r="J552" s="9">
        <v>153.25</v>
      </c>
      <c r="K552" s="9">
        <v>41.519340004913197</v>
      </c>
    </row>
    <row r="553" spans="1:11" ht="12.75" customHeight="1">
      <c r="A553" s="1">
        <v>46196</v>
      </c>
      <c r="B553" s="2">
        <v>24</v>
      </c>
      <c r="C553" s="7">
        <v>-4.7152070137815096</v>
      </c>
      <c r="D553" s="7">
        <v>-4.6823389999999998</v>
      </c>
      <c r="E553" s="7">
        <v>-3.2868013781514202E-2</v>
      </c>
      <c r="F553" s="7">
        <f t="shared" si="32"/>
        <v>4.7152070137815096</v>
      </c>
      <c r="G553" s="7">
        <f t="shared" si="33"/>
        <v>4.6823389999999998</v>
      </c>
      <c r="H553" s="7">
        <f t="shared" si="34"/>
        <v>3.2868013781509831E-2</v>
      </c>
      <c r="I553" s="8">
        <f t="shared" si="35"/>
        <v>7.0195715819614578E-3</v>
      </c>
      <c r="J553" s="9">
        <v>88.43</v>
      </c>
      <c r="K553" s="9">
        <v>-2.9065184586993</v>
      </c>
    </row>
    <row r="554" spans="1:11" ht="12.75" customHeight="1">
      <c r="A554" s="1">
        <v>46197</v>
      </c>
      <c r="B554" s="2">
        <v>1</v>
      </c>
      <c r="C554" s="7">
        <v>-4.2564841310496497</v>
      </c>
      <c r="D554" s="7">
        <v>-4.0987450000000001</v>
      </c>
      <c r="E554" s="7">
        <v>-0.15773913104965201</v>
      </c>
      <c r="F554" s="7">
        <f t="shared" si="32"/>
        <v>4.2564841310496497</v>
      </c>
      <c r="G554" s="7">
        <f t="shared" si="33"/>
        <v>4.0987450000000001</v>
      </c>
      <c r="H554" s="7">
        <f t="shared" si="34"/>
        <v>0.15773913104964965</v>
      </c>
      <c r="I554" s="8">
        <f t="shared" si="35"/>
        <v>3.8484738877302603E-2</v>
      </c>
      <c r="J554" s="9">
        <v>161.63999999999999</v>
      </c>
      <c r="K554" s="9">
        <v>-25.496953142865699</v>
      </c>
    </row>
    <row r="555" spans="1:11" ht="12.75" customHeight="1">
      <c r="A555" s="1">
        <v>46197</v>
      </c>
      <c r="B555" s="2">
        <v>2</v>
      </c>
      <c r="C555" s="7">
        <v>-4.1243265880400202</v>
      </c>
      <c r="D555" s="7">
        <v>-4.0249870000000003</v>
      </c>
      <c r="E555" s="7">
        <v>-9.9339588040018606E-2</v>
      </c>
      <c r="F555" s="7">
        <f t="shared" si="32"/>
        <v>4.1243265880400202</v>
      </c>
      <c r="G555" s="7">
        <f t="shared" si="33"/>
        <v>4.0249870000000003</v>
      </c>
      <c r="H555" s="7">
        <f t="shared" si="34"/>
        <v>9.9339588040019855E-2</v>
      </c>
      <c r="I555" s="8">
        <f t="shared" si="35"/>
        <v>2.4680722705444726E-2</v>
      </c>
      <c r="J555" s="9">
        <v>124.76</v>
      </c>
      <c r="K555" s="9">
        <v>-12.393607003872701</v>
      </c>
    </row>
    <row r="556" spans="1:11" ht="12.75" customHeight="1">
      <c r="A556" s="1">
        <v>46197</v>
      </c>
      <c r="B556" s="2">
        <v>3</v>
      </c>
      <c r="C556" s="7">
        <v>-3.8057971356020399</v>
      </c>
      <c r="D556" s="7">
        <v>-3.9014099999999998</v>
      </c>
      <c r="E556" s="7">
        <v>9.5612864397963196E-2</v>
      </c>
      <c r="F556" s="7">
        <f t="shared" si="32"/>
        <v>3.8057971356020399</v>
      </c>
      <c r="G556" s="7">
        <f t="shared" si="33"/>
        <v>3.9014099999999998</v>
      </c>
      <c r="H556" s="7">
        <f t="shared" si="34"/>
        <v>9.5612864397959907E-2</v>
      </c>
      <c r="I556" s="8">
        <f t="shared" si="35"/>
        <v>2.4507258759771444E-2</v>
      </c>
      <c r="J556" s="9">
        <v>73.56</v>
      </c>
      <c r="K556" s="9">
        <v>7.0332823051141702</v>
      </c>
    </row>
    <row r="557" spans="1:11" ht="12.75" customHeight="1">
      <c r="A557" s="1">
        <v>46197</v>
      </c>
      <c r="B557" s="2">
        <v>4</v>
      </c>
      <c r="C557" s="7">
        <v>-3.8944148524252902</v>
      </c>
      <c r="D557" s="7">
        <v>-3.90788</v>
      </c>
      <c r="E557" s="7">
        <v>1.34651475747137E-2</v>
      </c>
      <c r="F557" s="7">
        <f t="shared" si="32"/>
        <v>3.8944148524252902</v>
      </c>
      <c r="G557" s="7">
        <f t="shared" si="33"/>
        <v>3.90788</v>
      </c>
      <c r="H557" s="7">
        <f t="shared" si="34"/>
        <v>1.3465147574709846E-2</v>
      </c>
      <c r="I557" s="8">
        <f t="shared" si="35"/>
        <v>3.445639982473834E-3</v>
      </c>
      <c r="J557" s="9">
        <v>59.86</v>
      </c>
      <c r="K557" s="9">
        <v>0.80602373382236303</v>
      </c>
    </row>
    <row r="558" spans="1:11" ht="12.75" customHeight="1">
      <c r="A558" s="1">
        <v>46197</v>
      </c>
      <c r="B558" s="2">
        <v>5</v>
      </c>
      <c r="C558" s="7">
        <v>-3.7861259018901299</v>
      </c>
      <c r="D558" s="7">
        <v>-3.8431799999999998</v>
      </c>
      <c r="E558" s="7">
        <v>5.7054098109867703E-2</v>
      </c>
      <c r="F558" s="7">
        <f t="shared" si="32"/>
        <v>3.7861259018901299</v>
      </c>
      <c r="G558" s="7">
        <f t="shared" si="33"/>
        <v>3.8431799999999998</v>
      </c>
      <c r="H558" s="7">
        <f t="shared" si="34"/>
        <v>5.7054098109869944E-2</v>
      </c>
      <c r="I558" s="8">
        <f t="shared" si="35"/>
        <v>1.4845544083251356E-2</v>
      </c>
      <c r="J558" s="9">
        <v>24.3</v>
      </c>
      <c r="K558" s="9">
        <v>1.3864145840697799</v>
      </c>
    </row>
    <row r="559" spans="1:11" ht="12.75" customHeight="1">
      <c r="A559" s="1">
        <v>46197</v>
      </c>
      <c r="B559" s="2">
        <v>6</v>
      </c>
      <c r="C559" s="7">
        <v>-3.5077020686990301</v>
      </c>
      <c r="D559" s="7">
        <v>-3.5688520000000001</v>
      </c>
      <c r="E559" s="7">
        <v>7.2637416300968802E-2</v>
      </c>
      <c r="F559" s="7">
        <f t="shared" si="32"/>
        <v>3.5077020686990301</v>
      </c>
      <c r="G559" s="7">
        <f t="shared" si="33"/>
        <v>3.5688520000000001</v>
      </c>
      <c r="H559" s="7">
        <f t="shared" si="34"/>
        <v>6.1149931300970017E-2</v>
      </c>
      <c r="I559" s="8">
        <f t="shared" si="35"/>
        <v>1.713434216408246E-2</v>
      </c>
      <c r="J559" s="9">
        <v>39.01</v>
      </c>
      <c r="K559" s="9">
        <v>2.8335856099007901</v>
      </c>
    </row>
    <row r="560" spans="1:11" ht="12.75" customHeight="1">
      <c r="A560" s="1">
        <v>46197</v>
      </c>
      <c r="B560" s="2">
        <v>7</v>
      </c>
      <c r="C560" s="7">
        <v>-3.1442364482757701</v>
      </c>
      <c r="D560" s="7">
        <v>-3.0208430000000002</v>
      </c>
      <c r="E560" s="7">
        <v>-3.2115335275769999E-2</v>
      </c>
      <c r="F560" s="7">
        <f t="shared" si="32"/>
        <v>3.1442364482757701</v>
      </c>
      <c r="G560" s="7">
        <f t="shared" si="33"/>
        <v>3.0208430000000002</v>
      </c>
      <c r="H560" s="7">
        <f t="shared" si="34"/>
        <v>0.12339344827576992</v>
      </c>
      <c r="I560" s="8">
        <f t="shared" si="35"/>
        <v>4.0847355614234145E-2</v>
      </c>
      <c r="J560" s="9">
        <v>20.56</v>
      </c>
      <c r="K560" s="9">
        <v>-0.66029129326983205</v>
      </c>
    </row>
    <row r="561" spans="1:11" ht="12.75" customHeight="1">
      <c r="A561" s="1">
        <v>46197</v>
      </c>
      <c r="B561" s="2">
        <v>8</v>
      </c>
      <c r="C561" s="7">
        <v>-3.3609097510482102</v>
      </c>
      <c r="D561" s="7">
        <v>-3.5462069999999999</v>
      </c>
      <c r="E561" s="7">
        <v>0.53187056295179003</v>
      </c>
      <c r="F561" s="7">
        <f t="shared" si="32"/>
        <v>3.3609097510482102</v>
      </c>
      <c r="G561" s="7">
        <f t="shared" si="33"/>
        <v>3.5462069999999999</v>
      </c>
      <c r="H561" s="7">
        <f t="shared" si="34"/>
        <v>0.18529724895178967</v>
      </c>
      <c r="I561" s="8">
        <f t="shared" si="35"/>
        <v>5.2252237094955169E-2</v>
      </c>
      <c r="J561" s="9">
        <v>35.1</v>
      </c>
      <c r="K561" s="9">
        <v>18.668656759607799</v>
      </c>
    </row>
    <row r="562" spans="1:11" ht="12.75" customHeight="1">
      <c r="A562" s="1">
        <v>46197</v>
      </c>
      <c r="B562" s="2">
        <v>9</v>
      </c>
      <c r="C562" s="7">
        <v>-3.9461377529242498</v>
      </c>
      <c r="D562" s="7">
        <v>-3.1657709999999999</v>
      </c>
      <c r="E562" s="7">
        <v>-0.30249384692424502</v>
      </c>
      <c r="F562" s="7">
        <f t="shared" si="32"/>
        <v>3.9461377529242498</v>
      </c>
      <c r="G562" s="7">
        <f t="shared" si="33"/>
        <v>3.1657709999999999</v>
      </c>
      <c r="H562" s="7">
        <f t="shared" si="34"/>
        <v>0.78036675292424995</v>
      </c>
      <c r="I562" s="8">
        <f t="shared" si="35"/>
        <v>0.24650132714092396</v>
      </c>
      <c r="J562" s="9">
        <v>33.590000000000003</v>
      </c>
      <c r="K562" s="9">
        <v>-10.160768318185401</v>
      </c>
    </row>
    <row r="563" spans="1:11" ht="12.75" customHeight="1">
      <c r="A563" s="1">
        <v>46197</v>
      </c>
      <c r="B563" s="2">
        <v>10</v>
      </c>
      <c r="C563" s="7">
        <v>-4.2286278143612002</v>
      </c>
      <c r="D563" s="7">
        <v>-3.2576450000000001</v>
      </c>
      <c r="E563" s="7">
        <v>-0.36317678036120299</v>
      </c>
      <c r="F563" s="7">
        <f t="shared" si="32"/>
        <v>4.2286278143612002</v>
      </c>
      <c r="G563" s="7">
        <f t="shared" si="33"/>
        <v>3.2576450000000001</v>
      </c>
      <c r="H563" s="7">
        <f t="shared" si="34"/>
        <v>0.97098281436120004</v>
      </c>
      <c r="I563" s="8">
        <f t="shared" si="35"/>
        <v>0.29806280744562408</v>
      </c>
      <c r="J563" s="9">
        <v>45.89</v>
      </c>
      <c r="K563" s="9">
        <v>-16.666182450775601</v>
      </c>
    </row>
    <row r="564" spans="1:11" ht="12.75" customHeight="1">
      <c r="A564" s="1">
        <v>46197</v>
      </c>
      <c r="B564" s="2">
        <v>11</v>
      </c>
      <c r="C564" s="7">
        <v>-4.4085074952771404</v>
      </c>
      <c r="D564" s="7">
        <v>-3.0557810000000001</v>
      </c>
      <c r="E564" s="7">
        <v>-0.57436867327713503</v>
      </c>
      <c r="F564" s="7">
        <f t="shared" si="32"/>
        <v>4.4085074952771404</v>
      </c>
      <c r="G564" s="7">
        <f t="shared" si="33"/>
        <v>3.0557810000000001</v>
      </c>
      <c r="H564" s="7">
        <f t="shared" si="34"/>
        <v>1.3527264952771403</v>
      </c>
      <c r="I564" s="8">
        <f t="shared" si="35"/>
        <v>0.44267782778842468</v>
      </c>
      <c r="J564" s="9">
        <v>45.89</v>
      </c>
      <c r="K564" s="9">
        <v>-26.357778416687701</v>
      </c>
    </row>
    <row r="565" spans="1:11" ht="12.75" customHeight="1">
      <c r="A565" s="1">
        <v>46197</v>
      </c>
      <c r="B565" s="2">
        <v>12</v>
      </c>
      <c r="C565" s="7">
        <v>-4.7142699305430904</v>
      </c>
      <c r="D565" s="7">
        <v>-3.5559120000000002</v>
      </c>
      <c r="E565" s="7">
        <v>-0.47459150854308602</v>
      </c>
      <c r="F565" s="7">
        <f t="shared" si="32"/>
        <v>4.7142699305430904</v>
      </c>
      <c r="G565" s="7">
        <f t="shared" si="33"/>
        <v>3.5559120000000002</v>
      </c>
      <c r="H565" s="7">
        <f t="shared" si="34"/>
        <v>1.1583579305430902</v>
      </c>
      <c r="I565" s="8">
        <f t="shared" si="35"/>
        <v>0.32575551097526884</v>
      </c>
      <c r="J565" s="9">
        <v>45.89</v>
      </c>
      <c r="K565" s="9">
        <v>-21.779004327042198</v>
      </c>
    </row>
    <row r="566" spans="1:11" ht="12.75" customHeight="1">
      <c r="A566" s="1">
        <v>46197</v>
      </c>
      <c r="B566" s="2">
        <v>13</v>
      </c>
      <c r="C566" s="7">
        <v>-4.9135463574929199</v>
      </c>
      <c r="D566" s="7">
        <v>-3.5759690000000002</v>
      </c>
      <c r="E566" s="7">
        <v>-0.69080768949292204</v>
      </c>
      <c r="F566" s="7">
        <f t="shared" si="32"/>
        <v>4.9135463574929199</v>
      </c>
      <c r="G566" s="7">
        <f t="shared" si="33"/>
        <v>3.5759690000000002</v>
      </c>
      <c r="H566" s="7">
        <f t="shared" si="34"/>
        <v>1.3375773574929197</v>
      </c>
      <c r="I566" s="8">
        <f t="shared" si="35"/>
        <v>0.3740461277748548</v>
      </c>
      <c r="J566" s="9">
        <v>16.52</v>
      </c>
      <c r="K566" s="9">
        <v>-11.412143030423101</v>
      </c>
    </row>
    <row r="567" spans="1:11" ht="12.75" customHeight="1">
      <c r="A567" s="1">
        <v>46197</v>
      </c>
      <c r="B567" s="2">
        <v>14</v>
      </c>
      <c r="C567" s="7">
        <v>-5.5930760024595401</v>
      </c>
      <c r="D567" s="7">
        <v>-3.3896329999999999</v>
      </c>
      <c r="E567" s="7">
        <v>-1.76757721845954</v>
      </c>
      <c r="F567" s="7">
        <f t="shared" si="32"/>
        <v>5.5930760024595401</v>
      </c>
      <c r="G567" s="7">
        <f t="shared" si="33"/>
        <v>3.3896329999999999</v>
      </c>
      <c r="H567" s="7">
        <f t="shared" si="34"/>
        <v>2.2034430024595402</v>
      </c>
      <c r="I567" s="8">
        <f t="shared" si="35"/>
        <v>0.65005356109630164</v>
      </c>
      <c r="J567" s="9">
        <v>60.57</v>
      </c>
      <c r="K567" s="9">
        <v>-107.062152122095</v>
      </c>
    </row>
    <row r="568" spans="1:11" ht="12.75" customHeight="1">
      <c r="A568" s="1">
        <v>46197</v>
      </c>
      <c r="B568" s="2">
        <v>15</v>
      </c>
      <c r="C568" s="7">
        <v>-5.58878815050074</v>
      </c>
      <c r="D568" s="7">
        <v>-3.898822</v>
      </c>
      <c r="E568" s="7">
        <v>-1.4701550175007401</v>
      </c>
      <c r="F568" s="7">
        <f t="shared" si="32"/>
        <v>5.58878815050074</v>
      </c>
      <c r="G568" s="7">
        <f t="shared" si="33"/>
        <v>3.898822</v>
      </c>
      <c r="H568" s="7">
        <f t="shared" si="34"/>
        <v>1.6899661505007399</v>
      </c>
      <c r="I568" s="8">
        <f t="shared" si="35"/>
        <v>0.43345557978813598</v>
      </c>
      <c r="J568" s="9">
        <v>54.25</v>
      </c>
      <c r="K568" s="9">
        <v>-79.755909699415199</v>
      </c>
    </row>
    <row r="569" spans="1:11" ht="12.75" customHeight="1">
      <c r="A569" s="1">
        <v>46197</v>
      </c>
      <c r="B569" s="2">
        <v>16</v>
      </c>
      <c r="C569" s="7">
        <v>-5.19369279930131</v>
      </c>
      <c r="D569" s="7">
        <v>-4.3840719999999997</v>
      </c>
      <c r="E569" s="7">
        <v>-0.34459860730131497</v>
      </c>
      <c r="F569" s="7">
        <f t="shared" si="32"/>
        <v>5.19369279930131</v>
      </c>
      <c r="G569" s="7">
        <f t="shared" si="33"/>
        <v>4.3840719999999997</v>
      </c>
      <c r="H569" s="7">
        <f t="shared" si="34"/>
        <v>0.80962079930131026</v>
      </c>
      <c r="I569" s="8">
        <f t="shared" si="35"/>
        <v>0.18467324425814866</v>
      </c>
      <c r="J569" s="9">
        <v>60.09</v>
      </c>
      <c r="K569" s="9">
        <v>-20.706930312735999</v>
      </c>
    </row>
    <row r="570" spans="1:11" ht="12.75" customHeight="1">
      <c r="A570" s="1">
        <v>46197</v>
      </c>
      <c r="B570" s="2">
        <v>17</v>
      </c>
      <c r="C570" s="7">
        <v>-5.2224591962864704</v>
      </c>
      <c r="D570" s="7">
        <v>-4.346546</v>
      </c>
      <c r="E570" s="7">
        <v>-0.45783797128646803</v>
      </c>
      <c r="F570" s="7">
        <f t="shared" si="32"/>
        <v>5.2224591962864704</v>
      </c>
      <c r="G570" s="7">
        <f t="shared" si="33"/>
        <v>4.346546</v>
      </c>
      <c r="H570" s="7">
        <f t="shared" si="34"/>
        <v>0.87591319628647035</v>
      </c>
      <c r="I570" s="8">
        <f t="shared" si="35"/>
        <v>0.20151936647776655</v>
      </c>
      <c r="J570" s="9">
        <v>70.44</v>
      </c>
      <c r="K570" s="9">
        <v>-32.250106697418801</v>
      </c>
    </row>
    <row r="571" spans="1:11" ht="12.75" customHeight="1">
      <c r="A571" s="1">
        <v>46197</v>
      </c>
      <c r="B571" s="2">
        <v>18</v>
      </c>
      <c r="C571" s="7">
        <v>-5.4988036756404597</v>
      </c>
      <c r="D571" s="7">
        <v>-4.1679740000000001</v>
      </c>
      <c r="E571" s="7">
        <v>-1.1008095296404601</v>
      </c>
      <c r="F571" s="7">
        <f t="shared" si="32"/>
        <v>5.4988036756404597</v>
      </c>
      <c r="G571" s="7">
        <f t="shared" si="33"/>
        <v>4.1679740000000001</v>
      </c>
      <c r="H571" s="7">
        <f t="shared" si="34"/>
        <v>1.3308296756404596</v>
      </c>
      <c r="I571" s="8">
        <f t="shared" si="35"/>
        <v>0.3192989389186352</v>
      </c>
      <c r="J571" s="9">
        <v>65</v>
      </c>
      <c r="K571" s="9">
        <v>-71.552619426630102</v>
      </c>
    </row>
    <row r="572" spans="1:11" ht="12.75" customHeight="1">
      <c r="A572" s="1">
        <v>46197</v>
      </c>
      <c r="B572" s="2">
        <v>19</v>
      </c>
      <c r="C572" s="7">
        <v>-5.7599153149951396</v>
      </c>
      <c r="D572" s="7">
        <v>-4.8984370000000004</v>
      </c>
      <c r="E572" s="7">
        <v>-0.837666773995142</v>
      </c>
      <c r="F572" s="7">
        <f t="shared" si="32"/>
        <v>5.7599153149951396</v>
      </c>
      <c r="G572" s="7">
        <f t="shared" si="33"/>
        <v>4.8984370000000004</v>
      </c>
      <c r="H572" s="7">
        <f t="shared" si="34"/>
        <v>0.86147831499513927</v>
      </c>
      <c r="I572" s="8">
        <f t="shared" si="35"/>
        <v>0.17586799932205704</v>
      </c>
      <c r="J572" s="9">
        <v>60</v>
      </c>
      <c r="K572" s="9">
        <v>-50.260006439708498</v>
      </c>
    </row>
    <row r="573" spans="1:11" ht="12.75" customHeight="1">
      <c r="A573" s="1">
        <v>46197</v>
      </c>
      <c r="B573" s="2">
        <v>20</v>
      </c>
      <c r="C573" s="7">
        <v>-6.0876869615641303</v>
      </c>
      <c r="D573" s="7">
        <v>-5.6547799999999997</v>
      </c>
      <c r="E573" s="7">
        <v>-0.42915242056413</v>
      </c>
      <c r="F573" s="7">
        <f t="shared" si="32"/>
        <v>6.0876869615641303</v>
      </c>
      <c r="G573" s="7">
        <f t="shared" si="33"/>
        <v>5.6547799999999997</v>
      </c>
      <c r="H573" s="7">
        <f t="shared" si="34"/>
        <v>0.43290696156413055</v>
      </c>
      <c r="I573" s="8">
        <f t="shared" si="35"/>
        <v>7.6555933487090666E-2</v>
      </c>
      <c r="J573" s="9">
        <v>70.400000000000006</v>
      </c>
      <c r="K573" s="9">
        <v>-30.212330407714798</v>
      </c>
    </row>
    <row r="574" spans="1:11" ht="12.75" customHeight="1">
      <c r="A574" s="1">
        <v>46197</v>
      </c>
      <c r="B574" s="2">
        <v>21</v>
      </c>
      <c r="C574" s="7">
        <v>-6.4794853068515801</v>
      </c>
      <c r="D574" s="7">
        <v>-5.9828089999999996</v>
      </c>
      <c r="E574" s="7">
        <v>-0.49667630685157699</v>
      </c>
      <c r="F574" s="7">
        <f t="shared" si="32"/>
        <v>6.4794853068515801</v>
      </c>
      <c r="G574" s="7">
        <f t="shared" si="33"/>
        <v>5.9828089999999996</v>
      </c>
      <c r="H574" s="7">
        <f t="shared" si="34"/>
        <v>0.49667630685158048</v>
      </c>
      <c r="I574" s="8">
        <f t="shared" si="35"/>
        <v>8.3017242711839953E-2</v>
      </c>
      <c r="J574" s="9">
        <v>104.73</v>
      </c>
      <c r="K574" s="9">
        <v>-52.016909616565698</v>
      </c>
    </row>
    <row r="575" spans="1:11" ht="12.75" customHeight="1">
      <c r="A575" s="1">
        <v>46197</v>
      </c>
      <c r="B575" s="2">
        <v>22</v>
      </c>
      <c r="C575" s="7">
        <v>-6.2296923297608204</v>
      </c>
      <c r="D575" s="7">
        <v>-5.8657019999999997</v>
      </c>
      <c r="E575" s="7">
        <v>-0.36399032976081602</v>
      </c>
      <c r="F575" s="7">
        <f t="shared" si="32"/>
        <v>6.2296923297608204</v>
      </c>
      <c r="G575" s="7">
        <f t="shared" si="33"/>
        <v>5.8657019999999997</v>
      </c>
      <c r="H575" s="7">
        <f t="shared" si="34"/>
        <v>0.36399032976082069</v>
      </c>
      <c r="I575" s="8">
        <f t="shared" si="35"/>
        <v>6.2054009862898031E-2</v>
      </c>
      <c r="J575" s="9">
        <v>85.83</v>
      </c>
      <c r="K575" s="9">
        <v>-31.241290003370899</v>
      </c>
    </row>
    <row r="576" spans="1:11" ht="12.75" customHeight="1">
      <c r="A576" s="1">
        <v>46197</v>
      </c>
      <c r="B576" s="2">
        <v>23</v>
      </c>
      <c r="C576" s="7">
        <v>-5.4981040988291596</v>
      </c>
      <c r="D576" s="7">
        <v>-5.0918900000000002</v>
      </c>
      <c r="E576" s="7">
        <v>-0.40621409882915599</v>
      </c>
      <c r="F576" s="7">
        <f t="shared" si="32"/>
        <v>5.4981040988291596</v>
      </c>
      <c r="G576" s="7">
        <f t="shared" si="33"/>
        <v>5.0918900000000002</v>
      </c>
      <c r="H576" s="7">
        <f t="shared" si="34"/>
        <v>0.40621409882915938</v>
      </c>
      <c r="I576" s="8">
        <f t="shared" si="35"/>
        <v>7.9776683869674986E-2</v>
      </c>
      <c r="J576" s="9">
        <v>168.29</v>
      </c>
      <c r="K576" s="9">
        <v>-68.361770691958597</v>
      </c>
    </row>
    <row r="577" spans="1:11" ht="12.75" customHeight="1">
      <c r="A577" s="1">
        <v>46197</v>
      </c>
      <c r="B577" s="2">
        <v>24</v>
      </c>
      <c r="C577" s="7">
        <v>-4.6530691782498304</v>
      </c>
      <c r="D577" s="7">
        <v>-4.4772400000000001</v>
      </c>
      <c r="E577" s="7">
        <v>-0.17582917824983399</v>
      </c>
      <c r="F577" s="7">
        <f t="shared" si="32"/>
        <v>4.6530691782498304</v>
      </c>
      <c r="G577" s="7">
        <f t="shared" si="33"/>
        <v>4.4772400000000001</v>
      </c>
      <c r="H577" s="7">
        <f t="shared" si="34"/>
        <v>0.17582917824983024</v>
      </c>
      <c r="I577" s="8">
        <f t="shared" si="35"/>
        <v>3.9271778651542077E-2</v>
      </c>
      <c r="J577" s="9">
        <v>143.77000000000001</v>
      </c>
      <c r="K577" s="9">
        <v>-25.278960956978601</v>
      </c>
    </row>
    <row r="578" spans="1:11" ht="12.75" customHeight="1">
      <c r="A578" s="1">
        <v>46198</v>
      </c>
      <c r="B578" s="2">
        <v>1</v>
      </c>
      <c r="C578" s="7">
        <v>-4.2758545578812202</v>
      </c>
      <c r="D578" s="7">
        <v>-3.829593</v>
      </c>
      <c r="E578" s="7">
        <v>-0.44626155788122102</v>
      </c>
      <c r="F578" s="7">
        <f t="shared" ref="F578:F641" si="36">ABS(C578)</f>
        <v>4.2758545578812202</v>
      </c>
      <c r="G578" s="7">
        <f t="shared" ref="G578:G641" si="37">ABS(D578)</f>
        <v>3.829593</v>
      </c>
      <c r="H578" s="7">
        <f t="shared" ref="H578:H641" si="38">ABS(G578-F578)</f>
        <v>0.44626155788122013</v>
      </c>
      <c r="I578" s="8">
        <f t="shared" ref="I578:I641" si="39">H578/G578</f>
        <v>0.11652976122559763</v>
      </c>
      <c r="J578" s="9">
        <v>94.08</v>
      </c>
      <c r="K578" s="9">
        <v>-41.984287365465299</v>
      </c>
    </row>
    <row r="579" spans="1:11" ht="12.75" customHeight="1">
      <c r="A579" s="1">
        <v>46198</v>
      </c>
      <c r="B579" s="2">
        <v>2</v>
      </c>
      <c r="C579" s="7">
        <v>-4.1502746678157099</v>
      </c>
      <c r="D579" s="7">
        <v>-3.795302</v>
      </c>
      <c r="E579" s="7">
        <v>-0.35497266781571302</v>
      </c>
      <c r="F579" s="7">
        <f t="shared" si="36"/>
        <v>4.1502746678157099</v>
      </c>
      <c r="G579" s="7">
        <f t="shared" si="37"/>
        <v>3.795302</v>
      </c>
      <c r="H579" s="7">
        <f t="shared" si="38"/>
        <v>0.35497266781570991</v>
      </c>
      <c r="I579" s="8">
        <f t="shared" si="39"/>
        <v>9.3529491939168458E-2</v>
      </c>
      <c r="J579" s="9">
        <v>103.98</v>
      </c>
      <c r="K579" s="9">
        <v>-36.9100579994778</v>
      </c>
    </row>
    <row r="580" spans="1:11" ht="12.75" customHeight="1">
      <c r="A580" s="1">
        <v>46198</v>
      </c>
      <c r="B580" s="2">
        <v>3</v>
      </c>
      <c r="C580" s="7">
        <v>-3.9768653700159802</v>
      </c>
      <c r="D580" s="7">
        <v>-3.7791269999999999</v>
      </c>
      <c r="E580" s="7">
        <v>-0.197738370015975</v>
      </c>
      <c r="F580" s="7">
        <f t="shared" si="36"/>
        <v>3.9768653700159802</v>
      </c>
      <c r="G580" s="7">
        <f t="shared" si="37"/>
        <v>3.7791269999999999</v>
      </c>
      <c r="H580" s="7">
        <f t="shared" si="38"/>
        <v>0.19773837001598027</v>
      </c>
      <c r="I580" s="8">
        <f t="shared" si="39"/>
        <v>5.2323822410831992E-2</v>
      </c>
      <c r="J580" s="9">
        <v>134.69999999999999</v>
      </c>
      <c r="K580" s="9">
        <v>-26.635358441151901</v>
      </c>
    </row>
    <row r="581" spans="1:11" ht="12.75" customHeight="1">
      <c r="A581" s="1">
        <v>46198</v>
      </c>
      <c r="B581" s="2">
        <v>4</v>
      </c>
      <c r="C581" s="7">
        <v>-3.9858848213880602</v>
      </c>
      <c r="D581" s="7">
        <v>-3.7416010000000002</v>
      </c>
      <c r="E581" s="7">
        <v>-0.24428382138805499</v>
      </c>
      <c r="F581" s="7">
        <f t="shared" si="36"/>
        <v>3.9858848213880602</v>
      </c>
      <c r="G581" s="7">
        <f t="shared" si="37"/>
        <v>3.7416010000000002</v>
      </c>
      <c r="H581" s="7">
        <f t="shared" si="38"/>
        <v>0.24428382138806004</v>
      </c>
      <c r="I581" s="8">
        <f t="shared" si="39"/>
        <v>6.5288581382156999E-2</v>
      </c>
      <c r="J581" s="9">
        <v>136.1</v>
      </c>
      <c r="K581" s="9">
        <v>-33.247028090914199</v>
      </c>
    </row>
    <row r="582" spans="1:11" ht="12.75" customHeight="1">
      <c r="A582" s="1">
        <v>46198</v>
      </c>
      <c r="B582" s="2">
        <v>5</v>
      </c>
      <c r="C582" s="7">
        <v>-3.9662382270038301</v>
      </c>
      <c r="D582" s="7">
        <v>-3.6911350000000001</v>
      </c>
      <c r="E582" s="7">
        <v>-0.27510322700383</v>
      </c>
      <c r="F582" s="7">
        <f t="shared" si="36"/>
        <v>3.9662382270038301</v>
      </c>
      <c r="G582" s="7">
        <f t="shared" si="37"/>
        <v>3.6911350000000001</v>
      </c>
      <c r="H582" s="7">
        <f t="shared" si="38"/>
        <v>0.27510322700383005</v>
      </c>
      <c r="I582" s="8">
        <f t="shared" si="39"/>
        <v>7.4530795271327124E-2</v>
      </c>
      <c r="J582" s="9">
        <v>137.5</v>
      </c>
      <c r="K582" s="9">
        <v>-37.8266937130266</v>
      </c>
    </row>
    <row r="583" spans="1:11" ht="12.75" customHeight="1">
      <c r="A583" s="1">
        <v>46198</v>
      </c>
      <c r="B583" s="2">
        <v>6</v>
      </c>
      <c r="C583" s="7">
        <v>-3.6877926269302099</v>
      </c>
      <c r="D583" s="7">
        <v>-3.5132099999999999</v>
      </c>
      <c r="E583" s="7">
        <v>-0.16132818493020701</v>
      </c>
      <c r="F583" s="7">
        <f t="shared" si="36"/>
        <v>3.6877926269302099</v>
      </c>
      <c r="G583" s="7">
        <f t="shared" si="37"/>
        <v>3.5132099999999999</v>
      </c>
      <c r="H583" s="7">
        <f t="shared" si="38"/>
        <v>0.17458262693020998</v>
      </c>
      <c r="I583" s="8">
        <f t="shared" si="39"/>
        <v>4.9693194238377432E-2</v>
      </c>
      <c r="J583" s="9">
        <v>137.5</v>
      </c>
      <c r="K583" s="9">
        <v>-22.1826254279034</v>
      </c>
    </row>
    <row r="584" spans="1:11" ht="12.75" customHeight="1">
      <c r="A584" s="1">
        <v>46198</v>
      </c>
      <c r="B584" s="2">
        <v>7</v>
      </c>
      <c r="C584" s="7">
        <v>-3.2908315353780702</v>
      </c>
      <c r="D584" s="7">
        <v>-3.180005</v>
      </c>
      <c r="E584" s="7">
        <v>1.9441091621935001E-2</v>
      </c>
      <c r="F584" s="7">
        <f t="shared" si="36"/>
        <v>3.2908315353780702</v>
      </c>
      <c r="G584" s="7">
        <f t="shared" si="37"/>
        <v>3.180005</v>
      </c>
      <c r="H584" s="7">
        <f t="shared" si="38"/>
        <v>0.11082653537807019</v>
      </c>
      <c r="I584" s="8">
        <f t="shared" si="39"/>
        <v>3.4851056956850757E-2</v>
      </c>
      <c r="J584" s="9">
        <v>84.48</v>
      </c>
      <c r="K584" s="9">
        <v>1.6423834202210701</v>
      </c>
    </row>
    <row r="585" spans="1:11" ht="12.75" customHeight="1">
      <c r="A585" s="1">
        <v>46198</v>
      </c>
      <c r="B585" s="2">
        <v>8</v>
      </c>
      <c r="C585" s="7">
        <v>-3.4448905125159901</v>
      </c>
      <c r="D585" s="7">
        <v>-3.2628210000000002</v>
      </c>
      <c r="E585" s="7">
        <v>0.234487850484007</v>
      </c>
      <c r="F585" s="7">
        <f t="shared" si="36"/>
        <v>3.4448905125159901</v>
      </c>
      <c r="G585" s="7">
        <f t="shared" si="37"/>
        <v>3.2628210000000002</v>
      </c>
      <c r="H585" s="7">
        <f t="shared" si="38"/>
        <v>0.18206951251598991</v>
      </c>
      <c r="I585" s="8">
        <f t="shared" si="39"/>
        <v>5.5801256800783704E-2</v>
      </c>
      <c r="J585" s="9">
        <v>37.5</v>
      </c>
      <c r="K585" s="9">
        <v>8.7932943931502692</v>
      </c>
    </row>
    <row r="586" spans="1:11" ht="12.75" customHeight="1">
      <c r="A586" s="1">
        <v>46198</v>
      </c>
      <c r="B586" s="2">
        <v>9</v>
      </c>
      <c r="C586" s="7">
        <v>-3.9851296233603599</v>
      </c>
      <c r="D586" s="7">
        <v>-3.7681279999999999</v>
      </c>
      <c r="E586" s="7">
        <v>0.247617487639644</v>
      </c>
      <c r="F586" s="7">
        <f t="shared" si="36"/>
        <v>3.9851296233603599</v>
      </c>
      <c r="G586" s="7">
        <f t="shared" si="37"/>
        <v>3.7681279999999999</v>
      </c>
      <c r="H586" s="7">
        <f t="shared" si="38"/>
        <v>0.21700162336036</v>
      </c>
      <c r="I586" s="8">
        <f t="shared" si="39"/>
        <v>5.7588708069460488E-2</v>
      </c>
      <c r="J586" s="9">
        <v>36.67</v>
      </c>
      <c r="K586" s="9">
        <v>9.0801332717457406</v>
      </c>
    </row>
    <row r="587" spans="1:11" ht="12.75" customHeight="1">
      <c r="A587" s="1">
        <v>46198</v>
      </c>
      <c r="B587" s="2">
        <v>10</v>
      </c>
      <c r="C587" s="7">
        <v>-4.5651702133851799</v>
      </c>
      <c r="D587" s="7">
        <v>-3.7474240000000001</v>
      </c>
      <c r="E587" s="7">
        <v>-0.264737844385183</v>
      </c>
      <c r="F587" s="7">
        <f t="shared" si="36"/>
        <v>4.5651702133851799</v>
      </c>
      <c r="G587" s="7">
        <f t="shared" si="37"/>
        <v>3.7474240000000001</v>
      </c>
      <c r="H587" s="7">
        <f t="shared" si="38"/>
        <v>0.81774621338517983</v>
      </c>
      <c r="I587" s="8">
        <f t="shared" si="39"/>
        <v>0.21821555644228671</v>
      </c>
      <c r="J587" s="9">
        <v>27.33</v>
      </c>
      <c r="K587" s="9">
        <v>-7.2352852870470503</v>
      </c>
    </row>
    <row r="588" spans="1:11" ht="12.75" customHeight="1">
      <c r="A588" s="1">
        <v>46198</v>
      </c>
      <c r="B588" s="2">
        <v>11</v>
      </c>
      <c r="C588" s="7">
        <v>-4.8512185717843197</v>
      </c>
      <c r="D588" s="7">
        <v>-3.5487950000000001</v>
      </c>
      <c r="E588" s="7">
        <v>-0.70469326878431904</v>
      </c>
      <c r="F588" s="7">
        <f t="shared" si="36"/>
        <v>4.8512185717843197</v>
      </c>
      <c r="G588" s="7">
        <f t="shared" si="37"/>
        <v>3.5487950000000001</v>
      </c>
      <c r="H588" s="7">
        <f t="shared" si="38"/>
        <v>1.3024235717843196</v>
      </c>
      <c r="I588" s="8">
        <f t="shared" si="39"/>
        <v>0.36700445412719512</v>
      </c>
      <c r="J588" s="9">
        <v>69.33</v>
      </c>
      <c r="K588" s="9">
        <v>-48.856384324816901</v>
      </c>
    </row>
    <row r="589" spans="1:11" ht="12.75" customHeight="1">
      <c r="A589" s="1">
        <v>46198</v>
      </c>
      <c r="B589" s="2">
        <v>12</v>
      </c>
      <c r="C589" s="7">
        <v>-4.8637563889209803</v>
      </c>
      <c r="D589" s="7">
        <v>-3.5462069999999999</v>
      </c>
      <c r="E589" s="7">
        <v>-0.642484858120979</v>
      </c>
      <c r="F589" s="7">
        <f t="shared" si="36"/>
        <v>4.8637563889209803</v>
      </c>
      <c r="G589" s="7">
        <f t="shared" si="37"/>
        <v>3.5462069999999999</v>
      </c>
      <c r="H589" s="7">
        <f t="shared" si="38"/>
        <v>1.3175493889209804</v>
      </c>
      <c r="I589" s="8">
        <f t="shared" si="39"/>
        <v>0.37153764259136041</v>
      </c>
      <c r="J589" s="9">
        <v>75.53</v>
      </c>
      <c r="K589" s="9">
        <v>-48.526881333877597</v>
      </c>
    </row>
    <row r="590" spans="1:11" ht="12.75" customHeight="1">
      <c r="A590" s="1">
        <v>46198</v>
      </c>
      <c r="B590" s="2">
        <v>13</v>
      </c>
      <c r="C590" s="7">
        <v>-5.08310838229621</v>
      </c>
      <c r="D590" s="7">
        <v>-3.5462069999999999</v>
      </c>
      <c r="E590" s="7">
        <v>-0.86245486589620601</v>
      </c>
      <c r="F590" s="7">
        <f t="shared" si="36"/>
        <v>5.08310838229621</v>
      </c>
      <c r="G590" s="7">
        <f t="shared" si="37"/>
        <v>3.5462069999999999</v>
      </c>
      <c r="H590" s="7">
        <f t="shared" si="38"/>
        <v>1.5369013822962101</v>
      </c>
      <c r="I590" s="8">
        <f t="shared" si="39"/>
        <v>0.43339302592776174</v>
      </c>
      <c r="J590" s="9">
        <v>58.47</v>
      </c>
      <c r="K590" s="9">
        <v>-50.427736008951101</v>
      </c>
    </row>
    <row r="591" spans="1:11" ht="12.75" customHeight="1">
      <c r="A591" s="1">
        <v>46198</v>
      </c>
      <c r="B591" s="2">
        <v>14</v>
      </c>
      <c r="C591" s="7">
        <v>-5.2016197871819996</v>
      </c>
      <c r="D591" s="7">
        <v>-3.9337599999999999</v>
      </c>
      <c r="E591" s="7">
        <v>-0.57394128818199996</v>
      </c>
      <c r="F591" s="7">
        <f t="shared" si="36"/>
        <v>5.2016197871819996</v>
      </c>
      <c r="G591" s="7">
        <f t="shared" si="37"/>
        <v>3.9337599999999999</v>
      </c>
      <c r="H591" s="7">
        <f t="shared" si="38"/>
        <v>1.2678597871819997</v>
      </c>
      <c r="I591" s="8">
        <f t="shared" si="39"/>
        <v>0.32230227242688919</v>
      </c>
      <c r="J591" s="9">
        <v>41.61</v>
      </c>
      <c r="K591" s="9">
        <v>-23.881697001252999</v>
      </c>
    </row>
    <row r="592" spans="1:11" ht="12.75" customHeight="1">
      <c r="A592" s="1">
        <v>46198</v>
      </c>
      <c r="B592" s="2">
        <v>15</v>
      </c>
      <c r="C592" s="7">
        <v>-5.0798313400681199</v>
      </c>
      <c r="D592" s="7">
        <v>-4.3666029999999996</v>
      </c>
      <c r="E592" s="7">
        <v>3.64699699318837E-2</v>
      </c>
      <c r="F592" s="7">
        <f t="shared" si="36"/>
        <v>5.0798313400681199</v>
      </c>
      <c r="G592" s="7">
        <f t="shared" si="37"/>
        <v>4.3666029999999996</v>
      </c>
      <c r="H592" s="7">
        <f t="shared" si="38"/>
        <v>0.7132283400681203</v>
      </c>
      <c r="I592" s="8">
        <f t="shared" si="39"/>
        <v>0.16333711584683114</v>
      </c>
      <c r="J592" s="9">
        <v>42.63</v>
      </c>
      <c r="K592" s="9">
        <v>1.5547148181962001</v>
      </c>
    </row>
    <row r="593" spans="1:11" ht="12.75" customHeight="1">
      <c r="A593" s="1">
        <v>46198</v>
      </c>
      <c r="B593" s="2">
        <v>16</v>
      </c>
      <c r="C593" s="7">
        <v>-5.1554331673910703</v>
      </c>
      <c r="D593" s="7">
        <v>-4.4028349999999996</v>
      </c>
      <c r="E593" s="7">
        <v>-6.7933709391073696E-2</v>
      </c>
      <c r="F593" s="7">
        <f t="shared" si="36"/>
        <v>5.1554331673910703</v>
      </c>
      <c r="G593" s="7">
        <f t="shared" si="37"/>
        <v>4.4028349999999996</v>
      </c>
      <c r="H593" s="7">
        <f t="shared" si="38"/>
        <v>0.75259816739107066</v>
      </c>
      <c r="I593" s="8">
        <f t="shared" si="39"/>
        <v>0.17093490157843089</v>
      </c>
      <c r="J593" s="9">
        <v>74.290000000000006</v>
      </c>
      <c r="K593" s="9">
        <v>-5.0467952706628703</v>
      </c>
    </row>
    <row r="594" spans="1:11" ht="12.75" customHeight="1">
      <c r="A594" s="1">
        <v>46198</v>
      </c>
      <c r="B594" s="2">
        <v>17</v>
      </c>
      <c r="C594" s="7">
        <v>-5.1557050333849803</v>
      </c>
      <c r="D594" s="7">
        <v>-4.4507130000000004</v>
      </c>
      <c r="E594" s="7">
        <v>-0.218004191384984</v>
      </c>
      <c r="F594" s="7">
        <f t="shared" si="36"/>
        <v>5.1557050333849803</v>
      </c>
      <c r="G594" s="7">
        <f t="shared" si="37"/>
        <v>4.4507130000000004</v>
      </c>
      <c r="H594" s="7">
        <f t="shared" si="38"/>
        <v>0.70499203338497995</v>
      </c>
      <c r="I594" s="8">
        <f t="shared" si="39"/>
        <v>0.15839979647867206</v>
      </c>
      <c r="J594" s="9">
        <v>123.97</v>
      </c>
      <c r="K594" s="9">
        <v>-27.025979605996401</v>
      </c>
    </row>
    <row r="595" spans="1:11" ht="12.75" customHeight="1">
      <c r="A595" s="1">
        <v>46198</v>
      </c>
      <c r="B595" s="2">
        <v>18</v>
      </c>
      <c r="C595" s="7">
        <v>-5.0266290466943104</v>
      </c>
      <c r="D595" s="7">
        <v>-4.6622820000000003</v>
      </c>
      <c r="E595" s="7">
        <v>-8.0433094694304305E-2</v>
      </c>
      <c r="F595" s="7">
        <f t="shared" si="36"/>
        <v>5.0266290466943104</v>
      </c>
      <c r="G595" s="7">
        <f t="shared" si="37"/>
        <v>4.6622820000000003</v>
      </c>
      <c r="H595" s="7">
        <f t="shared" si="38"/>
        <v>0.36434704669431017</v>
      </c>
      <c r="I595" s="8">
        <f t="shared" si="39"/>
        <v>7.8147792581896622E-2</v>
      </c>
      <c r="J595" s="9">
        <v>117.3</v>
      </c>
      <c r="K595" s="9">
        <v>-9.4348020076418901</v>
      </c>
    </row>
    <row r="596" spans="1:11" ht="12.75" customHeight="1">
      <c r="A596" s="1">
        <v>46198</v>
      </c>
      <c r="B596" s="2">
        <v>19</v>
      </c>
      <c r="C596" s="7">
        <v>-5.3635866953461502</v>
      </c>
      <c r="D596" s="7">
        <v>-5.3882159999999999</v>
      </c>
      <c r="E596" s="7">
        <v>7.0150930653847393E-2</v>
      </c>
      <c r="F596" s="7">
        <f t="shared" si="36"/>
        <v>5.3635866953461502</v>
      </c>
      <c r="G596" s="7">
        <f t="shared" si="37"/>
        <v>5.3882159999999999</v>
      </c>
      <c r="H596" s="7">
        <f t="shared" si="38"/>
        <v>2.4629304653849715E-2</v>
      </c>
      <c r="I596" s="8">
        <f t="shared" si="39"/>
        <v>4.5709571876572349E-3</v>
      </c>
      <c r="J596" s="9">
        <v>203.61</v>
      </c>
      <c r="K596" s="9">
        <v>14.283430990429901</v>
      </c>
    </row>
    <row r="597" spans="1:11" ht="12.75" customHeight="1">
      <c r="A597" s="1">
        <v>46198</v>
      </c>
      <c r="B597" s="2">
        <v>20</v>
      </c>
      <c r="C597" s="7">
        <v>-6.3320272234330996</v>
      </c>
      <c r="D597" s="7">
        <v>-6.064978</v>
      </c>
      <c r="E597" s="7">
        <v>-0.26424318443310402</v>
      </c>
      <c r="F597" s="7">
        <f t="shared" si="36"/>
        <v>6.3320272234330996</v>
      </c>
      <c r="G597" s="7">
        <f t="shared" si="37"/>
        <v>6.064978</v>
      </c>
      <c r="H597" s="7">
        <f t="shared" si="38"/>
        <v>0.26704922343309967</v>
      </c>
      <c r="I597" s="8">
        <f t="shared" si="39"/>
        <v>4.4031358965044828E-2</v>
      </c>
      <c r="J597" s="9">
        <v>250.21</v>
      </c>
      <c r="K597" s="9">
        <v>-66.116287177006896</v>
      </c>
    </row>
    <row r="598" spans="1:11" ht="12.75" customHeight="1">
      <c r="A598" s="1">
        <v>46198</v>
      </c>
      <c r="B598" s="2">
        <v>21</v>
      </c>
      <c r="C598" s="7">
        <v>-6.6562676038978701</v>
      </c>
      <c r="D598" s="7">
        <v>-3.696958</v>
      </c>
      <c r="E598" s="7">
        <v>-2.9592746658978699</v>
      </c>
      <c r="F598" s="7">
        <f t="shared" si="36"/>
        <v>6.6562676038978701</v>
      </c>
      <c r="G598" s="7">
        <f t="shared" si="37"/>
        <v>3.696958</v>
      </c>
      <c r="H598" s="7">
        <f t="shared" si="38"/>
        <v>2.9593096038978701</v>
      </c>
      <c r="I598" s="8">
        <f t="shared" si="39"/>
        <v>0.80047152385768794</v>
      </c>
      <c r="J598" s="9">
        <v>308</v>
      </c>
      <c r="K598" s="9">
        <v>-911.45659709654399</v>
      </c>
    </row>
    <row r="599" spans="1:11" ht="12.75" customHeight="1">
      <c r="A599" s="1">
        <v>46198</v>
      </c>
      <c r="B599" s="2">
        <v>22</v>
      </c>
      <c r="C599" s="7">
        <v>-6.5271303192840699</v>
      </c>
      <c r="D599" s="7">
        <v>-6.1904960000000004</v>
      </c>
      <c r="E599" s="7">
        <v>-0.33663431928406801</v>
      </c>
      <c r="F599" s="7">
        <f t="shared" si="36"/>
        <v>6.5271303192840699</v>
      </c>
      <c r="G599" s="7">
        <f t="shared" si="37"/>
        <v>6.1904960000000004</v>
      </c>
      <c r="H599" s="7">
        <f t="shared" si="38"/>
        <v>0.33663431928406951</v>
      </c>
      <c r="I599" s="8">
        <f t="shared" si="39"/>
        <v>5.4379216024704559E-2</v>
      </c>
      <c r="J599" s="9">
        <v>236.6</v>
      </c>
      <c r="K599" s="9">
        <v>-79.647679942610395</v>
      </c>
    </row>
    <row r="600" spans="1:11" ht="12.75" customHeight="1">
      <c r="A600" s="1">
        <v>46198</v>
      </c>
      <c r="B600" s="2">
        <v>23</v>
      </c>
      <c r="C600" s="7">
        <v>-5.6412443892893096</v>
      </c>
      <c r="D600" s="7">
        <v>-5.4341530000000002</v>
      </c>
      <c r="E600" s="7">
        <v>-0.207091389289315</v>
      </c>
      <c r="F600" s="7">
        <f t="shared" si="36"/>
        <v>5.6412443892893096</v>
      </c>
      <c r="G600" s="7">
        <f t="shared" si="37"/>
        <v>5.4341530000000002</v>
      </c>
      <c r="H600" s="7">
        <f t="shared" si="38"/>
        <v>0.20709138928930937</v>
      </c>
      <c r="I600" s="8">
        <f t="shared" si="39"/>
        <v>3.8109230507368738E-2</v>
      </c>
      <c r="J600" s="9">
        <v>150.24</v>
      </c>
      <c r="K600" s="9">
        <v>-31.113410326826699</v>
      </c>
    </row>
    <row r="601" spans="1:11" ht="12.75" customHeight="1">
      <c r="A601" s="1">
        <v>46198</v>
      </c>
      <c r="B601" s="2">
        <v>24</v>
      </c>
      <c r="C601" s="7">
        <v>-4.8589077693373701</v>
      </c>
      <c r="D601" s="7">
        <v>-4.7004549999999998</v>
      </c>
      <c r="E601" s="7">
        <v>-0.15845276933737201</v>
      </c>
      <c r="F601" s="7">
        <f t="shared" si="36"/>
        <v>4.8589077693373701</v>
      </c>
      <c r="G601" s="7">
        <f t="shared" si="37"/>
        <v>4.7004549999999998</v>
      </c>
      <c r="H601" s="7">
        <f t="shared" si="38"/>
        <v>0.15845276933737029</v>
      </c>
      <c r="I601" s="8">
        <f t="shared" si="39"/>
        <v>3.3710091754387668E-2</v>
      </c>
      <c r="J601" s="9">
        <v>133.06</v>
      </c>
      <c r="K601" s="9">
        <v>-21.083725488030701</v>
      </c>
    </row>
    <row r="602" spans="1:11" ht="12.75" customHeight="1">
      <c r="A602" s="1">
        <v>46199</v>
      </c>
      <c r="B602" s="2">
        <v>1</v>
      </c>
      <c r="C602" s="7">
        <v>-4.4911776067225597</v>
      </c>
      <c r="D602" s="7">
        <v>-4.1039209999999997</v>
      </c>
      <c r="E602" s="7">
        <v>-0.38725660672255702</v>
      </c>
      <c r="F602" s="7">
        <f t="shared" si="36"/>
        <v>4.4911776067225597</v>
      </c>
      <c r="G602" s="7">
        <f t="shared" si="37"/>
        <v>4.1039209999999997</v>
      </c>
      <c r="H602" s="7">
        <f t="shared" si="38"/>
        <v>0.38725660672256002</v>
      </c>
      <c r="I602" s="8">
        <f t="shared" si="39"/>
        <v>9.4362588052391852E-2</v>
      </c>
      <c r="J602" s="9">
        <v>150.99</v>
      </c>
      <c r="K602" s="9">
        <v>-58.4718750490389</v>
      </c>
    </row>
    <row r="603" spans="1:11" ht="12.75" customHeight="1">
      <c r="A603" s="1">
        <v>46199</v>
      </c>
      <c r="B603" s="2">
        <v>2</v>
      </c>
      <c r="C603" s="7">
        <v>-4.3698553248565801</v>
      </c>
      <c r="D603" s="7">
        <v>-4.008165</v>
      </c>
      <c r="E603" s="7">
        <v>-0.36169032485657698</v>
      </c>
      <c r="F603" s="7">
        <f t="shared" si="36"/>
        <v>4.3698553248565801</v>
      </c>
      <c r="G603" s="7">
        <f t="shared" si="37"/>
        <v>4.008165</v>
      </c>
      <c r="H603" s="7">
        <f t="shared" si="38"/>
        <v>0.36169032485658015</v>
      </c>
      <c r="I603" s="8">
        <f t="shared" si="39"/>
        <v>9.0238382116649432E-2</v>
      </c>
      <c r="J603" s="9">
        <v>133.53</v>
      </c>
      <c r="K603" s="9">
        <v>-48.296509078098701</v>
      </c>
    </row>
    <row r="604" spans="1:11" ht="12.75" customHeight="1">
      <c r="A604" s="1">
        <v>46199</v>
      </c>
      <c r="B604" s="2">
        <v>3</v>
      </c>
      <c r="C604" s="7">
        <v>-4.1700373274489104</v>
      </c>
      <c r="D604" s="7">
        <v>-3.8257110000000001</v>
      </c>
      <c r="E604" s="7">
        <v>-0.34432632744890801</v>
      </c>
      <c r="F604" s="7">
        <f t="shared" si="36"/>
        <v>4.1700373274489104</v>
      </c>
      <c r="G604" s="7">
        <f t="shared" si="37"/>
        <v>3.8257110000000001</v>
      </c>
      <c r="H604" s="7">
        <f t="shared" si="38"/>
        <v>0.34432632744891034</v>
      </c>
      <c r="I604" s="8">
        <f t="shared" si="39"/>
        <v>9.0003224877391499E-2</v>
      </c>
      <c r="J604" s="9">
        <v>135.96</v>
      </c>
      <c r="K604" s="9">
        <v>-46.814607479953501</v>
      </c>
    </row>
    <row r="605" spans="1:11" ht="12.75" customHeight="1">
      <c r="A605" s="1">
        <v>46199</v>
      </c>
      <c r="B605" s="2">
        <v>4</v>
      </c>
      <c r="C605" s="7">
        <v>-4.2204841153790502</v>
      </c>
      <c r="D605" s="7">
        <v>-3.8651779999999998</v>
      </c>
      <c r="E605" s="7">
        <v>-0.35530611537904899</v>
      </c>
      <c r="F605" s="7">
        <f t="shared" si="36"/>
        <v>4.2204841153790502</v>
      </c>
      <c r="G605" s="7">
        <f t="shared" si="37"/>
        <v>3.8651779999999998</v>
      </c>
      <c r="H605" s="7">
        <f t="shared" si="38"/>
        <v>0.35530611537905044</v>
      </c>
      <c r="I605" s="8">
        <f t="shared" si="39"/>
        <v>9.1924903685949383E-2</v>
      </c>
      <c r="J605" s="9">
        <v>137.5</v>
      </c>
      <c r="K605" s="9">
        <v>-48.854590864619198</v>
      </c>
    </row>
    <row r="606" spans="1:11" ht="12.75" customHeight="1">
      <c r="A606" s="1">
        <v>46199</v>
      </c>
      <c r="B606" s="2">
        <v>5</v>
      </c>
      <c r="C606" s="7">
        <v>-4.2550301603245604</v>
      </c>
      <c r="D606" s="7">
        <v>-3.820535</v>
      </c>
      <c r="E606" s="7">
        <v>-0.43449516032456298</v>
      </c>
      <c r="F606" s="7">
        <f t="shared" si="36"/>
        <v>4.2550301603245604</v>
      </c>
      <c r="G606" s="7">
        <f t="shared" si="37"/>
        <v>3.820535</v>
      </c>
      <c r="H606" s="7">
        <f t="shared" si="38"/>
        <v>0.43449516032456037</v>
      </c>
      <c r="I606" s="8">
        <f t="shared" si="39"/>
        <v>0.11372626093585332</v>
      </c>
      <c r="J606" s="9">
        <v>137.5</v>
      </c>
      <c r="K606" s="9">
        <v>-59.743084544627401</v>
      </c>
    </row>
    <row r="607" spans="1:11" ht="12.75" customHeight="1">
      <c r="A607" s="1">
        <v>46199</v>
      </c>
      <c r="B607" s="2">
        <v>6</v>
      </c>
      <c r="C607" s="7">
        <v>-4.0279758489715096</v>
      </c>
      <c r="D607" s="7">
        <v>-3.6484329999999998</v>
      </c>
      <c r="E607" s="7">
        <v>-0.366878470971505</v>
      </c>
      <c r="F607" s="7">
        <f t="shared" si="36"/>
        <v>4.0279758489715096</v>
      </c>
      <c r="G607" s="7">
        <f t="shared" si="37"/>
        <v>3.6484329999999998</v>
      </c>
      <c r="H607" s="7">
        <f t="shared" si="38"/>
        <v>0.37954284897150981</v>
      </c>
      <c r="I607" s="8">
        <f t="shared" si="39"/>
        <v>0.1040290034026964</v>
      </c>
      <c r="J607" s="9">
        <v>137.5</v>
      </c>
      <c r="K607" s="9">
        <v>-50.445789758581903</v>
      </c>
    </row>
    <row r="608" spans="1:11" ht="12.75" customHeight="1">
      <c r="A608" s="1">
        <v>46199</v>
      </c>
      <c r="B608" s="2">
        <v>7</v>
      </c>
      <c r="C608" s="7">
        <v>-3.64105858544854</v>
      </c>
      <c r="D608" s="7">
        <v>-3.0551339999999998</v>
      </c>
      <c r="E608" s="7">
        <v>-0.46822558044853901</v>
      </c>
      <c r="F608" s="7">
        <f t="shared" si="36"/>
        <v>3.64105858544854</v>
      </c>
      <c r="G608" s="7">
        <f t="shared" si="37"/>
        <v>3.0551339999999998</v>
      </c>
      <c r="H608" s="7">
        <f t="shared" si="38"/>
        <v>0.5859245854485402</v>
      </c>
      <c r="I608" s="8">
        <f t="shared" si="39"/>
        <v>0.19178359621821506</v>
      </c>
      <c r="J608" s="9">
        <v>137.5</v>
      </c>
      <c r="K608" s="9">
        <v>-64.3810173116741</v>
      </c>
    </row>
    <row r="609" spans="1:11" ht="12.75" customHeight="1">
      <c r="A609" s="1">
        <v>46199</v>
      </c>
      <c r="B609" s="2">
        <v>8</v>
      </c>
      <c r="C609" s="7">
        <v>-3.7146418846387199</v>
      </c>
      <c r="D609" s="7">
        <v>-3.108835</v>
      </c>
      <c r="E609" s="7">
        <v>-0.23978216263871499</v>
      </c>
      <c r="F609" s="7">
        <f t="shared" si="36"/>
        <v>3.7146418846387199</v>
      </c>
      <c r="G609" s="7">
        <f t="shared" si="37"/>
        <v>3.108835</v>
      </c>
      <c r="H609" s="7">
        <f t="shared" si="38"/>
        <v>0.6058068846387199</v>
      </c>
      <c r="I609" s="8">
        <f t="shared" si="39"/>
        <v>0.19486620699995977</v>
      </c>
      <c r="J609" s="9">
        <v>121</v>
      </c>
      <c r="K609" s="9">
        <v>-29.0136416792846</v>
      </c>
    </row>
    <row r="610" spans="1:11" ht="12.75" customHeight="1">
      <c r="A610" s="1">
        <v>46199</v>
      </c>
      <c r="B610" s="2">
        <v>9</v>
      </c>
      <c r="C610" s="7">
        <v>-4.4540698222017898</v>
      </c>
      <c r="D610" s="7">
        <v>-3.5552649999999999</v>
      </c>
      <c r="E610" s="7">
        <v>-0.315741362201785</v>
      </c>
      <c r="F610" s="7">
        <f t="shared" si="36"/>
        <v>4.4540698222017898</v>
      </c>
      <c r="G610" s="7">
        <f t="shared" si="37"/>
        <v>3.5552649999999999</v>
      </c>
      <c r="H610" s="7">
        <f t="shared" si="38"/>
        <v>0.89880482220178992</v>
      </c>
      <c r="I610" s="8">
        <f t="shared" si="39"/>
        <v>0.25280951552184999</v>
      </c>
      <c r="J610" s="9">
        <v>113.76</v>
      </c>
      <c r="K610" s="9">
        <v>-35.918737364075099</v>
      </c>
    </row>
    <row r="611" spans="1:11" ht="12.75" customHeight="1">
      <c r="A611" s="1">
        <v>46199</v>
      </c>
      <c r="B611" s="2">
        <v>10</v>
      </c>
      <c r="C611" s="7">
        <v>-4.6511654825948803</v>
      </c>
      <c r="D611" s="7">
        <v>-3.7739509999999998</v>
      </c>
      <c r="E611" s="7">
        <v>-0.182994481594876</v>
      </c>
      <c r="F611" s="7">
        <f t="shared" si="36"/>
        <v>4.6511654825948803</v>
      </c>
      <c r="G611" s="7">
        <f t="shared" si="37"/>
        <v>3.7739509999999998</v>
      </c>
      <c r="H611" s="7">
        <f t="shared" si="38"/>
        <v>0.87721448259488044</v>
      </c>
      <c r="I611" s="8">
        <f t="shared" si="39"/>
        <v>0.23243928779013837</v>
      </c>
      <c r="J611" s="9">
        <v>104.5</v>
      </c>
      <c r="K611" s="9">
        <v>-19.122923326664498</v>
      </c>
    </row>
    <row r="612" spans="1:11" ht="12.75" customHeight="1">
      <c r="A612" s="1">
        <v>46199</v>
      </c>
      <c r="B612" s="2">
        <v>11</v>
      </c>
      <c r="C612" s="7">
        <v>-4.7716111198562103</v>
      </c>
      <c r="D612" s="7">
        <v>-3.6212589999999998</v>
      </c>
      <c r="E612" s="7">
        <v>-0.39863711085621001</v>
      </c>
      <c r="F612" s="7">
        <f t="shared" si="36"/>
        <v>4.7716111198562103</v>
      </c>
      <c r="G612" s="7">
        <f t="shared" si="37"/>
        <v>3.6212589999999998</v>
      </c>
      <c r="H612" s="7">
        <f t="shared" si="38"/>
        <v>1.1503521198562106</v>
      </c>
      <c r="I612" s="8">
        <f t="shared" si="39"/>
        <v>0.3176663474930157</v>
      </c>
      <c r="J612" s="9">
        <v>99</v>
      </c>
      <c r="K612" s="9">
        <v>-39.465073974764799</v>
      </c>
    </row>
    <row r="613" spans="1:11" ht="12.75" customHeight="1">
      <c r="A613" s="1">
        <v>46199</v>
      </c>
      <c r="B613" s="2">
        <v>12</v>
      </c>
      <c r="C613" s="7">
        <v>-4.9852287513059403</v>
      </c>
      <c r="D613" s="7">
        <v>-3.6555499999999999</v>
      </c>
      <c r="E613" s="7">
        <v>-0.728476646305939</v>
      </c>
      <c r="F613" s="7">
        <f t="shared" si="36"/>
        <v>4.9852287513059403</v>
      </c>
      <c r="G613" s="7">
        <f t="shared" si="37"/>
        <v>3.6555499999999999</v>
      </c>
      <c r="H613" s="7">
        <f t="shared" si="38"/>
        <v>1.3296787513059405</v>
      </c>
      <c r="I613" s="8">
        <f t="shared" si="39"/>
        <v>0.36374246045217284</v>
      </c>
      <c r="J613" s="9">
        <v>93.5</v>
      </c>
      <c r="K613" s="9">
        <v>-68.112566429605295</v>
      </c>
    </row>
    <row r="614" spans="1:11" ht="12.75" customHeight="1">
      <c r="A614" s="1">
        <v>46199</v>
      </c>
      <c r="B614" s="2">
        <v>13</v>
      </c>
      <c r="C614" s="7">
        <v>-5.0926242328910396</v>
      </c>
      <c r="D614" s="7">
        <v>-3.673019</v>
      </c>
      <c r="E614" s="7">
        <v>-0.75419031889104404</v>
      </c>
      <c r="F614" s="7">
        <f t="shared" si="36"/>
        <v>5.0926242328910396</v>
      </c>
      <c r="G614" s="7">
        <f t="shared" si="37"/>
        <v>3.673019</v>
      </c>
      <c r="H614" s="7">
        <f t="shared" si="38"/>
        <v>1.4196052328910396</v>
      </c>
      <c r="I614" s="8">
        <f t="shared" si="39"/>
        <v>0.38649547766865339</v>
      </c>
      <c r="J614" s="9">
        <v>88</v>
      </c>
      <c r="K614" s="9">
        <v>-66.368748062411896</v>
      </c>
    </row>
    <row r="615" spans="1:11" ht="12.75" customHeight="1">
      <c r="A615" s="1">
        <v>46199</v>
      </c>
      <c r="B615" s="2">
        <v>14</v>
      </c>
      <c r="C615" s="7">
        <v>-5.1772871800807501</v>
      </c>
      <c r="D615" s="7">
        <v>-3.6756069999999998</v>
      </c>
      <c r="E615" s="7">
        <v>-0.68728187008074904</v>
      </c>
      <c r="F615" s="7">
        <f t="shared" si="36"/>
        <v>5.1772871800807501</v>
      </c>
      <c r="G615" s="7">
        <f t="shared" si="37"/>
        <v>3.6756069999999998</v>
      </c>
      <c r="H615" s="7">
        <f t="shared" si="38"/>
        <v>1.5016801800807502</v>
      </c>
      <c r="I615" s="8">
        <f t="shared" si="39"/>
        <v>0.4085529764419184</v>
      </c>
      <c r="J615" s="9">
        <v>86.67</v>
      </c>
      <c r="K615" s="9">
        <v>-59.566719679898497</v>
      </c>
    </row>
    <row r="616" spans="1:11" ht="12.75" customHeight="1">
      <c r="A616" s="1">
        <v>46199</v>
      </c>
      <c r="B616" s="2">
        <v>15</v>
      </c>
      <c r="C616" s="7">
        <v>-5.1709729662176898</v>
      </c>
      <c r="D616" s="7">
        <v>-3.9324659999999998</v>
      </c>
      <c r="E616" s="7">
        <v>-0.46375358121768501</v>
      </c>
      <c r="F616" s="7">
        <f t="shared" si="36"/>
        <v>5.1709729662176898</v>
      </c>
      <c r="G616" s="7">
        <f t="shared" si="37"/>
        <v>3.9324659999999998</v>
      </c>
      <c r="H616" s="7">
        <f t="shared" si="38"/>
        <v>1.23850696621769</v>
      </c>
      <c r="I616" s="8">
        <f t="shared" si="39"/>
        <v>0.31494410027135389</v>
      </c>
      <c r="J616" s="9">
        <v>92.95</v>
      </c>
      <c r="K616" s="9">
        <v>-43.105895374183902</v>
      </c>
    </row>
    <row r="617" spans="1:11" ht="12.75" customHeight="1">
      <c r="A617" s="1">
        <v>46199</v>
      </c>
      <c r="B617" s="2">
        <v>16</v>
      </c>
      <c r="C617" s="7">
        <v>-5.1787949142855396</v>
      </c>
      <c r="D617" s="7">
        <v>-4.2210279999999996</v>
      </c>
      <c r="E617" s="7">
        <v>-0.23093099628553501</v>
      </c>
      <c r="F617" s="7">
        <f t="shared" si="36"/>
        <v>5.1787949142855396</v>
      </c>
      <c r="G617" s="7">
        <f t="shared" si="37"/>
        <v>4.2210279999999996</v>
      </c>
      <c r="H617" s="7">
        <f t="shared" si="38"/>
        <v>0.95776691428554006</v>
      </c>
      <c r="I617" s="8">
        <f t="shared" si="39"/>
        <v>0.22690371025388606</v>
      </c>
      <c r="J617" s="9">
        <v>97.28</v>
      </c>
      <c r="K617" s="9">
        <v>-22.4649673186568</v>
      </c>
    </row>
    <row r="618" spans="1:11" ht="12.75" customHeight="1">
      <c r="A618" s="1">
        <v>46199</v>
      </c>
      <c r="B618" s="2">
        <v>17</v>
      </c>
      <c r="C618" s="7">
        <v>-5.1005819845217504</v>
      </c>
      <c r="D618" s="7">
        <v>-4.6150510000000002</v>
      </c>
      <c r="E618" s="7">
        <v>0.10603405547825399</v>
      </c>
      <c r="F618" s="7">
        <f t="shared" si="36"/>
        <v>5.1005819845217504</v>
      </c>
      <c r="G618" s="7">
        <f t="shared" si="37"/>
        <v>4.6150510000000002</v>
      </c>
      <c r="H618" s="7">
        <f t="shared" si="38"/>
        <v>0.48553098452175014</v>
      </c>
      <c r="I618" s="8">
        <f t="shared" si="39"/>
        <v>0.10520598461896739</v>
      </c>
      <c r="J618" s="9">
        <v>112.58</v>
      </c>
      <c r="K618" s="9">
        <v>11.9373139657419</v>
      </c>
    </row>
    <row r="619" spans="1:11" ht="12.75" customHeight="1">
      <c r="A619" s="1">
        <v>46199</v>
      </c>
      <c r="B619" s="2">
        <v>18</v>
      </c>
      <c r="C619" s="7">
        <v>-5.2619271992010503</v>
      </c>
      <c r="D619" s="7">
        <v>-4.543234</v>
      </c>
      <c r="E619" s="7">
        <v>-0.362240195201046</v>
      </c>
      <c r="F619" s="7">
        <f t="shared" si="36"/>
        <v>5.2619271992010503</v>
      </c>
      <c r="G619" s="7">
        <f t="shared" si="37"/>
        <v>4.543234</v>
      </c>
      <c r="H619" s="7">
        <f t="shared" si="38"/>
        <v>0.71869319920105035</v>
      </c>
      <c r="I619" s="8">
        <f t="shared" si="39"/>
        <v>0.15818978269687414</v>
      </c>
      <c r="J619" s="9">
        <v>25.87</v>
      </c>
      <c r="K619" s="9">
        <v>-9.3711538498510603</v>
      </c>
    </row>
    <row r="620" spans="1:11" ht="12.75" customHeight="1">
      <c r="A620" s="1">
        <v>46199</v>
      </c>
      <c r="B620" s="2">
        <v>19</v>
      </c>
      <c r="C620" s="7">
        <v>-5.1355001831327902</v>
      </c>
      <c r="D620" s="7">
        <v>-5.1300629999999998</v>
      </c>
      <c r="E620" s="7">
        <v>0.124683574867216</v>
      </c>
      <c r="F620" s="7">
        <f t="shared" si="36"/>
        <v>5.1355001831327902</v>
      </c>
      <c r="G620" s="7">
        <f t="shared" si="37"/>
        <v>5.1300629999999998</v>
      </c>
      <c r="H620" s="7">
        <f t="shared" si="38"/>
        <v>5.4371831327904019E-3</v>
      </c>
      <c r="I620" s="8">
        <f t="shared" si="39"/>
        <v>1.0598667370732878E-3</v>
      </c>
      <c r="J620" s="9">
        <v>200.75</v>
      </c>
      <c r="K620" s="9">
        <v>25.030227654593499</v>
      </c>
    </row>
    <row r="621" spans="1:11" ht="12.75" customHeight="1">
      <c r="A621" s="1">
        <v>46199</v>
      </c>
      <c r="B621" s="2">
        <v>20</v>
      </c>
      <c r="C621" s="7">
        <v>-5.9031288249321001</v>
      </c>
      <c r="D621" s="7">
        <v>-5.9135799999999996</v>
      </c>
      <c r="E621" s="7">
        <v>2.86694010678979E-2</v>
      </c>
      <c r="F621" s="7">
        <f t="shared" si="36"/>
        <v>5.9031288249321001</v>
      </c>
      <c r="G621" s="7">
        <f t="shared" si="37"/>
        <v>5.9135799999999996</v>
      </c>
      <c r="H621" s="7">
        <f t="shared" si="38"/>
        <v>1.0451175067899499E-2</v>
      </c>
      <c r="I621" s="8">
        <f t="shared" si="39"/>
        <v>1.7673177783845825E-3</v>
      </c>
      <c r="J621" s="9">
        <v>210.02</v>
      </c>
      <c r="K621" s="9">
        <v>6.0211476122799104</v>
      </c>
    </row>
    <row r="622" spans="1:11" ht="12.75" customHeight="1">
      <c r="A622" s="1">
        <v>46199</v>
      </c>
      <c r="B622" s="2">
        <v>21</v>
      </c>
      <c r="C622" s="7">
        <v>-6.0946975383307196</v>
      </c>
      <c r="D622" s="7">
        <v>-6.2894870000000003</v>
      </c>
      <c r="E622" s="7">
        <v>0.19487615966928101</v>
      </c>
      <c r="F622" s="7">
        <f t="shared" si="36"/>
        <v>6.0946975383307196</v>
      </c>
      <c r="G622" s="7">
        <f t="shared" si="37"/>
        <v>6.2894870000000003</v>
      </c>
      <c r="H622" s="7">
        <f t="shared" si="38"/>
        <v>0.19478946166928068</v>
      </c>
      <c r="I622" s="8">
        <f t="shared" si="39"/>
        <v>3.0970643817099977E-2</v>
      </c>
      <c r="J622" s="9">
        <v>118.7</v>
      </c>
      <c r="K622" s="9">
        <v>23.131800152743601</v>
      </c>
    </row>
    <row r="623" spans="1:11" ht="12.75" customHeight="1">
      <c r="A623" s="1">
        <v>46199</v>
      </c>
      <c r="B623" s="2">
        <v>22</v>
      </c>
      <c r="C623" s="7">
        <v>-5.7849023149984697</v>
      </c>
      <c r="D623" s="7">
        <v>-6.0708010000000003</v>
      </c>
      <c r="E623" s="7">
        <v>0.28589868500152599</v>
      </c>
      <c r="F623" s="7">
        <f t="shared" si="36"/>
        <v>5.7849023149984697</v>
      </c>
      <c r="G623" s="7">
        <f t="shared" si="37"/>
        <v>6.0708010000000003</v>
      </c>
      <c r="H623" s="7">
        <f t="shared" si="38"/>
        <v>0.28589868500153059</v>
      </c>
      <c r="I623" s="8">
        <f t="shared" si="39"/>
        <v>4.7094063040697694E-2</v>
      </c>
      <c r="J623" s="9">
        <v>211.92</v>
      </c>
      <c r="K623" s="9">
        <v>60.587649325523302</v>
      </c>
    </row>
    <row r="624" spans="1:11" ht="12.75" customHeight="1">
      <c r="A624" s="1">
        <v>46199</v>
      </c>
      <c r="B624" s="2">
        <v>23</v>
      </c>
      <c r="C624" s="7">
        <v>-5.0752419072916197</v>
      </c>
      <c r="D624" s="7">
        <v>-5.2154670000000003</v>
      </c>
      <c r="E624" s="7">
        <v>0.14022509270838299</v>
      </c>
      <c r="F624" s="7">
        <f t="shared" si="36"/>
        <v>5.0752419072916197</v>
      </c>
      <c r="G624" s="7">
        <f t="shared" si="37"/>
        <v>5.2154670000000003</v>
      </c>
      <c r="H624" s="7">
        <f t="shared" si="38"/>
        <v>0.14022509270838057</v>
      </c>
      <c r="I624" s="8">
        <f t="shared" si="39"/>
        <v>2.6886392476144622E-2</v>
      </c>
      <c r="J624" s="9">
        <v>219.9</v>
      </c>
      <c r="K624" s="9">
        <v>30.835497886573499</v>
      </c>
    </row>
    <row r="625" spans="1:11" ht="12.75" customHeight="1">
      <c r="A625" s="1">
        <v>46199</v>
      </c>
      <c r="B625" s="2">
        <v>24</v>
      </c>
      <c r="C625" s="7">
        <v>-4.4354859006901197</v>
      </c>
      <c r="D625" s="7">
        <v>-4.5691139999999999</v>
      </c>
      <c r="E625" s="7">
        <v>0.13362809930987701</v>
      </c>
      <c r="F625" s="7">
        <f t="shared" si="36"/>
        <v>4.4354859006901197</v>
      </c>
      <c r="G625" s="7">
        <f t="shared" si="37"/>
        <v>4.5691139999999999</v>
      </c>
      <c r="H625" s="7">
        <f t="shared" si="38"/>
        <v>0.13362809930988018</v>
      </c>
      <c r="I625" s="8">
        <f t="shared" si="39"/>
        <v>2.9245954316281051E-2</v>
      </c>
      <c r="J625" s="9">
        <v>173.43</v>
      </c>
      <c r="K625" s="9">
        <v>23.175121263311901</v>
      </c>
    </row>
    <row r="626" spans="1:11" ht="12.75" customHeight="1">
      <c r="A626" s="1">
        <v>46200</v>
      </c>
      <c r="B626" s="2">
        <v>1</v>
      </c>
      <c r="C626" s="7">
        <v>-3.9841560527787898</v>
      </c>
      <c r="D626" s="7">
        <v>-4.0812759999999999</v>
      </c>
      <c r="E626" s="7">
        <v>9.7119947221211006E-2</v>
      </c>
      <c r="F626" s="7">
        <f t="shared" si="36"/>
        <v>3.9841560527787898</v>
      </c>
      <c r="G626" s="7">
        <f t="shared" si="37"/>
        <v>4.0812759999999999</v>
      </c>
      <c r="H626" s="7">
        <f t="shared" si="38"/>
        <v>9.711994722121009E-2</v>
      </c>
      <c r="I626" s="8">
        <f t="shared" si="39"/>
        <v>2.379646640443089E-2</v>
      </c>
      <c r="J626" s="9">
        <v>110.37</v>
      </c>
      <c r="K626" s="9">
        <v>10.719128574805101</v>
      </c>
    </row>
    <row r="627" spans="1:11" ht="12.75" customHeight="1">
      <c r="A627" s="1">
        <v>46200</v>
      </c>
      <c r="B627" s="2">
        <v>2</v>
      </c>
      <c r="C627" s="7">
        <v>-3.8236424383140801</v>
      </c>
      <c r="D627" s="7">
        <v>-4.0476320000000001</v>
      </c>
      <c r="E627" s="7">
        <v>0.22398956168591799</v>
      </c>
      <c r="F627" s="7">
        <f t="shared" si="36"/>
        <v>3.8236424383140801</v>
      </c>
      <c r="G627" s="7">
        <f t="shared" si="37"/>
        <v>4.0476320000000001</v>
      </c>
      <c r="H627" s="7">
        <f t="shared" si="38"/>
        <v>0.22398956168591999</v>
      </c>
      <c r="I627" s="8">
        <f t="shared" si="39"/>
        <v>5.5338420510046366E-2</v>
      </c>
      <c r="J627" s="9">
        <v>126.56</v>
      </c>
      <c r="K627" s="9">
        <v>28.3481189269698</v>
      </c>
    </row>
    <row r="628" spans="1:11" ht="12.75" customHeight="1">
      <c r="A628" s="1">
        <v>46200</v>
      </c>
      <c r="B628" s="2">
        <v>3</v>
      </c>
      <c r="C628" s="7">
        <v>-3.6333495084288598</v>
      </c>
      <c r="D628" s="7">
        <v>-3.6393749999999998</v>
      </c>
      <c r="E628" s="7">
        <v>6.0254915711444503E-3</v>
      </c>
      <c r="F628" s="7">
        <f t="shared" si="36"/>
        <v>3.6333495084288598</v>
      </c>
      <c r="G628" s="7">
        <f t="shared" si="37"/>
        <v>3.6393749999999998</v>
      </c>
      <c r="H628" s="7">
        <f t="shared" si="38"/>
        <v>6.0254915711399626E-3</v>
      </c>
      <c r="I628" s="8">
        <f t="shared" si="39"/>
        <v>1.6556391059288924E-3</v>
      </c>
      <c r="J628" s="9">
        <v>118.45</v>
      </c>
      <c r="K628" s="9">
        <v>0.71371947660206003</v>
      </c>
    </row>
    <row r="629" spans="1:11" ht="12.75" customHeight="1">
      <c r="A629" s="1">
        <v>46200</v>
      </c>
      <c r="B629" s="2">
        <v>4</v>
      </c>
      <c r="C629" s="7">
        <v>-3.6774395227365702</v>
      </c>
      <c r="D629" s="7">
        <v>-3.6160830000000002</v>
      </c>
      <c r="E629" s="7">
        <v>-6.1356522736573799E-2</v>
      </c>
      <c r="F629" s="7">
        <f t="shared" si="36"/>
        <v>3.6774395227365702</v>
      </c>
      <c r="G629" s="7">
        <f t="shared" si="37"/>
        <v>3.6160830000000002</v>
      </c>
      <c r="H629" s="7">
        <f t="shared" si="38"/>
        <v>6.1356522736569996E-2</v>
      </c>
      <c r="I629" s="8">
        <f t="shared" si="39"/>
        <v>1.6967675447872737E-2</v>
      </c>
      <c r="J629" s="9">
        <v>122.31</v>
      </c>
      <c r="K629" s="9">
        <v>-7.5045162959103404</v>
      </c>
    </row>
    <row r="630" spans="1:11" ht="12.75" customHeight="1">
      <c r="A630" s="1">
        <v>46200</v>
      </c>
      <c r="B630" s="2">
        <v>5</v>
      </c>
      <c r="C630" s="7">
        <v>-3.6519487957038699</v>
      </c>
      <c r="D630" s="7">
        <v>-3.574675</v>
      </c>
      <c r="E630" s="7">
        <v>-7.7273795703869899E-2</v>
      </c>
      <c r="F630" s="7">
        <f t="shared" si="36"/>
        <v>3.6519487957038699</v>
      </c>
      <c r="G630" s="7">
        <f t="shared" si="37"/>
        <v>3.574675</v>
      </c>
      <c r="H630" s="7">
        <f t="shared" si="38"/>
        <v>7.727379570386983E-2</v>
      </c>
      <c r="I630" s="8">
        <f t="shared" si="39"/>
        <v>2.1617012932328067E-2</v>
      </c>
      <c r="J630" s="9">
        <v>123.02</v>
      </c>
      <c r="K630" s="9">
        <v>-9.5062223474900698</v>
      </c>
    </row>
    <row r="631" spans="1:11" ht="12.75" customHeight="1">
      <c r="A631" s="1">
        <v>46200</v>
      </c>
      <c r="B631" s="2">
        <v>6</v>
      </c>
      <c r="C631" s="7">
        <v>-3.4294009588263101</v>
      </c>
      <c r="D631" s="7">
        <v>-3.5377960000000002</v>
      </c>
      <c r="E631" s="7">
        <v>0.120801266173689</v>
      </c>
      <c r="F631" s="7">
        <f t="shared" si="36"/>
        <v>3.4294009588263101</v>
      </c>
      <c r="G631" s="7">
        <f t="shared" si="37"/>
        <v>3.5377960000000002</v>
      </c>
      <c r="H631" s="7">
        <f t="shared" si="38"/>
        <v>0.10839504117369003</v>
      </c>
      <c r="I631" s="8">
        <f t="shared" si="39"/>
        <v>3.0639144024610244E-2</v>
      </c>
      <c r="J631" s="9">
        <v>123.9</v>
      </c>
      <c r="K631" s="9">
        <v>14.967276878920099</v>
      </c>
    </row>
    <row r="632" spans="1:11" ht="12.75" customHeight="1">
      <c r="A632" s="1">
        <v>46200</v>
      </c>
      <c r="B632" s="2">
        <v>7</v>
      </c>
      <c r="C632" s="7">
        <v>-3.0273678485819202</v>
      </c>
      <c r="D632" s="7">
        <v>-2.7639840000000002</v>
      </c>
      <c r="E632" s="7">
        <v>-9.9872714581920499E-2</v>
      </c>
      <c r="F632" s="7">
        <f t="shared" si="36"/>
        <v>3.0273678485819202</v>
      </c>
      <c r="G632" s="7">
        <f t="shared" si="37"/>
        <v>2.7639840000000002</v>
      </c>
      <c r="H632" s="7">
        <f t="shared" si="38"/>
        <v>0.26338384858191999</v>
      </c>
      <c r="I632" s="8">
        <f t="shared" si="39"/>
        <v>9.5291379610706856E-2</v>
      </c>
      <c r="J632" s="9">
        <v>96.75</v>
      </c>
      <c r="K632" s="9">
        <v>-9.6626851358008103</v>
      </c>
    </row>
    <row r="633" spans="1:11" ht="12.75" customHeight="1">
      <c r="A633" s="1">
        <v>46200</v>
      </c>
      <c r="B633" s="2">
        <v>8</v>
      </c>
      <c r="C633" s="7">
        <v>-2.97008797415155</v>
      </c>
      <c r="D633" s="7">
        <v>-2.249619</v>
      </c>
      <c r="E633" s="7">
        <v>-0.210931888151553</v>
      </c>
      <c r="F633" s="7">
        <f t="shared" si="36"/>
        <v>2.97008797415155</v>
      </c>
      <c r="G633" s="7">
        <f t="shared" si="37"/>
        <v>2.249619</v>
      </c>
      <c r="H633" s="7">
        <f t="shared" si="38"/>
        <v>0.72046897415154998</v>
      </c>
      <c r="I633" s="8">
        <f t="shared" si="39"/>
        <v>0.32026266410069881</v>
      </c>
      <c r="J633" s="9">
        <v>86.9</v>
      </c>
      <c r="K633" s="9">
        <v>-18.329981080369901</v>
      </c>
    </row>
    <row r="634" spans="1:11" ht="12.75" customHeight="1">
      <c r="A634" s="1">
        <v>46200</v>
      </c>
      <c r="B634" s="2">
        <v>9</v>
      </c>
      <c r="C634" s="7">
        <v>-3.3882123025247801</v>
      </c>
      <c r="D634" s="7">
        <v>-2.4941849999999999</v>
      </c>
      <c r="E634" s="7">
        <v>-0.13072646452477599</v>
      </c>
      <c r="F634" s="7">
        <f t="shared" si="36"/>
        <v>3.3882123025247801</v>
      </c>
      <c r="G634" s="7">
        <f t="shared" si="37"/>
        <v>2.4941849999999999</v>
      </c>
      <c r="H634" s="7">
        <f t="shared" si="38"/>
        <v>0.89402730252478024</v>
      </c>
      <c r="I634" s="8">
        <f t="shared" si="39"/>
        <v>0.35844466329674035</v>
      </c>
      <c r="J634" s="9">
        <v>39.85</v>
      </c>
      <c r="K634" s="9">
        <v>-5.2094496113123103</v>
      </c>
    </row>
    <row r="635" spans="1:11" ht="12.75" customHeight="1">
      <c r="A635" s="1">
        <v>46200</v>
      </c>
      <c r="B635" s="2">
        <v>10</v>
      </c>
      <c r="C635" s="7">
        <v>-3.7674581408058998</v>
      </c>
      <c r="D635" s="7">
        <v>-3.5132099999999999</v>
      </c>
      <c r="E635" s="7">
        <v>0.58874756919410198</v>
      </c>
      <c r="F635" s="7">
        <f t="shared" si="36"/>
        <v>3.7674581408058998</v>
      </c>
      <c r="G635" s="7">
        <f t="shared" si="37"/>
        <v>3.5132099999999999</v>
      </c>
      <c r="H635" s="7">
        <f t="shared" si="38"/>
        <v>0.25424814080589986</v>
      </c>
      <c r="I635" s="8">
        <f t="shared" si="39"/>
        <v>7.2369183967340364E-2</v>
      </c>
      <c r="J635" s="9">
        <v>47</v>
      </c>
      <c r="K635" s="9">
        <v>27.671135752122801</v>
      </c>
    </row>
    <row r="636" spans="1:11" ht="12.75" customHeight="1">
      <c r="A636" s="1">
        <v>46200</v>
      </c>
      <c r="B636" s="2">
        <v>11</v>
      </c>
      <c r="C636" s="7">
        <v>-3.9054150941783199</v>
      </c>
      <c r="D636" s="7">
        <v>-3.5242089999999999</v>
      </c>
      <c r="E636" s="7">
        <v>0.59376014682167699</v>
      </c>
      <c r="F636" s="7">
        <f t="shared" si="36"/>
        <v>3.9054150941783199</v>
      </c>
      <c r="G636" s="7">
        <f t="shared" si="37"/>
        <v>3.5242089999999999</v>
      </c>
      <c r="H636" s="7">
        <f t="shared" si="38"/>
        <v>0.38120609417831997</v>
      </c>
      <c r="I636" s="8">
        <f t="shared" si="39"/>
        <v>0.1081678453741875</v>
      </c>
      <c r="J636" s="9">
        <v>57.13</v>
      </c>
      <c r="K636" s="9">
        <v>33.921517187922397</v>
      </c>
    </row>
    <row r="637" spans="1:11" ht="12.75" customHeight="1">
      <c r="A637" s="1">
        <v>46200</v>
      </c>
      <c r="B637" s="2">
        <v>12</v>
      </c>
      <c r="C637" s="7">
        <v>-4.1538635296407396</v>
      </c>
      <c r="D637" s="7">
        <v>-3.540384</v>
      </c>
      <c r="E637" s="7">
        <v>0.34731417635925799</v>
      </c>
      <c r="F637" s="7">
        <f t="shared" si="36"/>
        <v>4.1538635296407396</v>
      </c>
      <c r="G637" s="7">
        <f t="shared" si="37"/>
        <v>3.540384</v>
      </c>
      <c r="H637" s="7">
        <f t="shared" si="38"/>
        <v>0.6134795296407396</v>
      </c>
      <c r="I637" s="8">
        <f t="shared" si="39"/>
        <v>0.17328050562897684</v>
      </c>
      <c r="J637" s="9">
        <v>46.63</v>
      </c>
      <c r="K637" s="9">
        <v>16.195260043632199</v>
      </c>
    </row>
    <row r="638" spans="1:11" ht="12.75" customHeight="1">
      <c r="A638" s="1">
        <v>46200</v>
      </c>
      <c r="B638" s="2">
        <v>13</v>
      </c>
      <c r="C638" s="7">
        <v>-4.2452020178293202</v>
      </c>
      <c r="D638" s="7">
        <v>-3.5585</v>
      </c>
      <c r="E638" s="7">
        <v>0.19645427617068001</v>
      </c>
      <c r="F638" s="7">
        <f t="shared" si="36"/>
        <v>4.2452020178293202</v>
      </c>
      <c r="G638" s="7">
        <f t="shared" si="37"/>
        <v>3.5585</v>
      </c>
      <c r="H638" s="7">
        <f t="shared" si="38"/>
        <v>0.68670201782932017</v>
      </c>
      <c r="I638" s="8">
        <f t="shared" si="39"/>
        <v>0.19297513498084029</v>
      </c>
      <c r="J638" s="9">
        <v>10.91</v>
      </c>
      <c r="K638" s="9">
        <v>2.1433161530221199</v>
      </c>
    </row>
    <row r="639" spans="1:11" ht="12.75" customHeight="1">
      <c r="A639" s="1">
        <v>46200</v>
      </c>
      <c r="B639" s="2">
        <v>14</v>
      </c>
      <c r="C639" s="7">
        <v>-4.3376671015998598</v>
      </c>
      <c r="D639" s="7">
        <v>-3.5714399999999999</v>
      </c>
      <c r="E639" s="7">
        <v>0.18730079440014499</v>
      </c>
      <c r="F639" s="7">
        <f t="shared" si="36"/>
        <v>4.3376671015998598</v>
      </c>
      <c r="G639" s="7">
        <f t="shared" si="37"/>
        <v>3.5714399999999999</v>
      </c>
      <c r="H639" s="7">
        <f t="shared" si="38"/>
        <v>0.76622710159985985</v>
      </c>
      <c r="I639" s="8">
        <f t="shared" si="39"/>
        <v>0.21454290191067465</v>
      </c>
      <c r="J639" s="9">
        <v>22.17</v>
      </c>
      <c r="K639" s="9">
        <v>4.1524586118512099</v>
      </c>
    </row>
    <row r="640" spans="1:11" ht="12.75" customHeight="1">
      <c r="A640" s="1">
        <v>46200</v>
      </c>
      <c r="B640" s="2">
        <v>15</v>
      </c>
      <c r="C640" s="7">
        <v>-4.2993929635992902</v>
      </c>
      <c r="D640" s="7">
        <v>-3.5902029999999998</v>
      </c>
      <c r="E640" s="7">
        <v>0.13798989540070999</v>
      </c>
      <c r="F640" s="7">
        <f t="shared" si="36"/>
        <v>4.2993929635992902</v>
      </c>
      <c r="G640" s="7">
        <f t="shared" si="37"/>
        <v>3.5902029999999998</v>
      </c>
      <c r="H640" s="7">
        <f t="shared" si="38"/>
        <v>0.70918996359929043</v>
      </c>
      <c r="I640" s="8">
        <f t="shared" si="39"/>
        <v>0.19753478106928507</v>
      </c>
      <c r="J640" s="9">
        <v>20.63</v>
      </c>
      <c r="K640" s="9">
        <v>2.8467315421166499</v>
      </c>
    </row>
    <row r="641" spans="1:11" ht="12.75" customHeight="1">
      <c r="A641" s="1">
        <v>46200</v>
      </c>
      <c r="B641" s="2">
        <v>16</v>
      </c>
      <c r="C641" s="7">
        <v>-4.3481185902512003</v>
      </c>
      <c r="D641" s="7">
        <v>-3.6050840000000002</v>
      </c>
      <c r="E641" s="7">
        <v>1.7396155748799901E-2</v>
      </c>
      <c r="F641" s="7">
        <f t="shared" si="36"/>
        <v>4.3481185902512003</v>
      </c>
      <c r="G641" s="7">
        <f t="shared" si="37"/>
        <v>3.6050840000000002</v>
      </c>
      <c r="H641" s="7">
        <f t="shared" si="38"/>
        <v>0.74303459025120011</v>
      </c>
      <c r="I641" s="8">
        <f t="shared" si="39"/>
        <v>0.20610742780229255</v>
      </c>
      <c r="J641" s="9">
        <v>15.92</v>
      </c>
      <c r="K641" s="9">
        <v>0.27694679952089402</v>
      </c>
    </row>
    <row r="642" spans="1:11" ht="12.75" customHeight="1">
      <c r="A642" s="1">
        <v>46200</v>
      </c>
      <c r="B642" s="2">
        <v>17</v>
      </c>
      <c r="C642" s="7">
        <v>-4.4268079934381799</v>
      </c>
      <c r="D642" s="7">
        <v>-3.618671</v>
      </c>
      <c r="E642" s="7">
        <v>-0.25090047943818</v>
      </c>
      <c r="F642" s="7">
        <f t="shared" ref="F642:F705" si="40">ABS(C642)</f>
        <v>4.4268079934381799</v>
      </c>
      <c r="G642" s="7">
        <f t="shared" ref="G642:G705" si="41">ABS(D642)</f>
        <v>3.618671</v>
      </c>
      <c r="H642" s="7">
        <f t="shared" ref="H642:H705" si="42">ABS(G642-F642)</f>
        <v>0.80813699343817991</v>
      </c>
      <c r="I642" s="8">
        <f t="shared" ref="I642:I705" si="43">H642/G642</f>
        <v>0.22332425175932819</v>
      </c>
      <c r="J642" s="9">
        <v>41.06</v>
      </c>
      <c r="K642" s="9">
        <v>-10.301973685731699</v>
      </c>
    </row>
    <row r="643" spans="1:11" ht="12.75" customHeight="1">
      <c r="A643" s="1">
        <v>46200</v>
      </c>
      <c r="B643" s="2">
        <v>18</v>
      </c>
      <c r="C643" s="7">
        <v>-4.7816458308158101</v>
      </c>
      <c r="D643" s="7">
        <v>-4.0314569999999996</v>
      </c>
      <c r="E643" s="7">
        <v>-0.47790276281580601</v>
      </c>
      <c r="F643" s="7">
        <f t="shared" si="40"/>
        <v>4.7816458308158101</v>
      </c>
      <c r="G643" s="7">
        <f t="shared" si="41"/>
        <v>4.0314569999999996</v>
      </c>
      <c r="H643" s="7">
        <f t="shared" si="42"/>
        <v>0.75018883081581045</v>
      </c>
      <c r="I643" s="8">
        <f t="shared" si="43"/>
        <v>0.18608379819400542</v>
      </c>
      <c r="J643" s="9">
        <v>124.41</v>
      </c>
      <c r="K643" s="9">
        <v>-59.455882721914399</v>
      </c>
    </row>
    <row r="644" spans="1:11" ht="12.75" customHeight="1">
      <c r="A644" s="1">
        <v>46200</v>
      </c>
      <c r="B644" s="2">
        <v>19</v>
      </c>
      <c r="C644" s="7">
        <v>-4.8639113745166602</v>
      </c>
      <c r="D644" s="7">
        <v>-4.6046990000000001</v>
      </c>
      <c r="E644" s="7">
        <v>-0.15645130551665601</v>
      </c>
      <c r="F644" s="7">
        <f t="shared" si="40"/>
        <v>4.8639113745166602</v>
      </c>
      <c r="G644" s="7">
        <f t="shared" si="41"/>
        <v>4.6046990000000001</v>
      </c>
      <c r="H644" s="7">
        <f t="shared" si="42"/>
        <v>0.25921237451666013</v>
      </c>
      <c r="I644" s="8">
        <f t="shared" si="43"/>
        <v>5.629301166409794E-2</v>
      </c>
      <c r="J644" s="9">
        <v>224.47</v>
      </c>
      <c r="K644" s="9">
        <v>-35.118624549323698</v>
      </c>
    </row>
    <row r="645" spans="1:11" ht="12.75" customHeight="1">
      <c r="A645" s="1">
        <v>46200</v>
      </c>
      <c r="B645" s="2">
        <v>20</v>
      </c>
      <c r="C645" s="7">
        <v>-5.7217204627925096</v>
      </c>
      <c r="D645" s="7">
        <v>-5.6554270000000004</v>
      </c>
      <c r="E645" s="7">
        <v>-5.4916614792513099E-2</v>
      </c>
      <c r="F645" s="7">
        <f t="shared" si="40"/>
        <v>5.7217204627925096</v>
      </c>
      <c r="G645" s="7">
        <f t="shared" si="41"/>
        <v>5.6554270000000004</v>
      </c>
      <c r="H645" s="7">
        <f t="shared" si="42"/>
        <v>6.6293462792509139E-2</v>
      </c>
      <c r="I645" s="8">
        <f t="shared" si="43"/>
        <v>1.1722096809402567E-2</v>
      </c>
      <c r="J645" s="9">
        <v>38.549999999999997</v>
      </c>
      <c r="K645" s="9">
        <v>-2.1170355002513799</v>
      </c>
    </row>
    <row r="646" spans="1:11" ht="12.75" customHeight="1">
      <c r="A646" s="1">
        <v>46200</v>
      </c>
      <c r="B646" s="2">
        <v>21</v>
      </c>
      <c r="C646" s="7">
        <v>-6.2411067850914401</v>
      </c>
      <c r="D646" s="7">
        <v>-5.9815149999999999</v>
      </c>
      <c r="E646" s="7">
        <v>-0.25954649509144301</v>
      </c>
      <c r="F646" s="7">
        <f t="shared" si="40"/>
        <v>6.2411067850914401</v>
      </c>
      <c r="G646" s="7">
        <f t="shared" si="41"/>
        <v>5.9815149999999999</v>
      </c>
      <c r="H646" s="7">
        <f t="shared" si="42"/>
        <v>0.25959178509144021</v>
      </c>
      <c r="I646" s="8">
        <f t="shared" si="43"/>
        <v>4.3399002609111607E-2</v>
      </c>
      <c r="J646" s="9">
        <v>123.6</v>
      </c>
      <c r="K646" s="9">
        <v>-32.079946793302298</v>
      </c>
    </row>
    <row r="647" spans="1:11" ht="12.75" customHeight="1">
      <c r="A647" s="1">
        <v>46200</v>
      </c>
      <c r="B647" s="2">
        <v>22</v>
      </c>
      <c r="C647" s="7">
        <v>-5.9733731009916697</v>
      </c>
      <c r="D647" s="7">
        <v>-5.7427720000000004</v>
      </c>
      <c r="E647" s="7">
        <v>-0.230601100991674</v>
      </c>
      <c r="F647" s="7">
        <f t="shared" si="40"/>
        <v>5.9733731009916697</v>
      </c>
      <c r="G647" s="7">
        <f t="shared" si="41"/>
        <v>5.7427720000000004</v>
      </c>
      <c r="H647" s="7">
        <f t="shared" si="42"/>
        <v>0.23060110099166931</v>
      </c>
      <c r="I647" s="8">
        <f t="shared" si="43"/>
        <v>4.0155015903760291E-2</v>
      </c>
      <c r="J647" s="9">
        <v>164.83</v>
      </c>
      <c r="K647" s="9">
        <v>-38.009979476457602</v>
      </c>
    </row>
    <row r="648" spans="1:11" ht="12.75" customHeight="1">
      <c r="A648" s="1">
        <v>46200</v>
      </c>
      <c r="B648" s="2">
        <v>23</v>
      </c>
      <c r="C648" s="7">
        <v>-5.0515935846985602</v>
      </c>
      <c r="D648" s="7">
        <v>-4.9721950000000001</v>
      </c>
      <c r="E648" s="7">
        <v>-7.9398584698556304E-2</v>
      </c>
      <c r="F648" s="7">
        <f t="shared" si="40"/>
        <v>5.0515935846985602</v>
      </c>
      <c r="G648" s="7">
        <f t="shared" si="41"/>
        <v>4.9721950000000001</v>
      </c>
      <c r="H648" s="7">
        <f t="shared" si="42"/>
        <v>7.9398584698560093E-2</v>
      </c>
      <c r="I648" s="8">
        <f t="shared" si="43"/>
        <v>1.5968517867573594E-2</v>
      </c>
      <c r="J648" s="9">
        <v>108.95</v>
      </c>
      <c r="K648" s="9">
        <v>-8.6504758029077102</v>
      </c>
    </row>
    <row r="649" spans="1:11" ht="12.75" customHeight="1">
      <c r="A649" s="1">
        <v>46200</v>
      </c>
      <c r="B649" s="2">
        <v>24</v>
      </c>
      <c r="C649" s="7">
        <v>-4.1651166545860399</v>
      </c>
      <c r="D649" s="7">
        <v>-4.288316</v>
      </c>
      <c r="E649" s="7">
        <v>0.12319934541396201</v>
      </c>
      <c r="F649" s="7">
        <f t="shared" si="40"/>
        <v>4.1651166545860399</v>
      </c>
      <c r="G649" s="7">
        <f t="shared" si="41"/>
        <v>4.288316</v>
      </c>
      <c r="H649" s="7">
        <f t="shared" si="42"/>
        <v>0.12319934541396016</v>
      </c>
      <c r="I649" s="8">
        <f t="shared" si="43"/>
        <v>2.8729073467057969E-2</v>
      </c>
      <c r="J649" s="9">
        <v>129.94999999999999</v>
      </c>
      <c r="K649" s="9">
        <v>16.0097549365444</v>
      </c>
    </row>
    <row r="650" spans="1:11" ht="12.75" customHeight="1">
      <c r="A650" s="1">
        <v>46201</v>
      </c>
      <c r="B650" s="2">
        <v>1</v>
      </c>
      <c r="C650" s="7">
        <v>-3.5742946438593299</v>
      </c>
      <c r="D650" s="7">
        <v>-3.5843799999999999</v>
      </c>
      <c r="E650" s="7">
        <v>1.00853561406714E-2</v>
      </c>
      <c r="F650" s="7">
        <f t="shared" si="40"/>
        <v>3.5742946438593299</v>
      </c>
      <c r="G650" s="7">
        <f t="shared" si="41"/>
        <v>3.5843799999999999</v>
      </c>
      <c r="H650" s="7">
        <f t="shared" si="42"/>
        <v>1.0085356140669965E-2</v>
      </c>
      <c r="I650" s="8">
        <f t="shared" si="43"/>
        <v>2.8136961317354651E-3</v>
      </c>
      <c r="J650" s="9">
        <v>123.59</v>
      </c>
      <c r="K650" s="9">
        <v>1.24644916542558</v>
      </c>
    </row>
    <row r="651" spans="1:11" ht="12.75" customHeight="1">
      <c r="A651" s="1">
        <v>46201</v>
      </c>
      <c r="B651" s="2">
        <v>2</v>
      </c>
      <c r="C651" s="7">
        <v>-3.4558221838862799</v>
      </c>
      <c r="D651" s="7">
        <v>-3.5533239999999999</v>
      </c>
      <c r="E651" s="7">
        <v>9.7501816113722106E-2</v>
      </c>
      <c r="F651" s="7">
        <f t="shared" si="40"/>
        <v>3.4558221838862799</v>
      </c>
      <c r="G651" s="7">
        <f t="shared" si="41"/>
        <v>3.5533239999999999</v>
      </c>
      <c r="H651" s="7">
        <f t="shared" si="42"/>
        <v>9.7501816113719997E-2</v>
      </c>
      <c r="I651" s="8">
        <f t="shared" si="43"/>
        <v>2.7439607565682162E-2</v>
      </c>
      <c r="J651" s="9">
        <v>75.430000000000007</v>
      </c>
      <c r="K651" s="9">
        <v>7.3545619894580598</v>
      </c>
    </row>
    <row r="652" spans="1:11" ht="12.75" customHeight="1">
      <c r="A652" s="1">
        <v>46201</v>
      </c>
      <c r="B652" s="2">
        <v>3</v>
      </c>
      <c r="C652" s="7">
        <v>-3.3204987300537399</v>
      </c>
      <c r="D652" s="7">
        <v>-3.5636760000000001</v>
      </c>
      <c r="E652" s="7">
        <v>0.24317726994625899</v>
      </c>
      <c r="F652" s="7">
        <f t="shared" si="40"/>
        <v>3.3204987300537399</v>
      </c>
      <c r="G652" s="7">
        <f t="shared" si="41"/>
        <v>3.5636760000000001</v>
      </c>
      <c r="H652" s="7">
        <f t="shared" si="42"/>
        <v>0.24317726994626021</v>
      </c>
      <c r="I652" s="8">
        <f t="shared" si="43"/>
        <v>6.8237760656765706E-2</v>
      </c>
      <c r="J652" s="9">
        <v>126.84</v>
      </c>
      <c r="K652" s="9">
        <v>30.8446049199835</v>
      </c>
    </row>
    <row r="653" spans="1:11" ht="12.75" customHeight="1">
      <c r="A653" s="1">
        <v>46201</v>
      </c>
      <c r="B653" s="2">
        <v>4</v>
      </c>
      <c r="C653" s="7">
        <v>-3.2994050169126798</v>
      </c>
      <c r="D653" s="7">
        <v>-3.5863209999999999</v>
      </c>
      <c r="E653" s="7">
        <v>0.28691598308731803</v>
      </c>
      <c r="F653" s="7">
        <f t="shared" si="40"/>
        <v>3.2994050169126798</v>
      </c>
      <c r="G653" s="7">
        <f t="shared" si="41"/>
        <v>3.5863209999999999</v>
      </c>
      <c r="H653" s="7">
        <f t="shared" si="42"/>
        <v>0.28691598308732003</v>
      </c>
      <c r="I653" s="8">
        <f t="shared" si="43"/>
        <v>8.0002872884864476E-2</v>
      </c>
      <c r="J653" s="9">
        <v>124.34</v>
      </c>
      <c r="K653" s="9">
        <v>35.675133337077099</v>
      </c>
    </row>
    <row r="654" spans="1:11" ht="12.75" customHeight="1">
      <c r="A654" s="1">
        <v>46201</v>
      </c>
      <c r="B654" s="2">
        <v>5</v>
      </c>
      <c r="C654" s="7">
        <v>-3.27197959290829</v>
      </c>
      <c r="D654" s="7">
        <v>-3.6050840000000002</v>
      </c>
      <c r="E654" s="7">
        <v>0.33310440709171002</v>
      </c>
      <c r="F654" s="7">
        <f t="shared" si="40"/>
        <v>3.27197959290829</v>
      </c>
      <c r="G654" s="7">
        <f t="shared" si="41"/>
        <v>3.6050840000000002</v>
      </c>
      <c r="H654" s="7">
        <f t="shared" si="42"/>
        <v>0.33310440709171019</v>
      </c>
      <c r="I654" s="8">
        <f t="shared" si="43"/>
        <v>9.2398514734111648E-2</v>
      </c>
      <c r="J654" s="9">
        <v>129.91</v>
      </c>
      <c r="K654" s="9">
        <v>43.273593525284099</v>
      </c>
    </row>
    <row r="655" spans="1:11" ht="12.75" customHeight="1">
      <c r="A655" s="1">
        <v>46201</v>
      </c>
      <c r="B655" s="2">
        <v>6</v>
      </c>
      <c r="C655" s="7">
        <v>-2.9033863096402102</v>
      </c>
      <c r="D655" s="7">
        <v>-3.1159520000000001</v>
      </c>
      <c r="E655" s="7">
        <v>0.22561063375979001</v>
      </c>
      <c r="F655" s="7">
        <f t="shared" si="40"/>
        <v>2.9033863096402102</v>
      </c>
      <c r="G655" s="7">
        <f t="shared" si="41"/>
        <v>3.1159520000000001</v>
      </c>
      <c r="H655" s="7">
        <f t="shared" si="42"/>
        <v>0.21256569035978989</v>
      </c>
      <c r="I655" s="8">
        <f t="shared" si="43"/>
        <v>6.8218538141726792E-2</v>
      </c>
      <c r="J655" s="9">
        <v>146.6</v>
      </c>
      <c r="K655" s="9">
        <v>33.074518909185201</v>
      </c>
    </row>
    <row r="656" spans="1:11" ht="12.75" customHeight="1">
      <c r="A656" s="1">
        <v>46201</v>
      </c>
      <c r="B656" s="2">
        <v>7</v>
      </c>
      <c r="C656" s="7">
        <v>-2.3753251896132199</v>
      </c>
      <c r="D656" s="7">
        <v>-2.3046139999999999</v>
      </c>
      <c r="E656" s="7">
        <v>9.9949294386777604E-2</v>
      </c>
      <c r="F656" s="7">
        <f t="shared" si="40"/>
        <v>2.3753251896132199</v>
      </c>
      <c r="G656" s="7">
        <f t="shared" si="41"/>
        <v>2.3046139999999999</v>
      </c>
      <c r="H656" s="7">
        <f t="shared" si="42"/>
        <v>7.0711189613219982E-2</v>
      </c>
      <c r="I656" s="8">
        <f t="shared" si="43"/>
        <v>3.0682443833639814E-2</v>
      </c>
      <c r="J656" s="9">
        <v>97.2</v>
      </c>
      <c r="K656" s="9">
        <v>9.7150714143947905</v>
      </c>
    </row>
    <row r="657" spans="1:11" ht="12.75" customHeight="1">
      <c r="A657" s="1">
        <v>46201</v>
      </c>
      <c r="B657" s="2">
        <v>8</v>
      </c>
      <c r="C657" s="7">
        <v>-2.2437723531479499</v>
      </c>
      <c r="D657" s="7">
        <v>-3.596673</v>
      </c>
      <c r="E657" s="7">
        <v>1.9422288784520501</v>
      </c>
      <c r="F657" s="7">
        <f t="shared" si="40"/>
        <v>2.2437723531479499</v>
      </c>
      <c r="G657" s="7">
        <f t="shared" si="41"/>
        <v>3.596673</v>
      </c>
      <c r="H657" s="7">
        <f t="shared" si="42"/>
        <v>1.3529006468520501</v>
      </c>
      <c r="I657" s="8">
        <f t="shared" si="43"/>
        <v>0.37615336363690838</v>
      </c>
      <c r="J657" s="9">
        <v>34.119999999999997</v>
      </c>
      <c r="K657" s="9">
        <v>66.268849332784001</v>
      </c>
    </row>
    <row r="658" spans="1:11" ht="12.75" customHeight="1">
      <c r="A658" s="1">
        <v>46201</v>
      </c>
      <c r="B658" s="2">
        <v>9</v>
      </c>
      <c r="C658" s="7">
        <v>-2.4931662345972501</v>
      </c>
      <c r="D658" s="7">
        <v>-1.4557500000000001</v>
      </c>
      <c r="E658" s="7">
        <v>-0.15494977199724899</v>
      </c>
      <c r="F658" s="7">
        <f t="shared" si="40"/>
        <v>2.4931662345972501</v>
      </c>
      <c r="G658" s="7">
        <f t="shared" si="41"/>
        <v>1.4557500000000001</v>
      </c>
      <c r="H658" s="7">
        <f t="shared" si="42"/>
        <v>1.03741623459725</v>
      </c>
      <c r="I658" s="8">
        <f t="shared" si="43"/>
        <v>0.71263351165876687</v>
      </c>
      <c r="J658" s="9">
        <v>104.68</v>
      </c>
      <c r="K658" s="9">
        <v>-16.220142132671999</v>
      </c>
    </row>
    <row r="659" spans="1:11" ht="12.75" customHeight="1">
      <c r="A659" s="1">
        <v>46201</v>
      </c>
      <c r="B659" s="2">
        <v>10</v>
      </c>
      <c r="C659" s="7">
        <v>-2.7575051813149498</v>
      </c>
      <c r="D659" s="7">
        <v>-3.574675</v>
      </c>
      <c r="E659" s="7">
        <v>1.8457354806850499</v>
      </c>
      <c r="F659" s="7">
        <f t="shared" si="40"/>
        <v>2.7575051813149498</v>
      </c>
      <c r="G659" s="7">
        <f t="shared" si="41"/>
        <v>3.574675</v>
      </c>
      <c r="H659" s="7">
        <f t="shared" si="42"/>
        <v>0.81716981868505023</v>
      </c>
      <c r="I659" s="8">
        <f t="shared" si="43"/>
        <v>0.22859975205719407</v>
      </c>
      <c r="J659" s="9">
        <v>54</v>
      </c>
      <c r="K659" s="9">
        <v>99.669715956992704</v>
      </c>
    </row>
    <row r="660" spans="1:11" ht="12.75" customHeight="1">
      <c r="A660" s="1">
        <v>46201</v>
      </c>
      <c r="B660" s="2">
        <v>11</v>
      </c>
      <c r="C660" s="7">
        <v>-2.9902046772281499</v>
      </c>
      <c r="D660" s="7">
        <v>-3.569499</v>
      </c>
      <c r="E660" s="7">
        <v>1.7053020667718499</v>
      </c>
      <c r="F660" s="7">
        <f t="shared" si="40"/>
        <v>2.9902046772281499</v>
      </c>
      <c r="G660" s="7">
        <f t="shared" si="41"/>
        <v>3.569499</v>
      </c>
      <c r="H660" s="7">
        <f t="shared" si="42"/>
        <v>0.57929432277185011</v>
      </c>
      <c r="I660" s="8">
        <f t="shared" si="43"/>
        <v>0.16229009246727624</v>
      </c>
      <c r="J660" s="9">
        <v>17.89</v>
      </c>
      <c r="K660" s="9">
        <v>30.5078539745484</v>
      </c>
    </row>
    <row r="661" spans="1:11" ht="12.75" customHeight="1">
      <c r="A661" s="1">
        <v>46201</v>
      </c>
      <c r="B661" s="2">
        <v>12</v>
      </c>
      <c r="C661" s="7">
        <v>-3.0994399841961302</v>
      </c>
      <c r="D661" s="7">
        <v>-3.5740280000000002</v>
      </c>
      <c r="E661" s="7">
        <v>1.6412139022038701</v>
      </c>
      <c r="F661" s="7">
        <f t="shared" si="40"/>
        <v>3.0994399841961302</v>
      </c>
      <c r="G661" s="7">
        <f t="shared" si="41"/>
        <v>3.5740280000000002</v>
      </c>
      <c r="H661" s="7">
        <f t="shared" si="42"/>
        <v>0.47458801580387</v>
      </c>
      <c r="I661" s="8">
        <f t="shared" si="43"/>
        <v>0.13278799601006763</v>
      </c>
      <c r="J661" s="9">
        <v>8.6199999999999992</v>
      </c>
      <c r="K661" s="9">
        <v>14.1472638369974</v>
      </c>
    </row>
    <row r="662" spans="1:11" ht="12.75" customHeight="1">
      <c r="A662" s="1">
        <v>46201</v>
      </c>
      <c r="B662" s="2">
        <v>13</v>
      </c>
      <c r="C662" s="7">
        <v>-3.1451311447192198</v>
      </c>
      <c r="D662" s="7">
        <v>-3.6044369999999999</v>
      </c>
      <c r="E662" s="7">
        <v>1.61186479708078</v>
      </c>
      <c r="F662" s="7">
        <f t="shared" si="40"/>
        <v>3.1451311447192198</v>
      </c>
      <c r="G662" s="7">
        <f t="shared" si="41"/>
        <v>3.6044369999999999</v>
      </c>
      <c r="H662" s="7">
        <f t="shared" si="42"/>
        <v>0.45930585528078005</v>
      </c>
      <c r="I662" s="8">
        <f t="shared" si="43"/>
        <v>0.12742790490741829</v>
      </c>
      <c r="J662" s="9">
        <v>31.68</v>
      </c>
      <c r="K662" s="9">
        <v>51.063876771519197</v>
      </c>
    </row>
    <row r="663" spans="1:11" ht="12.75" customHeight="1">
      <c r="A663" s="1">
        <v>46201</v>
      </c>
      <c r="B663" s="2">
        <v>14</v>
      </c>
      <c r="C663" s="7">
        <v>-3.28620774022263</v>
      </c>
      <c r="D663" s="7">
        <v>-3.6419630000000001</v>
      </c>
      <c r="E663" s="7">
        <v>1.49936218017737</v>
      </c>
      <c r="F663" s="7">
        <f t="shared" si="40"/>
        <v>3.28620774022263</v>
      </c>
      <c r="G663" s="7">
        <f t="shared" si="41"/>
        <v>3.6419630000000001</v>
      </c>
      <c r="H663" s="7">
        <f t="shared" si="42"/>
        <v>0.3557552597773701</v>
      </c>
      <c r="I663" s="8">
        <f t="shared" si="43"/>
        <v>9.7682282817637106E-2</v>
      </c>
      <c r="J663" s="9">
        <v>31.25</v>
      </c>
      <c r="K663" s="9">
        <v>46.855068130542897</v>
      </c>
    </row>
    <row r="664" spans="1:11" ht="12.75" customHeight="1">
      <c r="A664" s="1">
        <v>46201</v>
      </c>
      <c r="B664" s="2">
        <v>15</v>
      </c>
      <c r="C664" s="7">
        <v>-3.2810050379200901</v>
      </c>
      <c r="D664" s="7">
        <v>-3.676901</v>
      </c>
      <c r="E664" s="7">
        <v>1.4872019904799101</v>
      </c>
      <c r="F664" s="7">
        <f t="shared" si="40"/>
        <v>3.2810050379200901</v>
      </c>
      <c r="G664" s="7">
        <f t="shared" si="41"/>
        <v>3.676901</v>
      </c>
      <c r="H664" s="7">
        <f t="shared" si="42"/>
        <v>0.39589596207990985</v>
      </c>
      <c r="I664" s="8">
        <f t="shared" si="43"/>
        <v>0.10767109641513596</v>
      </c>
      <c r="J664" s="9">
        <v>24.06</v>
      </c>
      <c r="K664" s="9">
        <v>35.782079890946598</v>
      </c>
    </row>
    <row r="665" spans="1:11" ht="12.75" customHeight="1">
      <c r="A665" s="1">
        <v>46201</v>
      </c>
      <c r="B665" s="2">
        <v>16</v>
      </c>
      <c r="C665" s="7">
        <v>-3.28601097182576</v>
      </c>
      <c r="D665" s="7">
        <v>-3.7008399999999999</v>
      </c>
      <c r="E665" s="7">
        <v>1.45733559917424</v>
      </c>
      <c r="F665" s="7">
        <f t="shared" si="40"/>
        <v>3.28601097182576</v>
      </c>
      <c r="G665" s="7">
        <f t="shared" si="41"/>
        <v>3.7008399999999999</v>
      </c>
      <c r="H665" s="7">
        <f t="shared" si="42"/>
        <v>0.41482902817423994</v>
      </c>
      <c r="I665" s="8">
        <f t="shared" si="43"/>
        <v>0.11209050598627338</v>
      </c>
      <c r="J665" s="9">
        <v>35.29</v>
      </c>
      <c r="K665" s="9">
        <v>51.429373294858998</v>
      </c>
    </row>
    <row r="666" spans="1:11" ht="12.75" customHeight="1">
      <c r="A666" s="1">
        <v>46201</v>
      </c>
      <c r="B666" s="2">
        <v>17</v>
      </c>
      <c r="C666" s="7">
        <v>-3.3542606177319798</v>
      </c>
      <c r="D666" s="7">
        <v>-3.0661330000000002</v>
      </c>
      <c r="E666" s="7">
        <v>0.63706206646802399</v>
      </c>
      <c r="F666" s="7">
        <f t="shared" si="40"/>
        <v>3.3542606177319798</v>
      </c>
      <c r="G666" s="7">
        <f t="shared" si="41"/>
        <v>3.0661330000000002</v>
      </c>
      <c r="H666" s="7">
        <f t="shared" si="42"/>
        <v>0.28812761773197959</v>
      </c>
      <c r="I666" s="8">
        <f t="shared" si="43"/>
        <v>9.3971010954834497E-2</v>
      </c>
      <c r="J666" s="9">
        <v>95.32</v>
      </c>
      <c r="K666" s="9">
        <v>60.724756175732097</v>
      </c>
    </row>
    <row r="667" spans="1:11" ht="12.75" customHeight="1">
      <c r="A667" s="1">
        <v>46201</v>
      </c>
      <c r="B667" s="2">
        <v>18</v>
      </c>
      <c r="C667" s="7">
        <v>-3.6313398807602</v>
      </c>
      <c r="D667" s="7">
        <v>-3.717015</v>
      </c>
      <c r="E667" s="7">
        <v>0.72962930203979903</v>
      </c>
      <c r="F667" s="7">
        <f t="shared" si="40"/>
        <v>3.6313398807602</v>
      </c>
      <c r="G667" s="7">
        <f t="shared" si="41"/>
        <v>3.717015</v>
      </c>
      <c r="H667" s="7">
        <f t="shared" si="42"/>
        <v>8.5675119239799979E-2</v>
      </c>
      <c r="I667" s="8">
        <f t="shared" si="43"/>
        <v>2.3049441350061806E-2</v>
      </c>
      <c r="J667" s="9">
        <v>116.13</v>
      </c>
      <c r="K667" s="9">
        <v>84.731850845881794</v>
      </c>
    </row>
    <row r="668" spans="1:11" ht="12.75" customHeight="1">
      <c r="A668" s="1">
        <v>46201</v>
      </c>
      <c r="B668" s="2">
        <v>19</v>
      </c>
      <c r="C668" s="7">
        <v>-4.1269026212498403</v>
      </c>
      <c r="D668" s="7">
        <v>-3.74613</v>
      </c>
      <c r="E668" s="7">
        <v>-0.14909589644984</v>
      </c>
      <c r="F668" s="7">
        <f t="shared" si="40"/>
        <v>4.1269026212498403</v>
      </c>
      <c r="G668" s="7">
        <f t="shared" si="41"/>
        <v>3.74613</v>
      </c>
      <c r="H668" s="7">
        <f t="shared" si="42"/>
        <v>0.38077262124984035</v>
      </c>
      <c r="I668" s="8">
        <f t="shared" si="43"/>
        <v>0.10164426254557113</v>
      </c>
      <c r="J668" s="9">
        <v>139.03</v>
      </c>
      <c r="K668" s="9">
        <v>-20.728802483421202</v>
      </c>
    </row>
    <row r="669" spans="1:11" ht="12.75" customHeight="1">
      <c r="A669" s="1">
        <v>46201</v>
      </c>
      <c r="B669" s="2">
        <v>20</v>
      </c>
      <c r="C669" s="7">
        <v>-4.8975801521445197</v>
      </c>
      <c r="D669" s="7">
        <v>-4.5018260000000003</v>
      </c>
      <c r="E669" s="7">
        <v>-0.36171716434451601</v>
      </c>
      <c r="F669" s="7">
        <f t="shared" si="40"/>
        <v>4.8975801521445197</v>
      </c>
      <c r="G669" s="7">
        <f t="shared" si="41"/>
        <v>4.5018260000000003</v>
      </c>
      <c r="H669" s="7">
        <f t="shared" si="42"/>
        <v>0.39575415214451937</v>
      </c>
      <c r="I669" s="8">
        <f t="shared" si="43"/>
        <v>8.790969534240535E-2</v>
      </c>
      <c r="J669" s="9">
        <v>107.51</v>
      </c>
      <c r="K669" s="9">
        <v>-38.888212338678997</v>
      </c>
    </row>
    <row r="670" spans="1:11" ht="12.75" customHeight="1">
      <c r="A670" s="1">
        <v>46201</v>
      </c>
      <c r="B670" s="2">
        <v>21</v>
      </c>
      <c r="C670" s="7">
        <v>-5.2269360145689596</v>
      </c>
      <c r="D670" s="7">
        <v>-4.8990840000000002</v>
      </c>
      <c r="E670" s="7">
        <v>-0.327778903568955</v>
      </c>
      <c r="F670" s="7">
        <f t="shared" si="40"/>
        <v>5.2269360145689596</v>
      </c>
      <c r="G670" s="7">
        <f t="shared" si="41"/>
        <v>4.8990840000000002</v>
      </c>
      <c r="H670" s="7">
        <f t="shared" si="42"/>
        <v>0.3278520145689594</v>
      </c>
      <c r="I670" s="8">
        <f t="shared" si="43"/>
        <v>6.6921084547429552E-2</v>
      </c>
      <c r="J670" s="9">
        <v>34.97</v>
      </c>
      <c r="K670" s="9">
        <v>-11.462428257806399</v>
      </c>
    </row>
    <row r="671" spans="1:11" ht="12.75" customHeight="1">
      <c r="A671" s="1">
        <v>46201</v>
      </c>
      <c r="B671" s="2">
        <v>22</v>
      </c>
      <c r="C671" s="7">
        <v>-5.1282754222690698</v>
      </c>
      <c r="D671" s="7">
        <v>-4.7386280000000003</v>
      </c>
      <c r="E671" s="7">
        <v>-0.38964742226906701</v>
      </c>
      <c r="F671" s="7">
        <f t="shared" si="40"/>
        <v>5.1282754222690698</v>
      </c>
      <c r="G671" s="7">
        <f t="shared" si="41"/>
        <v>4.7386280000000003</v>
      </c>
      <c r="H671" s="7">
        <f t="shared" si="42"/>
        <v>0.38964742226906957</v>
      </c>
      <c r="I671" s="8">
        <f t="shared" si="43"/>
        <v>8.2227898511778003E-2</v>
      </c>
      <c r="J671" s="9">
        <v>33.46</v>
      </c>
      <c r="K671" s="9">
        <v>-13.037602749123</v>
      </c>
    </row>
    <row r="672" spans="1:11" ht="12.75" customHeight="1">
      <c r="A672" s="1">
        <v>46201</v>
      </c>
      <c r="B672" s="2">
        <v>23</v>
      </c>
      <c r="C672" s="7">
        <v>-4.5082986171610404</v>
      </c>
      <c r="D672" s="7">
        <v>-4.1123320000000003</v>
      </c>
      <c r="E672" s="7">
        <v>-0.39596661716103798</v>
      </c>
      <c r="F672" s="7">
        <f t="shared" si="40"/>
        <v>4.5082986171610404</v>
      </c>
      <c r="G672" s="7">
        <f t="shared" si="41"/>
        <v>4.1123320000000003</v>
      </c>
      <c r="H672" s="7">
        <f t="shared" si="42"/>
        <v>0.39596661716104009</v>
      </c>
      <c r="I672" s="8">
        <f t="shared" si="43"/>
        <v>9.6287609356695919E-2</v>
      </c>
      <c r="J672" s="9">
        <v>207.3</v>
      </c>
      <c r="K672" s="9">
        <v>-82.083879737483102</v>
      </c>
    </row>
    <row r="673" spans="1:11" ht="12.75" customHeight="1">
      <c r="A673" s="1">
        <v>46201</v>
      </c>
      <c r="B673" s="2">
        <v>24</v>
      </c>
      <c r="C673" s="7">
        <v>-3.92013121395558</v>
      </c>
      <c r="D673" s="7">
        <v>-3.6626669999999999</v>
      </c>
      <c r="E673" s="7">
        <v>-0.257464213955577</v>
      </c>
      <c r="F673" s="7">
        <f t="shared" si="40"/>
        <v>3.92013121395558</v>
      </c>
      <c r="G673" s="7">
        <f t="shared" si="41"/>
        <v>3.6626669999999999</v>
      </c>
      <c r="H673" s="7">
        <f t="shared" si="42"/>
        <v>0.25746421395558006</v>
      </c>
      <c r="I673" s="8">
        <f t="shared" si="43"/>
        <v>7.0294191078681206E-2</v>
      </c>
      <c r="J673" s="9">
        <v>143.93</v>
      </c>
      <c r="K673" s="9">
        <v>-37.056824314626198</v>
      </c>
    </row>
    <row r="674" spans="1:11" ht="12.75" customHeight="1">
      <c r="A674" s="1">
        <v>46202</v>
      </c>
      <c r="B674" s="2">
        <v>1</v>
      </c>
      <c r="C674" s="7">
        <v>-3.7126417067989301</v>
      </c>
      <c r="D674" s="7">
        <v>-3.8030659999999998</v>
      </c>
      <c r="E674" s="7">
        <v>9.0424293201066902E-2</v>
      </c>
      <c r="F674" s="7">
        <f t="shared" si="40"/>
        <v>3.7126417067989301</v>
      </c>
      <c r="G674" s="7">
        <f t="shared" si="41"/>
        <v>3.8030659999999998</v>
      </c>
      <c r="H674" s="7">
        <f t="shared" si="42"/>
        <v>9.0424293201069705E-2</v>
      </c>
      <c r="I674" s="8">
        <f t="shared" si="43"/>
        <v>2.3776682603212699E-2</v>
      </c>
      <c r="J674" s="9">
        <v>137.46</v>
      </c>
      <c r="K674" s="9">
        <v>12.429723343418701</v>
      </c>
    </row>
    <row r="675" spans="1:11" ht="12.75" customHeight="1">
      <c r="A675" s="1">
        <v>46202</v>
      </c>
      <c r="B675" s="2">
        <v>2</v>
      </c>
      <c r="C675" s="7">
        <v>-3.6128406817261198</v>
      </c>
      <c r="D675" s="7">
        <v>-3.560441</v>
      </c>
      <c r="E675" s="7">
        <v>-5.2399681726121999E-2</v>
      </c>
      <c r="F675" s="7">
        <f t="shared" si="40"/>
        <v>3.6128406817261198</v>
      </c>
      <c r="G675" s="7">
        <f t="shared" si="41"/>
        <v>3.560441</v>
      </c>
      <c r="H675" s="7">
        <f t="shared" si="42"/>
        <v>5.2399681726119862E-2</v>
      </c>
      <c r="I675" s="8">
        <f t="shared" si="43"/>
        <v>1.4717188608411111E-2</v>
      </c>
      <c r="J675" s="9">
        <v>129.38</v>
      </c>
      <c r="K675" s="9">
        <v>-6.7794708217256696</v>
      </c>
    </row>
    <row r="676" spans="1:11" ht="12.75" customHeight="1">
      <c r="A676" s="1">
        <v>46202</v>
      </c>
      <c r="B676" s="2">
        <v>3</v>
      </c>
      <c r="C676" s="7">
        <v>-3.5799202614147898</v>
      </c>
      <c r="D676" s="7">
        <v>-3.5229149999999998</v>
      </c>
      <c r="E676" s="7">
        <v>-5.7005261414793999E-2</v>
      </c>
      <c r="F676" s="7">
        <f t="shared" si="40"/>
        <v>3.5799202614147898</v>
      </c>
      <c r="G676" s="7">
        <f t="shared" si="41"/>
        <v>3.5229149999999998</v>
      </c>
      <c r="H676" s="7">
        <f t="shared" si="42"/>
        <v>5.7005261414790009E-2</v>
      </c>
      <c r="I676" s="8">
        <f t="shared" si="43"/>
        <v>1.6181276418758331E-2</v>
      </c>
      <c r="J676" s="9">
        <v>129.25</v>
      </c>
      <c r="K676" s="9">
        <v>-7.3679300378621297</v>
      </c>
    </row>
    <row r="677" spans="1:11" ht="12.75" customHeight="1">
      <c r="A677" s="1">
        <v>46202</v>
      </c>
      <c r="B677" s="2">
        <v>4</v>
      </c>
      <c r="C677" s="7">
        <v>-3.4702500812077299</v>
      </c>
      <c r="D677" s="7">
        <v>-3.5028579999999998</v>
      </c>
      <c r="E677" s="7">
        <v>3.2607918792269999E-2</v>
      </c>
      <c r="F677" s="7">
        <f t="shared" si="40"/>
        <v>3.4702500812077299</v>
      </c>
      <c r="G677" s="7">
        <f t="shared" si="41"/>
        <v>3.5028579999999998</v>
      </c>
      <c r="H677" s="7">
        <f t="shared" si="42"/>
        <v>3.2607918792269874E-2</v>
      </c>
      <c r="I677" s="8">
        <f t="shared" si="43"/>
        <v>9.3089468063706476E-3</v>
      </c>
      <c r="J677" s="9">
        <v>128.15</v>
      </c>
      <c r="K677" s="9">
        <v>4.1787047932293904</v>
      </c>
    </row>
    <row r="678" spans="1:11" ht="12.75" customHeight="1">
      <c r="A678" s="1">
        <v>46202</v>
      </c>
      <c r="B678" s="2">
        <v>5</v>
      </c>
      <c r="C678" s="7">
        <v>-3.49776323513156</v>
      </c>
      <c r="D678" s="7">
        <v>-3.5080339999999999</v>
      </c>
      <c r="E678" s="7">
        <v>1.02707648684366E-2</v>
      </c>
      <c r="F678" s="7">
        <f t="shared" si="40"/>
        <v>3.49776323513156</v>
      </c>
      <c r="G678" s="7">
        <f t="shared" si="41"/>
        <v>3.5080339999999999</v>
      </c>
      <c r="H678" s="7">
        <f t="shared" si="42"/>
        <v>1.0270764868439919E-2</v>
      </c>
      <c r="I678" s="8">
        <f t="shared" si="43"/>
        <v>2.9277837297015706E-3</v>
      </c>
      <c r="J678" s="9">
        <v>132.55000000000001</v>
      </c>
      <c r="K678" s="9">
        <v>1.3613898833112701</v>
      </c>
    </row>
    <row r="679" spans="1:11" ht="12.75" customHeight="1">
      <c r="A679" s="1">
        <v>46202</v>
      </c>
      <c r="B679" s="2">
        <v>6</v>
      </c>
      <c r="C679" s="7">
        <v>-3.3025107222813399</v>
      </c>
      <c r="D679" s="7">
        <v>-3.2479399999999998</v>
      </c>
      <c r="E679" s="7">
        <v>-4.0607168281336301E-2</v>
      </c>
      <c r="F679" s="7">
        <f t="shared" si="40"/>
        <v>3.3025107222813399</v>
      </c>
      <c r="G679" s="7">
        <f t="shared" si="41"/>
        <v>3.2479399999999998</v>
      </c>
      <c r="H679" s="7">
        <f t="shared" si="42"/>
        <v>5.4570722281340078E-2</v>
      </c>
      <c r="I679" s="8">
        <f t="shared" si="43"/>
        <v>1.6801641126788083E-2</v>
      </c>
      <c r="J679" s="9">
        <v>132</v>
      </c>
      <c r="K679" s="9">
        <v>-5.3601462131363897</v>
      </c>
    </row>
    <row r="680" spans="1:11" ht="12.75" customHeight="1">
      <c r="A680" s="1">
        <v>46202</v>
      </c>
      <c r="B680" s="2">
        <v>7</v>
      </c>
      <c r="C680" s="7">
        <v>-3.03844434054677</v>
      </c>
      <c r="D680" s="7">
        <v>-2.7478090000000002</v>
      </c>
      <c r="E680" s="7">
        <v>-0.13482868254677299</v>
      </c>
      <c r="F680" s="7">
        <f t="shared" si="40"/>
        <v>3.03844434054677</v>
      </c>
      <c r="G680" s="7">
        <f t="shared" si="41"/>
        <v>2.7478090000000002</v>
      </c>
      <c r="H680" s="7">
        <f t="shared" si="42"/>
        <v>0.29063534054676987</v>
      </c>
      <c r="I680" s="8">
        <f t="shared" si="43"/>
        <v>0.10576984810325966</v>
      </c>
      <c r="J680" s="9">
        <v>109</v>
      </c>
      <c r="K680" s="9">
        <v>-14.6963263975983</v>
      </c>
    </row>
    <row r="681" spans="1:11" ht="12.75" customHeight="1">
      <c r="A681" s="1">
        <v>46202</v>
      </c>
      <c r="B681" s="2">
        <v>8</v>
      </c>
      <c r="C681" s="7">
        <v>-3.3492157979238302</v>
      </c>
      <c r="D681" s="7">
        <v>-2.8707389999999999</v>
      </c>
      <c r="E681" s="7">
        <v>-4.9707309923827298E-2</v>
      </c>
      <c r="F681" s="7">
        <f t="shared" si="40"/>
        <v>3.3492157979238302</v>
      </c>
      <c r="G681" s="7">
        <f t="shared" si="41"/>
        <v>2.8707389999999999</v>
      </c>
      <c r="H681" s="7">
        <f t="shared" si="42"/>
        <v>0.47847679792383024</v>
      </c>
      <c r="I681" s="8">
        <f t="shared" si="43"/>
        <v>0.16667373729336948</v>
      </c>
      <c r="J681" s="9">
        <v>69.08</v>
      </c>
      <c r="K681" s="9">
        <v>-3.4337809695379899</v>
      </c>
    </row>
    <row r="682" spans="1:11" ht="12.75" customHeight="1">
      <c r="A682" s="1">
        <v>46202</v>
      </c>
      <c r="B682" s="2">
        <v>9</v>
      </c>
      <c r="C682" s="7">
        <v>-4.1742564879848896</v>
      </c>
      <c r="D682" s="7">
        <v>-3.529385</v>
      </c>
      <c r="E682" s="7">
        <v>-0.189157684984889</v>
      </c>
      <c r="F682" s="7">
        <f t="shared" si="40"/>
        <v>4.1742564879848896</v>
      </c>
      <c r="G682" s="7">
        <f t="shared" si="41"/>
        <v>3.529385</v>
      </c>
      <c r="H682" s="7">
        <f t="shared" si="42"/>
        <v>0.64487148798488958</v>
      </c>
      <c r="I682" s="8">
        <f t="shared" si="43"/>
        <v>0.18271497385093707</v>
      </c>
      <c r="J682" s="9">
        <v>123.12</v>
      </c>
      <c r="K682" s="9">
        <v>-23.289094175339599</v>
      </c>
    </row>
    <row r="683" spans="1:11" ht="12.75" customHeight="1">
      <c r="A683" s="1">
        <v>46202</v>
      </c>
      <c r="B683" s="2">
        <v>10</v>
      </c>
      <c r="C683" s="7">
        <v>-4.6199997377436102</v>
      </c>
      <c r="D683" s="7">
        <v>-3.8147120000000001</v>
      </c>
      <c r="E683" s="7">
        <v>-0.32577727474360602</v>
      </c>
      <c r="F683" s="7">
        <f t="shared" si="40"/>
        <v>4.6199997377436102</v>
      </c>
      <c r="G683" s="7">
        <f t="shared" si="41"/>
        <v>3.8147120000000001</v>
      </c>
      <c r="H683" s="7">
        <f t="shared" si="42"/>
        <v>0.80528773774361007</v>
      </c>
      <c r="I683" s="8">
        <f t="shared" si="43"/>
        <v>0.21110053334134007</v>
      </c>
      <c r="J683" s="9">
        <v>99</v>
      </c>
      <c r="K683" s="9">
        <v>-32.251950199616999</v>
      </c>
    </row>
    <row r="684" spans="1:11" ht="12.75" customHeight="1">
      <c r="A684" s="1">
        <v>46202</v>
      </c>
      <c r="B684" s="2">
        <v>11</v>
      </c>
      <c r="C684" s="7">
        <v>-4.6884482429436796</v>
      </c>
      <c r="D684" s="7">
        <v>-3.7745980000000001</v>
      </c>
      <c r="E684" s="7">
        <v>-0.31268113494368399</v>
      </c>
      <c r="F684" s="7">
        <f t="shared" si="40"/>
        <v>4.6884482429436796</v>
      </c>
      <c r="G684" s="7">
        <f t="shared" si="41"/>
        <v>3.7745980000000001</v>
      </c>
      <c r="H684" s="7">
        <f t="shared" si="42"/>
        <v>0.91385024294367945</v>
      </c>
      <c r="I684" s="8">
        <f t="shared" si="43"/>
        <v>0.24210531636579033</v>
      </c>
      <c r="J684" s="9">
        <v>86.9</v>
      </c>
      <c r="K684" s="9">
        <v>-27.1719906266061</v>
      </c>
    </row>
    <row r="685" spans="1:11" ht="12.75" customHeight="1">
      <c r="A685" s="1">
        <v>46202</v>
      </c>
      <c r="B685" s="2">
        <v>12</v>
      </c>
      <c r="C685" s="7">
        <v>-4.8016131714288299</v>
      </c>
      <c r="D685" s="7">
        <v>-4.4636529999999999</v>
      </c>
      <c r="E685" s="7">
        <v>0.41539498257116902</v>
      </c>
      <c r="F685" s="7">
        <f t="shared" si="40"/>
        <v>4.8016131714288299</v>
      </c>
      <c r="G685" s="7">
        <f t="shared" si="41"/>
        <v>4.4636529999999999</v>
      </c>
      <c r="H685" s="7">
        <f t="shared" si="42"/>
        <v>0.33796017142883006</v>
      </c>
      <c r="I685" s="8">
        <f t="shared" si="43"/>
        <v>7.5713809166803522E-2</v>
      </c>
      <c r="J685" s="9">
        <v>78.099999999999994</v>
      </c>
      <c r="K685" s="9">
        <v>32.442348138808299</v>
      </c>
    </row>
    <row r="686" spans="1:11" ht="12.75" customHeight="1">
      <c r="A686" s="1">
        <v>46202</v>
      </c>
      <c r="B686" s="2">
        <v>13</v>
      </c>
      <c r="C686" s="7">
        <v>-4.7266562540098498</v>
      </c>
      <c r="D686" s="7">
        <v>-4.6901029999999997</v>
      </c>
      <c r="E686" s="7">
        <v>0.75812514299014799</v>
      </c>
      <c r="F686" s="7">
        <f t="shared" si="40"/>
        <v>4.7266562540098498</v>
      </c>
      <c r="G686" s="7">
        <f t="shared" si="41"/>
        <v>4.6901029999999997</v>
      </c>
      <c r="H686" s="7">
        <f t="shared" si="42"/>
        <v>3.65532540098501E-2</v>
      </c>
      <c r="I686" s="8">
        <f t="shared" si="43"/>
        <v>7.7936996287395191E-3</v>
      </c>
      <c r="J686" s="9">
        <v>38.43</v>
      </c>
      <c r="K686" s="9">
        <v>29.134749245111401</v>
      </c>
    </row>
    <row r="687" spans="1:11" ht="12.75" customHeight="1">
      <c r="A687" s="1">
        <v>46202</v>
      </c>
      <c r="B687" s="2">
        <v>14</v>
      </c>
      <c r="C687" s="7">
        <v>-4.9244637025955598</v>
      </c>
      <c r="D687" s="7">
        <v>-4.6163449999999999</v>
      </c>
      <c r="E687" s="7">
        <v>0.29194274140443699</v>
      </c>
      <c r="F687" s="7">
        <f t="shared" si="40"/>
        <v>4.9244637025955598</v>
      </c>
      <c r="G687" s="7">
        <f t="shared" si="41"/>
        <v>4.6163449999999999</v>
      </c>
      <c r="H687" s="7">
        <f t="shared" si="42"/>
        <v>0.30811870259555985</v>
      </c>
      <c r="I687" s="8">
        <f t="shared" si="43"/>
        <v>6.6745163672897026E-2</v>
      </c>
      <c r="J687" s="9">
        <v>70.760000000000005</v>
      </c>
      <c r="K687" s="9">
        <v>20.657868381777899</v>
      </c>
    </row>
    <row r="688" spans="1:11" ht="12.75" customHeight="1">
      <c r="A688" s="1">
        <v>46202</v>
      </c>
      <c r="B688" s="2">
        <v>15</v>
      </c>
      <c r="C688" s="7">
        <v>-5.0024353121701699</v>
      </c>
      <c r="D688" s="7">
        <v>-4.9864290000000002</v>
      </c>
      <c r="E688" s="7">
        <v>0.50769230982983504</v>
      </c>
      <c r="F688" s="7">
        <f t="shared" si="40"/>
        <v>5.0024353121701699</v>
      </c>
      <c r="G688" s="7">
        <f t="shared" si="41"/>
        <v>4.9864290000000002</v>
      </c>
      <c r="H688" s="7">
        <f t="shared" si="42"/>
        <v>1.6006312170169679E-2</v>
      </c>
      <c r="I688" s="8">
        <f t="shared" si="43"/>
        <v>3.2099749480378999E-3</v>
      </c>
      <c r="J688" s="9">
        <v>84.7</v>
      </c>
      <c r="K688" s="9">
        <v>43.001538642587001</v>
      </c>
    </row>
    <row r="689" spans="1:11" ht="12.75" customHeight="1">
      <c r="A689" s="1">
        <v>46202</v>
      </c>
      <c r="B689" s="2">
        <v>16</v>
      </c>
      <c r="C689" s="7">
        <v>-5.5295756919649603</v>
      </c>
      <c r="D689" s="7">
        <v>-4.7664489999999997</v>
      </c>
      <c r="E689" s="7">
        <v>-0.37988335896495501</v>
      </c>
      <c r="F689" s="7">
        <f t="shared" si="40"/>
        <v>5.5295756919649603</v>
      </c>
      <c r="G689" s="7">
        <f t="shared" si="41"/>
        <v>4.7664489999999997</v>
      </c>
      <c r="H689" s="7">
        <f t="shared" si="42"/>
        <v>0.76312669196496064</v>
      </c>
      <c r="I689" s="8">
        <f t="shared" si="43"/>
        <v>0.16010381983840816</v>
      </c>
      <c r="J689" s="9">
        <v>92.72</v>
      </c>
      <c r="K689" s="9">
        <v>-35.222785043230601</v>
      </c>
    </row>
    <row r="690" spans="1:11" ht="12.75" customHeight="1">
      <c r="A690" s="1">
        <v>46202</v>
      </c>
      <c r="B690" s="2">
        <v>17</v>
      </c>
      <c r="C690" s="7">
        <v>-5.9870447640174698</v>
      </c>
      <c r="D690" s="7">
        <v>-4.4429489999999996</v>
      </c>
      <c r="E690" s="7">
        <v>-1.2536335250174699</v>
      </c>
      <c r="F690" s="7">
        <f t="shared" si="40"/>
        <v>5.9870447640174698</v>
      </c>
      <c r="G690" s="7">
        <f t="shared" si="41"/>
        <v>4.4429489999999996</v>
      </c>
      <c r="H690" s="7">
        <f t="shared" si="42"/>
        <v>1.5440957640174702</v>
      </c>
      <c r="I690" s="8">
        <f t="shared" si="43"/>
        <v>0.34753848491564282</v>
      </c>
      <c r="J690" s="9">
        <v>184.73</v>
      </c>
      <c r="K690" s="9">
        <v>-231.58372107647699</v>
      </c>
    </row>
    <row r="691" spans="1:11" ht="12.75" customHeight="1">
      <c r="A691" s="1">
        <v>46202</v>
      </c>
      <c r="B691" s="2">
        <v>18</v>
      </c>
      <c r="C691" s="7">
        <v>-5.9162764825563796</v>
      </c>
      <c r="D691" s="7">
        <v>-4.6965729999999999</v>
      </c>
      <c r="E691" s="7">
        <v>-1.11728402955638</v>
      </c>
      <c r="F691" s="7">
        <f t="shared" si="40"/>
        <v>5.9162764825563796</v>
      </c>
      <c r="G691" s="7">
        <f t="shared" si="41"/>
        <v>4.6965729999999999</v>
      </c>
      <c r="H691" s="7">
        <f t="shared" si="42"/>
        <v>1.2197034825563797</v>
      </c>
      <c r="I691" s="8">
        <f t="shared" si="43"/>
        <v>0.259700739785452</v>
      </c>
      <c r="J691" s="9">
        <v>277.23</v>
      </c>
      <c r="K691" s="9">
        <v>-309.74465151391598</v>
      </c>
    </row>
    <row r="692" spans="1:11" ht="12.75" customHeight="1">
      <c r="A692" s="1">
        <v>46202</v>
      </c>
      <c r="B692" s="2">
        <v>19</v>
      </c>
      <c r="C692" s="7">
        <v>-6.02730499324442</v>
      </c>
      <c r="D692" s="7">
        <v>-5.4399759999999997</v>
      </c>
      <c r="E692" s="7">
        <v>-0.559776498244418</v>
      </c>
      <c r="F692" s="7">
        <f t="shared" si="40"/>
        <v>6.02730499324442</v>
      </c>
      <c r="G692" s="7">
        <f t="shared" si="41"/>
        <v>5.4399759999999997</v>
      </c>
      <c r="H692" s="7">
        <f t="shared" si="42"/>
        <v>0.58732899324442034</v>
      </c>
      <c r="I692" s="8">
        <f t="shared" si="43"/>
        <v>0.10796536478183366</v>
      </c>
      <c r="J692" s="9">
        <v>221.76</v>
      </c>
      <c r="K692" s="9">
        <v>-124.136036250682</v>
      </c>
    </row>
    <row r="693" spans="1:11" ht="12.75" customHeight="1">
      <c r="A693" s="1">
        <v>46202</v>
      </c>
      <c r="B693" s="2">
        <v>20</v>
      </c>
      <c r="C693" s="7">
        <v>-6.98286069752419</v>
      </c>
      <c r="D693" s="7">
        <v>-6.1697920000000002</v>
      </c>
      <c r="E693" s="7">
        <v>-0.81167182452418496</v>
      </c>
      <c r="F693" s="7">
        <f t="shared" si="40"/>
        <v>6.98286069752419</v>
      </c>
      <c r="G693" s="7">
        <f t="shared" si="41"/>
        <v>6.1697920000000002</v>
      </c>
      <c r="H693" s="7">
        <f t="shared" si="42"/>
        <v>0.81306869752418987</v>
      </c>
      <c r="I693" s="8">
        <f t="shared" si="43"/>
        <v>0.13178218933866651</v>
      </c>
      <c r="J693" s="9">
        <v>100.21</v>
      </c>
      <c r="K693" s="9">
        <v>-81.3376335355686</v>
      </c>
    </row>
    <row r="694" spans="1:11" ht="12.75" customHeight="1">
      <c r="A694" s="1">
        <v>46202</v>
      </c>
      <c r="B694" s="2">
        <v>21</v>
      </c>
      <c r="C694" s="7">
        <v>-7.2413740196111203</v>
      </c>
      <c r="D694" s="7">
        <v>-6.5508749999999996</v>
      </c>
      <c r="E694" s="7">
        <v>-0.69049901961112004</v>
      </c>
      <c r="F694" s="7">
        <f t="shared" si="40"/>
        <v>7.2413740196111203</v>
      </c>
      <c r="G694" s="7">
        <f t="shared" si="41"/>
        <v>6.5508749999999996</v>
      </c>
      <c r="H694" s="7">
        <f t="shared" si="42"/>
        <v>0.6904990196111207</v>
      </c>
      <c r="I694" s="8">
        <f t="shared" si="43"/>
        <v>0.10540561674755215</v>
      </c>
      <c r="J694" s="9">
        <v>110</v>
      </c>
      <c r="K694" s="9">
        <v>-75.954892157223199</v>
      </c>
    </row>
    <row r="695" spans="1:11" ht="12.75" customHeight="1">
      <c r="A695" s="1">
        <v>46202</v>
      </c>
      <c r="B695" s="2">
        <v>22</v>
      </c>
      <c r="C695" s="7">
        <v>-6.9467998064026402</v>
      </c>
      <c r="D695" s="7">
        <v>-6.319896</v>
      </c>
      <c r="E695" s="7">
        <v>-0.62690380640263599</v>
      </c>
      <c r="F695" s="7">
        <f t="shared" si="40"/>
        <v>6.9467998064026402</v>
      </c>
      <c r="G695" s="7">
        <f t="shared" si="41"/>
        <v>6.319896</v>
      </c>
      <c r="H695" s="7">
        <f t="shared" si="42"/>
        <v>0.62690380640264021</v>
      </c>
      <c r="I695" s="8">
        <f t="shared" si="43"/>
        <v>9.9195272580852631E-2</v>
      </c>
      <c r="J695" s="9">
        <v>75</v>
      </c>
      <c r="K695" s="9">
        <v>-47.017785480197702</v>
      </c>
    </row>
    <row r="696" spans="1:11" ht="12.75" customHeight="1">
      <c r="A696" s="1">
        <v>46202</v>
      </c>
      <c r="B696" s="2">
        <v>23</v>
      </c>
      <c r="C696" s="7">
        <v>-5.8917621306596697</v>
      </c>
      <c r="D696" s="7">
        <v>-5.4328589999999997</v>
      </c>
      <c r="E696" s="7">
        <v>-0.45890313065966498</v>
      </c>
      <c r="F696" s="7">
        <f t="shared" si="40"/>
        <v>5.8917621306596697</v>
      </c>
      <c r="G696" s="7">
        <f t="shared" si="41"/>
        <v>5.4328589999999997</v>
      </c>
      <c r="H696" s="7">
        <f t="shared" si="42"/>
        <v>0.45890313065967003</v>
      </c>
      <c r="I696" s="8">
        <f t="shared" si="43"/>
        <v>8.4468073009012393E-2</v>
      </c>
      <c r="J696" s="9">
        <v>181.95</v>
      </c>
      <c r="K696" s="9">
        <v>-83.497424623526001</v>
      </c>
    </row>
    <row r="697" spans="1:11" ht="12.75" customHeight="1">
      <c r="A697" s="1">
        <v>46202</v>
      </c>
      <c r="B697" s="2">
        <v>24</v>
      </c>
      <c r="C697" s="7">
        <v>-5.2619918392558596</v>
      </c>
      <c r="D697" s="7">
        <v>-4.7722720000000001</v>
      </c>
      <c r="E697" s="7">
        <v>-0.48971983925585799</v>
      </c>
      <c r="F697" s="7">
        <f t="shared" si="40"/>
        <v>5.2619918392558596</v>
      </c>
      <c r="G697" s="7">
        <f t="shared" si="41"/>
        <v>4.7722720000000001</v>
      </c>
      <c r="H697" s="7">
        <f t="shared" si="42"/>
        <v>0.48971983925585949</v>
      </c>
      <c r="I697" s="8">
        <f t="shared" si="43"/>
        <v>0.1026177550767977</v>
      </c>
      <c r="J697" s="9">
        <v>163.77000000000001</v>
      </c>
      <c r="K697" s="9">
        <v>-80.201418074931894</v>
      </c>
    </row>
    <row r="698" spans="1:11" ht="12.75" customHeight="1">
      <c r="A698" s="1">
        <v>46203</v>
      </c>
      <c r="B698" s="2">
        <v>1</v>
      </c>
      <c r="C698" s="7">
        <v>-4.6707356513849598</v>
      </c>
      <c r="D698" s="7">
        <v>-4.2863749999999996</v>
      </c>
      <c r="E698" s="7">
        <v>-0.384360651384964</v>
      </c>
      <c r="F698" s="7">
        <f t="shared" si="40"/>
        <v>4.6707356513849598</v>
      </c>
      <c r="G698" s="7">
        <f t="shared" si="41"/>
        <v>4.2863749999999996</v>
      </c>
      <c r="H698" s="7">
        <f t="shared" si="42"/>
        <v>0.38436065138496023</v>
      </c>
      <c r="I698" s="8">
        <f t="shared" si="43"/>
        <v>8.9670327814286022E-2</v>
      </c>
      <c r="J698" s="9">
        <v>161.1</v>
      </c>
      <c r="K698" s="9">
        <v>-61.920500938117698</v>
      </c>
    </row>
    <row r="699" spans="1:11" ht="12.75" customHeight="1">
      <c r="A699" s="1">
        <v>46203</v>
      </c>
      <c r="B699" s="2">
        <v>2</v>
      </c>
      <c r="C699" s="7">
        <v>-4.5989527133150396</v>
      </c>
      <c r="D699" s="7">
        <v>-4.1957950000000004</v>
      </c>
      <c r="E699" s="7">
        <v>-0.40315771331504302</v>
      </c>
      <c r="F699" s="7">
        <f t="shared" si="40"/>
        <v>4.5989527133150396</v>
      </c>
      <c r="G699" s="7">
        <f t="shared" si="41"/>
        <v>4.1957950000000004</v>
      </c>
      <c r="H699" s="7">
        <f t="shared" si="42"/>
        <v>0.40315771331503925</v>
      </c>
      <c r="I699" s="8">
        <f t="shared" si="43"/>
        <v>9.6086132262190885E-2</v>
      </c>
      <c r="J699" s="9">
        <v>152.34</v>
      </c>
      <c r="K699" s="9">
        <v>-61.417046046413603</v>
      </c>
    </row>
    <row r="700" spans="1:11" ht="12.75" customHeight="1">
      <c r="A700" s="1">
        <v>46203</v>
      </c>
      <c r="B700" s="2">
        <v>3</v>
      </c>
      <c r="C700" s="7">
        <v>-4.4796085988077898</v>
      </c>
      <c r="D700" s="7">
        <v>-3.9253490000000002</v>
      </c>
      <c r="E700" s="7">
        <v>-0.55425959880779296</v>
      </c>
      <c r="F700" s="7">
        <f t="shared" si="40"/>
        <v>4.4796085988077898</v>
      </c>
      <c r="G700" s="7">
        <f t="shared" si="41"/>
        <v>3.9253490000000002</v>
      </c>
      <c r="H700" s="7">
        <f t="shared" si="42"/>
        <v>0.55425959880778963</v>
      </c>
      <c r="I700" s="8">
        <f t="shared" si="43"/>
        <v>0.14120008152339819</v>
      </c>
      <c r="J700" s="9">
        <v>134.29</v>
      </c>
      <c r="K700" s="9">
        <v>-74.431521523898496</v>
      </c>
    </row>
    <row r="701" spans="1:11" ht="12.75" customHeight="1">
      <c r="A701" s="1">
        <v>46203</v>
      </c>
      <c r="B701" s="2">
        <v>4</v>
      </c>
      <c r="C701" s="7">
        <v>-4.5097799186806302</v>
      </c>
      <c r="D701" s="7">
        <v>-3.9505819999999998</v>
      </c>
      <c r="E701" s="7">
        <v>-0.55919791868062496</v>
      </c>
      <c r="F701" s="7">
        <f t="shared" si="40"/>
        <v>4.5097799186806302</v>
      </c>
      <c r="G701" s="7">
        <f t="shared" si="41"/>
        <v>3.9505819999999998</v>
      </c>
      <c r="H701" s="7">
        <f t="shared" si="42"/>
        <v>0.5591979186806304</v>
      </c>
      <c r="I701" s="8">
        <f t="shared" si="43"/>
        <v>0.14154823736872957</v>
      </c>
      <c r="J701" s="9">
        <v>124.15</v>
      </c>
      <c r="K701" s="9">
        <v>-69.424421604199594</v>
      </c>
    </row>
    <row r="702" spans="1:11" ht="12.75" customHeight="1">
      <c r="A702" s="1">
        <v>46203</v>
      </c>
      <c r="B702" s="2">
        <v>5</v>
      </c>
      <c r="C702" s="7">
        <v>-4.5048235984138403</v>
      </c>
      <c r="D702" s="7">
        <v>-3.92082</v>
      </c>
      <c r="E702" s="7">
        <v>-0.58400359841383598</v>
      </c>
      <c r="F702" s="7">
        <f t="shared" si="40"/>
        <v>4.5048235984138403</v>
      </c>
      <c r="G702" s="7">
        <f t="shared" si="41"/>
        <v>3.92082</v>
      </c>
      <c r="H702" s="7">
        <f t="shared" si="42"/>
        <v>0.58400359841384031</v>
      </c>
      <c r="I702" s="8">
        <f t="shared" si="43"/>
        <v>0.14894935202683121</v>
      </c>
      <c r="J702" s="9">
        <v>132.41999999999999</v>
      </c>
      <c r="K702" s="9">
        <v>-77.333756501960195</v>
      </c>
    </row>
    <row r="703" spans="1:11" ht="12.75" customHeight="1">
      <c r="A703" s="1">
        <v>46203</v>
      </c>
      <c r="B703" s="2">
        <v>6</v>
      </c>
      <c r="C703" s="7">
        <v>-4.2702101831156902</v>
      </c>
      <c r="D703" s="7">
        <v>-3.4976820000000002</v>
      </c>
      <c r="E703" s="7">
        <v>-0.76811305511568895</v>
      </c>
      <c r="F703" s="7">
        <f t="shared" si="40"/>
        <v>4.2702101831156902</v>
      </c>
      <c r="G703" s="7">
        <f t="shared" si="41"/>
        <v>3.4976820000000002</v>
      </c>
      <c r="H703" s="7">
        <f t="shared" si="42"/>
        <v>0.77252818311569005</v>
      </c>
      <c r="I703" s="8">
        <f t="shared" si="43"/>
        <v>0.22086861616227263</v>
      </c>
      <c r="J703" s="9">
        <v>136.44999999999999</v>
      </c>
      <c r="K703" s="9">
        <v>-104.809026370536</v>
      </c>
    </row>
    <row r="704" spans="1:11" ht="12.75" customHeight="1">
      <c r="A704" s="1">
        <v>46203</v>
      </c>
      <c r="B704" s="2">
        <v>7</v>
      </c>
      <c r="C704" s="7">
        <v>-3.8412473915892602</v>
      </c>
      <c r="D704" s="7">
        <v>-3.1476549999999999</v>
      </c>
      <c r="E704" s="7">
        <v>-0.64722837158925794</v>
      </c>
      <c r="F704" s="7">
        <f t="shared" si="40"/>
        <v>3.8412473915892602</v>
      </c>
      <c r="G704" s="7">
        <f t="shared" si="41"/>
        <v>3.1476549999999999</v>
      </c>
      <c r="H704" s="7">
        <f t="shared" si="42"/>
        <v>0.69359239158926034</v>
      </c>
      <c r="I704" s="8">
        <f t="shared" si="43"/>
        <v>0.22035210071918948</v>
      </c>
      <c r="J704" s="9">
        <v>53.66</v>
      </c>
      <c r="K704" s="9">
        <v>-34.730274419479599</v>
      </c>
    </row>
    <row r="705" spans="1:11" ht="12.75" customHeight="1">
      <c r="A705" s="1">
        <v>46203</v>
      </c>
      <c r="B705" s="2">
        <v>8</v>
      </c>
      <c r="C705" s="7">
        <v>-3.7295903303746401</v>
      </c>
      <c r="D705" s="7">
        <v>-3.1832400000000001</v>
      </c>
      <c r="E705" s="7">
        <v>-0.30702761837463699</v>
      </c>
      <c r="F705" s="7">
        <f t="shared" si="40"/>
        <v>3.7295903303746401</v>
      </c>
      <c r="G705" s="7">
        <f t="shared" si="41"/>
        <v>3.1832400000000001</v>
      </c>
      <c r="H705" s="7">
        <f t="shared" si="42"/>
        <v>0.54635033037463998</v>
      </c>
      <c r="I705" s="8">
        <f t="shared" si="43"/>
        <v>0.17163340821761475</v>
      </c>
      <c r="J705" s="9">
        <v>40.130000000000003</v>
      </c>
      <c r="K705" s="9">
        <v>-12.321018325374199</v>
      </c>
    </row>
    <row r="706" spans="1:11" ht="12.75" customHeight="1">
      <c r="A706" s="1">
        <v>46203</v>
      </c>
      <c r="B706" s="2">
        <v>9</v>
      </c>
      <c r="C706" s="7">
        <v>-4.5048544262859798</v>
      </c>
      <c r="D706" s="7">
        <v>-3.4925060000000001</v>
      </c>
      <c r="E706" s="7">
        <v>-0.66516175628597696</v>
      </c>
      <c r="F706" s="7">
        <f t="shared" ref="F706:F721" si="44">ABS(C706)</f>
        <v>4.5048544262859798</v>
      </c>
      <c r="G706" s="7">
        <f t="shared" ref="G706:G721" si="45">ABS(D706)</f>
        <v>3.4925060000000001</v>
      </c>
      <c r="H706" s="7">
        <f t="shared" ref="H706:H721" si="46">ABS(G706-F706)</f>
        <v>1.0123484262859797</v>
      </c>
      <c r="I706" s="8">
        <f t="shared" ref="I706:I721" si="47">H706/G706</f>
        <v>0.28986304570013038</v>
      </c>
      <c r="J706" s="9">
        <v>78.59</v>
      </c>
      <c r="K706" s="9">
        <v>-52.2750624265149</v>
      </c>
    </row>
    <row r="707" spans="1:11" ht="12.75" customHeight="1">
      <c r="A707" s="1">
        <v>46203</v>
      </c>
      <c r="B707" s="2">
        <v>10</v>
      </c>
      <c r="C707" s="7">
        <v>-4.9560634190226098</v>
      </c>
      <c r="D707" s="7">
        <v>-3.811477</v>
      </c>
      <c r="E707" s="7">
        <v>-0.72050781042260503</v>
      </c>
      <c r="F707" s="7">
        <f t="shared" si="44"/>
        <v>4.9560634190226098</v>
      </c>
      <c r="G707" s="7">
        <f t="shared" si="45"/>
        <v>3.811477</v>
      </c>
      <c r="H707" s="7">
        <f t="shared" si="46"/>
        <v>1.1445864190226098</v>
      </c>
      <c r="I707" s="8">
        <f t="shared" si="47"/>
        <v>0.30029996744637572</v>
      </c>
      <c r="J707" s="9">
        <v>72.900000000000006</v>
      </c>
      <c r="K707" s="9">
        <v>-52.525019379807901</v>
      </c>
    </row>
    <row r="708" spans="1:11" ht="12.75" customHeight="1">
      <c r="A708" s="1">
        <v>46203</v>
      </c>
      <c r="B708" s="2">
        <v>11</v>
      </c>
      <c r="C708" s="7">
        <v>-5.0634605709267104</v>
      </c>
      <c r="D708" s="7">
        <v>-3.8412389999999998</v>
      </c>
      <c r="E708" s="7">
        <v>-0.64842250392670897</v>
      </c>
      <c r="F708" s="7">
        <f t="shared" si="44"/>
        <v>5.0634605709267104</v>
      </c>
      <c r="G708" s="7">
        <f t="shared" si="45"/>
        <v>3.8412389999999998</v>
      </c>
      <c r="H708" s="7">
        <f t="shared" si="46"/>
        <v>1.2222215709267106</v>
      </c>
      <c r="I708" s="8">
        <f t="shared" si="47"/>
        <v>0.3181842033069826</v>
      </c>
      <c r="J708" s="9">
        <v>66.52</v>
      </c>
      <c r="K708" s="9">
        <v>-43.133064961204703</v>
      </c>
    </row>
    <row r="709" spans="1:11" ht="12.75" customHeight="1">
      <c r="A709" s="1">
        <v>46203</v>
      </c>
      <c r="B709" s="2">
        <v>12</v>
      </c>
      <c r="C709" s="7">
        <v>-5.2307958174414502</v>
      </c>
      <c r="D709" s="7">
        <v>-3.9648159999999999</v>
      </c>
      <c r="E709" s="7">
        <v>-0.61019963924145304</v>
      </c>
      <c r="F709" s="7">
        <f t="shared" si="44"/>
        <v>5.2307958174414502</v>
      </c>
      <c r="G709" s="7">
        <f t="shared" si="45"/>
        <v>3.9648159999999999</v>
      </c>
      <c r="H709" s="7">
        <f t="shared" si="46"/>
        <v>1.2659798174414503</v>
      </c>
      <c r="I709" s="8">
        <f t="shared" si="47"/>
        <v>0.31930354837184127</v>
      </c>
      <c r="J709" s="9">
        <v>55.77</v>
      </c>
      <c r="K709" s="9">
        <v>-34.030833880495898</v>
      </c>
    </row>
    <row r="710" spans="1:11" ht="12.75" customHeight="1">
      <c r="A710" s="1">
        <v>46203</v>
      </c>
      <c r="B710" s="2">
        <v>13</v>
      </c>
      <c r="C710" s="7">
        <v>-5.5159281487931304</v>
      </c>
      <c r="D710" s="7">
        <v>-4.1285069999999999</v>
      </c>
      <c r="E710" s="7">
        <v>-0.88091629299312502</v>
      </c>
      <c r="F710" s="7">
        <f t="shared" si="44"/>
        <v>5.5159281487931304</v>
      </c>
      <c r="G710" s="7">
        <f t="shared" si="45"/>
        <v>4.1285069999999999</v>
      </c>
      <c r="H710" s="7">
        <f t="shared" si="46"/>
        <v>1.3874211487931305</v>
      </c>
      <c r="I710" s="8">
        <f t="shared" si="47"/>
        <v>0.33605880982958986</v>
      </c>
      <c r="J710" s="9">
        <v>15.84</v>
      </c>
      <c r="K710" s="9">
        <v>-13.9537140810111</v>
      </c>
    </row>
    <row r="711" spans="1:11" ht="12.75" customHeight="1">
      <c r="A711" s="1">
        <v>46203</v>
      </c>
      <c r="B711" s="2">
        <v>14</v>
      </c>
      <c r="C711" s="7">
        <v>-6.3207941269044401</v>
      </c>
      <c r="D711" s="7">
        <v>-4.189972</v>
      </c>
      <c r="E711" s="7">
        <v>-1.8076398039044399</v>
      </c>
      <c r="F711" s="7">
        <f t="shared" si="44"/>
        <v>6.3207941269044401</v>
      </c>
      <c r="G711" s="7">
        <f t="shared" si="45"/>
        <v>4.189972</v>
      </c>
      <c r="H711" s="7">
        <f t="shared" si="46"/>
        <v>2.1308221269044401</v>
      </c>
      <c r="I711" s="8">
        <f t="shared" si="47"/>
        <v>0.50855283207249113</v>
      </c>
      <c r="J711" s="9">
        <v>25.75</v>
      </c>
      <c r="K711" s="9">
        <v>-46.5467249505393</v>
      </c>
    </row>
    <row r="712" spans="1:11" ht="12.75" customHeight="1">
      <c r="A712" s="1">
        <v>46203</v>
      </c>
      <c r="B712" s="2">
        <v>15</v>
      </c>
      <c r="C712" s="7">
        <v>-6.6662500680353398</v>
      </c>
      <c r="D712" s="7">
        <v>-4.2184400000000002</v>
      </c>
      <c r="E712" s="7">
        <v>-2.1171393670353398</v>
      </c>
      <c r="F712" s="7">
        <f t="shared" si="44"/>
        <v>6.6662500680353398</v>
      </c>
      <c r="G712" s="7">
        <f t="shared" si="45"/>
        <v>4.2184400000000002</v>
      </c>
      <c r="H712" s="7">
        <f t="shared" si="46"/>
        <v>2.4478100680353396</v>
      </c>
      <c r="I712" s="8">
        <f t="shared" si="47"/>
        <v>0.58026428443579603</v>
      </c>
      <c r="J712" s="9">
        <v>40.630000000000003</v>
      </c>
      <c r="K712" s="9">
        <v>-86.019372482645807</v>
      </c>
    </row>
    <row r="713" spans="1:11" ht="12.75" customHeight="1">
      <c r="A713" s="1">
        <v>46203</v>
      </c>
      <c r="B713" s="2">
        <v>16</v>
      </c>
      <c r="C713" s="7">
        <v>-6.8153428434401899</v>
      </c>
      <c r="D713" s="7">
        <v>-4.1886780000000003</v>
      </c>
      <c r="E713" s="7">
        <v>-2.42336126844019</v>
      </c>
      <c r="F713" s="7">
        <f t="shared" si="44"/>
        <v>6.8153428434401899</v>
      </c>
      <c r="G713" s="7">
        <f t="shared" si="45"/>
        <v>4.1886780000000003</v>
      </c>
      <c r="H713" s="7">
        <f t="shared" si="46"/>
        <v>2.6266648434401896</v>
      </c>
      <c r="I713" s="8">
        <f t="shared" si="47"/>
        <v>0.62708683824351963</v>
      </c>
      <c r="J713" s="9">
        <v>18.37</v>
      </c>
      <c r="K713" s="9">
        <v>-44.517146501246401</v>
      </c>
    </row>
    <row r="714" spans="1:11" ht="12.75" customHeight="1">
      <c r="A714" s="1">
        <v>46203</v>
      </c>
      <c r="B714" s="2">
        <v>17</v>
      </c>
      <c r="C714" s="7">
        <v>-7.7917168150490799</v>
      </c>
      <c r="D714" s="7">
        <v>-4.6926909999999999</v>
      </c>
      <c r="E714" s="7">
        <v>-3.0683308410490802</v>
      </c>
      <c r="F714" s="7">
        <f t="shared" si="44"/>
        <v>7.7917168150490799</v>
      </c>
      <c r="G714" s="7">
        <f t="shared" si="45"/>
        <v>4.6926909999999999</v>
      </c>
      <c r="H714" s="7">
        <f t="shared" si="46"/>
        <v>3.0990258150490799</v>
      </c>
      <c r="I714" s="8">
        <f t="shared" si="47"/>
        <v>0.66039417789261645</v>
      </c>
      <c r="J714" s="9">
        <v>113.18</v>
      </c>
      <c r="K714" s="9">
        <v>-347.27368458993402</v>
      </c>
    </row>
    <row r="715" spans="1:11" ht="12.75" customHeight="1">
      <c r="A715" s="1">
        <v>46203</v>
      </c>
      <c r="B715" s="2">
        <v>18</v>
      </c>
      <c r="C715" s="7">
        <v>-7.1865813250790298</v>
      </c>
      <c r="D715" s="7">
        <v>-5.0058389999999999</v>
      </c>
      <c r="E715" s="7">
        <v>-2.1758950010790299</v>
      </c>
      <c r="F715" s="7">
        <f t="shared" si="44"/>
        <v>7.1865813250790298</v>
      </c>
      <c r="G715" s="7">
        <f t="shared" si="45"/>
        <v>5.0058389999999999</v>
      </c>
      <c r="H715" s="7">
        <f t="shared" si="46"/>
        <v>2.1807423250790299</v>
      </c>
      <c r="I715" s="8">
        <f t="shared" si="47"/>
        <v>0.43563972494501518</v>
      </c>
      <c r="J715" s="9">
        <v>111.89</v>
      </c>
      <c r="K715" s="9">
        <v>-243.460891670732</v>
      </c>
    </row>
    <row r="716" spans="1:11" ht="12.75" customHeight="1">
      <c r="A716" s="1">
        <v>46203</v>
      </c>
      <c r="B716" s="2">
        <v>19</v>
      </c>
      <c r="C716" s="7">
        <v>-6.4110250331035301</v>
      </c>
      <c r="D716" s="7">
        <v>-5.5538480000000003</v>
      </c>
      <c r="E716" s="7">
        <v>-0.848792560103525</v>
      </c>
      <c r="F716" s="7">
        <f t="shared" si="44"/>
        <v>6.4110250331035301</v>
      </c>
      <c r="G716" s="7">
        <f t="shared" si="45"/>
        <v>5.5538480000000003</v>
      </c>
      <c r="H716" s="7">
        <f t="shared" si="46"/>
        <v>0.85717703310352977</v>
      </c>
      <c r="I716" s="8">
        <f t="shared" si="47"/>
        <v>0.15433930368701659</v>
      </c>
      <c r="J716" s="9">
        <v>62.14</v>
      </c>
      <c r="K716" s="9">
        <v>-52.743969684833097</v>
      </c>
    </row>
    <row r="717" spans="1:11" ht="12.75" customHeight="1">
      <c r="A717" s="1">
        <v>46203</v>
      </c>
      <c r="B717" s="2">
        <v>20</v>
      </c>
      <c r="C717" s="7">
        <v>-6.5059199026823604</v>
      </c>
      <c r="D717" s="7">
        <v>-6.1464999999999996</v>
      </c>
      <c r="E717" s="7">
        <v>-0.35910998968235602</v>
      </c>
      <c r="F717" s="7">
        <f t="shared" si="44"/>
        <v>6.5059199026823604</v>
      </c>
      <c r="G717" s="7">
        <f t="shared" si="45"/>
        <v>6.1464999999999996</v>
      </c>
      <c r="H717" s="7">
        <f t="shared" si="46"/>
        <v>0.35941990268236079</v>
      </c>
      <c r="I717" s="8">
        <f t="shared" si="47"/>
        <v>5.8475539360995824E-2</v>
      </c>
      <c r="J717" s="9">
        <v>45</v>
      </c>
      <c r="K717" s="9">
        <v>-16.159949535706001</v>
      </c>
    </row>
    <row r="718" spans="1:11" ht="12.75" customHeight="1">
      <c r="A718" s="1">
        <v>46203</v>
      </c>
      <c r="B718" s="2">
        <v>21</v>
      </c>
      <c r="C718" s="7">
        <v>-6.7349903958565696</v>
      </c>
      <c r="D718" s="7">
        <v>-6.59293</v>
      </c>
      <c r="E718" s="7">
        <v>-0.14206039585656599</v>
      </c>
      <c r="F718" s="7">
        <f t="shared" si="44"/>
        <v>6.7349903958565696</v>
      </c>
      <c r="G718" s="7">
        <f t="shared" si="45"/>
        <v>6.59293</v>
      </c>
      <c r="H718" s="7">
        <f t="shared" si="46"/>
        <v>0.1420603958565696</v>
      </c>
      <c r="I718" s="8">
        <f t="shared" si="47"/>
        <v>2.1547384221669214E-2</v>
      </c>
      <c r="J718" s="9">
        <v>45</v>
      </c>
      <c r="K718" s="9">
        <v>-6.3927178135454499</v>
      </c>
    </row>
    <row r="719" spans="1:11" ht="12.75" customHeight="1">
      <c r="A719" s="1">
        <v>46203</v>
      </c>
      <c r="B719" s="2">
        <v>22</v>
      </c>
      <c r="C719" s="7">
        <v>-6.6201219569527003</v>
      </c>
      <c r="D719" s="7">
        <v>-6.3541869999999996</v>
      </c>
      <c r="E719" s="7">
        <v>-0.26593495695269798</v>
      </c>
      <c r="F719" s="7">
        <f t="shared" si="44"/>
        <v>6.6201219569527003</v>
      </c>
      <c r="G719" s="7">
        <f t="shared" si="45"/>
        <v>6.3541869999999996</v>
      </c>
      <c r="H719" s="7">
        <f t="shared" si="46"/>
        <v>0.26593495695270075</v>
      </c>
      <c r="I719" s="8">
        <f t="shared" si="47"/>
        <v>4.1851924872953972E-2</v>
      </c>
      <c r="J719" s="9">
        <v>65.03</v>
      </c>
      <c r="K719" s="9">
        <v>-17.293750250633899</v>
      </c>
    </row>
    <row r="720" spans="1:11" ht="12.75" customHeight="1">
      <c r="A720" s="1">
        <v>46203</v>
      </c>
      <c r="B720" s="2">
        <v>23</v>
      </c>
      <c r="C720" s="7">
        <v>-5.8720606011108396</v>
      </c>
      <c r="D720" s="7">
        <v>-5.4632680000000002</v>
      </c>
      <c r="E720" s="7">
        <v>-0.40879260111083798</v>
      </c>
      <c r="F720" s="7">
        <f t="shared" si="44"/>
        <v>5.8720606011108396</v>
      </c>
      <c r="G720" s="7">
        <f t="shared" si="45"/>
        <v>5.4632680000000002</v>
      </c>
      <c r="H720" s="7">
        <f t="shared" si="46"/>
        <v>0.40879260111083937</v>
      </c>
      <c r="I720" s="8">
        <f t="shared" si="47"/>
        <v>7.4825654006144188E-2</v>
      </c>
      <c r="J720" s="9">
        <v>104.28</v>
      </c>
      <c r="K720" s="9">
        <v>-42.628892443838197</v>
      </c>
    </row>
    <row r="721" spans="1:11" ht="12.75" customHeight="1">
      <c r="A721" s="1">
        <v>46203</v>
      </c>
      <c r="B721" s="2">
        <v>24</v>
      </c>
      <c r="C721" s="7">
        <v>-5.2479611964673598</v>
      </c>
      <c r="D721" s="7">
        <v>-4.8136799999999997</v>
      </c>
      <c r="E721" s="7">
        <v>-0.43428119646735702</v>
      </c>
      <c r="F721" s="7">
        <f t="shared" si="44"/>
        <v>5.2479611964673598</v>
      </c>
      <c r="G721" s="7">
        <f t="shared" si="45"/>
        <v>4.8136799999999997</v>
      </c>
      <c r="H721" s="7">
        <f t="shared" si="46"/>
        <v>0.43428119646736008</v>
      </c>
      <c r="I721" s="8">
        <f t="shared" si="47"/>
        <v>9.0218127600372289E-2</v>
      </c>
      <c r="J721" s="9">
        <v>147.54</v>
      </c>
      <c r="K721" s="9">
        <v>-64.073847726793801</v>
      </c>
    </row>
    <row r="722" spans="1:11" ht="12.75" customHeight="1">
      <c r="C722" s="7"/>
      <c r="D722" s="7"/>
      <c r="E722" s="7"/>
      <c r="F722" s="7"/>
      <c r="G722" s="7"/>
      <c r="H722" s="7"/>
      <c r="I722" s="7"/>
      <c r="J722" s="9"/>
      <c r="K722" s="9"/>
    </row>
    <row r="723" spans="1:11" ht="12.75" customHeight="1">
      <c r="C723" s="7"/>
      <c r="D723" s="7"/>
      <c r="E723" s="7"/>
      <c r="F723" s="7"/>
      <c r="G723" s="7"/>
      <c r="H723" s="7"/>
      <c r="I723" s="7"/>
      <c r="J723" s="9"/>
      <c r="K723" s="9"/>
    </row>
    <row r="724" spans="1:11" ht="12.75" customHeight="1">
      <c r="C724" s="7"/>
      <c r="D724" s="7"/>
      <c r="E724" s="7"/>
      <c r="F724" s="7"/>
      <c r="G724" s="7"/>
      <c r="H724" s="7"/>
      <c r="I724" s="7"/>
      <c r="J724" s="9"/>
      <c r="K724" s="9"/>
    </row>
    <row r="725" spans="1:11" ht="12.75" customHeight="1">
      <c r="C725" s="7"/>
      <c r="D725" s="7"/>
      <c r="E725" s="7"/>
      <c r="F725" s="7"/>
      <c r="G725" s="7"/>
      <c r="H725" s="7"/>
      <c r="I725" s="7"/>
      <c r="J725" s="9"/>
      <c r="K725" s="9"/>
    </row>
    <row r="726" spans="1:11" ht="12.75" customHeight="1">
      <c r="C726" s="7"/>
      <c r="D726" s="7"/>
      <c r="E726" s="7"/>
      <c r="F726" s="7"/>
      <c r="G726" s="7"/>
      <c r="H726" s="7"/>
      <c r="I726" s="7"/>
      <c r="J726" s="9"/>
      <c r="K726" s="9"/>
    </row>
    <row r="727" spans="1:11" ht="12.75" customHeight="1">
      <c r="C727" s="7"/>
      <c r="D727" s="7"/>
      <c r="E727" s="7"/>
      <c r="F727" s="7"/>
      <c r="G727" s="7"/>
      <c r="H727" s="7"/>
      <c r="I727" s="7"/>
      <c r="J727" s="9"/>
      <c r="K727" s="9"/>
    </row>
    <row r="728" spans="1:11" ht="12.75" customHeight="1">
      <c r="C728" s="7"/>
      <c r="D728" s="7"/>
      <c r="E728" s="7"/>
      <c r="F728" s="7"/>
      <c r="G728" s="7"/>
      <c r="H728" s="7"/>
      <c r="I728" s="7"/>
      <c r="J728" s="9"/>
      <c r="K728" s="9"/>
    </row>
    <row r="729" spans="1:11" ht="12.75" customHeight="1">
      <c r="C729" s="7"/>
      <c r="D729" s="7"/>
      <c r="E729" s="7"/>
      <c r="F729" s="7"/>
      <c r="G729" s="7"/>
      <c r="H729" s="7"/>
      <c r="I729" s="7"/>
      <c r="J729" s="9"/>
      <c r="K729" s="9"/>
    </row>
    <row r="730" spans="1:11" ht="12.75" customHeight="1">
      <c r="C730" s="7"/>
      <c r="D730" s="7"/>
      <c r="E730" s="7"/>
      <c r="F730" s="7"/>
      <c r="G730" s="7"/>
      <c r="H730" s="7"/>
      <c r="I730" s="7"/>
      <c r="J730" s="9"/>
      <c r="K730" s="9"/>
    </row>
    <row r="731" spans="1:11" ht="12.75" customHeight="1">
      <c r="C731" s="7"/>
      <c r="D731" s="7"/>
      <c r="E731" s="7"/>
      <c r="F731" s="7"/>
      <c r="G731" s="7"/>
      <c r="H731" s="7"/>
      <c r="I731" s="7"/>
      <c r="J731" s="9"/>
      <c r="K731" s="9"/>
    </row>
    <row r="732" spans="1:11" ht="12.75" customHeight="1">
      <c r="C732" s="7"/>
      <c r="D732" s="7"/>
      <c r="E732" s="7"/>
      <c r="F732" s="7"/>
      <c r="G732" s="7"/>
      <c r="H732" s="7"/>
      <c r="I732" s="7"/>
      <c r="J732" s="9"/>
      <c r="K732" s="9"/>
    </row>
    <row r="733" spans="1:11" ht="12.75" customHeight="1">
      <c r="C733" s="7"/>
      <c r="D733" s="7"/>
      <c r="E733" s="7"/>
      <c r="F733" s="7"/>
      <c r="G733" s="7"/>
      <c r="H733" s="7"/>
      <c r="I733" s="7"/>
      <c r="J733" s="9"/>
      <c r="K733" s="9"/>
    </row>
    <row r="734" spans="1:11" ht="12.75" customHeight="1">
      <c r="C734" s="7"/>
      <c r="D734" s="7"/>
      <c r="E734" s="7"/>
      <c r="F734" s="7"/>
      <c r="G734" s="7"/>
      <c r="H734" s="7"/>
      <c r="I734" s="7"/>
      <c r="J734" s="9"/>
      <c r="K734" s="9"/>
    </row>
    <row r="735" spans="1:11" ht="12.75" customHeight="1">
      <c r="C735" s="7"/>
      <c r="D735" s="7"/>
      <c r="E735" s="7"/>
      <c r="F735" s="7"/>
      <c r="G735" s="7"/>
      <c r="H735" s="7"/>
      <c r="I735" s="7"/>
      <c r="J735" s="9"/>
      <c r="K735" s="9"/>
    </row>
    <row r="736" spans="1:11" ht="12.75" customHeight="1">
      <c r="C736" s="7"/>
      <c r="D736" s="7"/>
      <c r="E736" s="7"/>
      <c r="F736" s="7"/>
      <c r="G736" s="7"/>
      <c r="H736" s="7"/>
      <c r="I736" s="7"/>
      <c r="J736" s="9"/>
      <c r="K736" s="9"/>
    </row>
    <row r="737" spans="3:11" ht="12.75" customHeight="1">
      <c r="C737" s="7"/>
      <c r="D737" s="7"/>
      <c r="E737" s="7"/>
      <c r="F737" s="7"/>
      <c r="G737" s="7"/>
      <c r="H737" s="7"/>
      <c r="I737" s="7"/>
      <c r="J737" s="9"/>
      <c r="K737" s="9"/>
    </row>
    <row r="738" spans="3:11" ht="12.75" customHeight="1">
      <c r="C738" s="7"/>
      <c r="D738" s="7"/>
      <c r="E738" s="7"/>
      <c r="F738" s="7"/>
      <c r="G738" s="7"/>
      <c r="H738" s="7"/>
      <c r="I738" s="7"/>
      <c r="J738" s="9"/>
      <c r="K738" s="9"/>
    </row>
    <row r="739" spans="3:11" ht="12.75" customHeight="1">
      <c r="C739" s="7"/>
      <c r="D739" s="7"/>
      <c r="E739" s="7"/>
      <c r="F739" s="7"/>
      <c r="G739" s="7"/>
      <c r="H739" s="7"/>
      <c r="I739" s="7"/>
      <c r="J739" s="9"/>
      <c r="K739" s="9"/>
    </row>
    <row r="740" spans="3:11" ht="12.75" customHeight="1">
      <c r="C740" s="7"/>
      <c r="D740" s="7"/>
      <c r="E740" s="7"/>
      <c r="F740" s="7"/>
      <c r="G740" s="7"/>
      <c r="H740" s="7"/>
      <c r="I740" s="7"/>
      <c r="J740" s="9"/>
      <c r="K740" s="9"/>
    </row>
    <row r="741" spans="3:11" ht="12.75" customHeight="1">
      <c r="C741" s="7"/>
      <c r="D741" s="7"/>
      <c r="E741" s="7"/>
      <c r="F741" s="7"/>
      <c r="G741" s="7"/>
      <c r="H741" s="7"/>
      <c r="I741" s="7"/>
      <c r="J741" s="9"/>
      <c r="K741" s="9"/>
    </row>
    <row r="742" spans="3:11" ht="12.75" customHeight="1">
      <c r="C742" s="7"/>
      <c r="D742" s="7"/>
      <c r="E742" s="7"/>
      <c r="F742" s="7"/>
      <c r="G742" s="7"/>
      <c r="H742" s="7"/>
      <c r="I742" s="7"/>
      <c r="J742" s="9"/>
      <c r="K742" s="9"/>
    </row>
    <row r="743" spans="3:11" ht="12.75" customHeight="1">
      <c r="C743" s="7"/>
      <c r="D743" s="7"/>
      <c r="E743" s="7"/>
      <c r="F743" s="7"/>
      <c r="G743" s="7"/>
      <c r="H743" s="7"/>
      <c r="I743" s="7"/>
      <c r="J743" s="9"/>
      <c r="K743" s="9"/>
    </row>
    <row r="744" spans="3:11" ht="12.75" customHeight="1">
      <c r="C744" s="7"/>
      <c r="D744" s="7"/>
      <c r="E744" s="7"/>
      <c r="F744" s="7"/>
      <c r="G744" s="7"/>
      <c r="H744" s="7"/>
      <c r="I744" s="7"/>
      <c r="J744" s="9"/>
      <c r="K744" s="9"/>
    </row>
    <row r="745" spans="3:11" ht="12.75" customHeight="1">
      <c r="C745" s="7"/>
      <c r="D745" s="7"/>
      <c r="E745" s="7"/>
      <c r="F745" s="7"/>
      <c r="G745" s="7"/>
      <c r="H745" s="7"/>
      <c r="I745" s="7"/>
      <c r="J745" s="9"/>
      <c r="K745" s="9"/>
    </row>
    <row r="746" spans="3:11" ht="12.75" customHeight="1">
      <c r="C746" s="7"/>
      <c r="D746" s="7"/>
      <c r="E746" s="7"/>
      <c r="F746" s="7"/>
      <c r="G746" s="7"/>
      <c r="H746" s="7"/>
      <c r="I746" s="7"/>
      <c r="J746" s="9"/>
      <c r="K746" s="9"/>
    </row>
    <row r="747" spans="3:11" ht="12.75" customHeight="1">
      <c r="C747" s="7"/>
      <c r="D747" s="7"/>
      <c r="E747" s="7"/>
      <c r="F747" s="7"/>
      <c r="G747" s="7"/>
      <c r="H747" s="7"/>
      <c r="I747" s="7"/>
      <c r="J747" s="9"/>
      <c r="K747" s="9"/>
    </row>
    <row r="748" spans="3:11" ht="12.75" customHeight="1">
      <c r="C748" s="7"/>
      <c r="D748" s="7"/>
      <c r="E748" s="7"/>
      <c r="F748" s="7"/>
      <c r="G748" s="7"/>
      <c r="H748" s="7"/>
      <c r="I748" s="7"/>
      <c r="J748" s="9"/>
      <c r="K748" s="9"/>
    </row>
    <row r="749" spans="3:11" ht="12.75" customHeight="1">
      <c r="C749" s="7"/>
      <c r="D749" s="7"/>
      <c r="E749" s="7"/>
      <c r="F749" s="7"/>
      <c r="G749" s="7"/>
      <c r="H749" s="7"/>
      <c r="I749" s="7"/>
      <c r="J749" s="9"/>
      <c r="K749" s="9"/>
    </row>
    <row r="750" spans="3:11" ht="12.75" customHeight="1">
      <c r="C750" s="7"/>
      <c r="D750" s="7"/>
      <c r="E750" s="7"/>
      <c r="F750" s="7"/>
      <c r="G750" s="7"/>
      <c r="H750" s="7"/>
      <c r="I750" s="7"/>
      <c r="J750" s="9"/>
      <c r="K750" s="9"/>
    </row>
    <row r="751" spans="3:11" ht="12.75" customHeight="1">
      <c r="C751" s="7"/>
      <c r="D751" s="7"/>
      <c r="E751" s="7"/>
      <c r="F751" s="7"/>
      <c r="G751" s="7"/>
      <c r="H751" s="7"/>
      <c r="I751" s="7"/>
      <c r="J751" s="9"/>
      <c r="K751" s="9"/>
    </row>
    <row r="752" spans="3:11" ht="12.75" customHeight="1">
      <c r="C752" s="7"/>
      <c r="D752" s="7"/>
      <c r="E752" s="7"/>
      <c r="F752" s="7"/>
      <c r="G752" s="7"/>
      <c r="H752" s="7"/>
      <c r="I752" s="7"/>
      <c r="J752" s="9"/>
      <c r="K752" s="9"/>
    </row>
    <row r="753" spans="3:11" ht="12.75" customHeight="1">
      <c r="C753" s="7"/>
      <c r="D753" s="7"/>
      <c r="E753" s="7"/>
      <c r="F753" s="7"/>
      <c r="G753" s="7"/>
      <c r="H753" s="7"/>
      <c r="I753" s="7"/>
      <c r="J753" s="9"/>
      <c r="K753" s="9"/>
    </row>
    <row r="754" spans="3:11" ht="12.75" customHeight="1">
      <c r="C754" s="7"/>
      <c r="D754" s="7"/>
      <c r="E754" s="7"/>
      <c r="F754" s="7"/>
      <c r="G754" s="7"/>
      <c r="H754" s="7"/>
      <c r="I754" s="7"/>
      <c r="J754" s="9"/>
      <c r="K754" s="9"/>
    </row>
    <row r="755" spans="3:11" ht="12.75" customHeight="1">
      <c r="C755" s="7"/>
      <c r="D755" s="7"/>
      <c r="E755" s="7"/>
      <c r="F755" s="7"/>
      <c r="G755" s="7"/>
      <c r="H755" s="7"/>
      <c r="I755" s="7"/>
      <c r="J755" s="9"/>
      <c r="K755" s="9"/>
    </row>
    <row r="756" spans="3:11" ht="12.75" customHeight="1">
      <c r="C756" s="7"/>
      <c r="D756" s="7"/>
      <c r="E756" s="7"/>
      <c r="F756" s="7"/>
      <c r="G756" s="7"/>
      <c r="H756" s="7"/>
      <c r="I756" s="7"/>
      <c r="J756" s="9"/>
      <c r="K756" s="9"/>
    </row>
    <row r="757" spans="3:11" ht="12.75" customHeight="1">
      <c r="C757" s="7"/>
      <c r="D757" s="7"/>
      <c r="E757" s="7"/>
      <c r="F757" s="7"/>
      <c r="G757" s="7"/>
      <c r="H757" s="7"/>
      <c r="I757" s="7"/>
      <c r="J757" s="9"/>
      <c r="K757" s="9"/>
    </row>
    <row r="758" spans="3:11" ht="12.75" customHeight="1">
      <c r="C758" s="7"/>
      <c r="D758" s="7"/>
      <c r="E758" s="7"/>
      <c r="F758" s="7"/>
      <c r="G758" s="7"/>
      <c r="H758" s="7"/>
      <c r="I758" s="7"/>
      <c r="J758" s="9"/>
      <c r="K758" s="9"/>
    </row>
    <row r="759" spans="3:11" ht="12.75" customHeight="1">
      <c r="C759" s="7"/>
      <c r="D759" s="7"/>
      <c r="E759" s="7"/>
      <c r="F759" s="7"/>
      <c r="G759" s="7"/>
      <c r="H759" s="7"/>
      <c r="I759" s="7"/>
      <c r="J759" s="9"/>
      <c r="K759" s="9"/>
    </row>
    <row r="760" spans="3:11" ht="12.75" customHeight="1">
      <c r="C760" s="7"/>
      <c r="D760" s="7"/>
      <c r="E760" s="7"/>
      <c r="F760" s="7"/>
      <c r="G760" s="7"/>
      <c r="H760" s="7"/>
      <c r="I760" s="7"/>
      <c r="J760" s="9"/>
      <c r="K760" s="9"/>
    </row>
    <row r="761" spans="3:11" ht="12.75" customHeight="1">
      <c r="C761" s="7"/>
      <c r="D761" s="7"/>
      <c r="E761" s="7"/>
      <c r="F761" s="7"/>
      <c r="G761" s="7"/>
      <c r="H761" s="7"/>
      <c r="I761" s="7"/>
      <c r="J761" s="9"/>
      <c r="K761" s="9"/>
    </row>
    <row r="762" spans="3:11" ht="12.75" customHeight="1">
      <c r="C762" s="7"/>
      <c r="D762" s="7"/>
      <c r="E762" s="7"/>
      <c r="F762" s="7"/>
      <c r="G762" s="7"/>
      <c r="H762" s="7"/>
      <c r="I762" s="7"/>
      <c r="J762" s="9"/>
      <c r="K762" s="9"/>
    </row>
    <row r="763" spans="3:11" ht="12.75" customHeight="1">
      <c r="C763" s="7"/>
      <c r="D763" s="7"/>
      <c r="E763" s="7"/>
      <c r="F763" s="7"/>
      <c r="G763" s="7"/>
      <c r="H763" s="7"/>
      <c r="I763" s="7"/>
      <c r="J763" s="9"/>
      <c r="K763" s="9"/>
    </row>
    <row r="764" spans="3:11" ht="12.75" customHeight="1">
      <c r="C764" s="7"/>
      <c r="D764" s="7"/>
      <c r="E764" s="7"/>
      <c r="F764" s="7"/>
      <c r="G764" s="7"/>
      <c r="H764" s="7"/>
      <c r="I764" s="7"/>
      <c r="J764" s="9"/>
      <c r="K764" s="9"/>
    </row>
    <row r="765" spans="3:11" ht="12.75" customHeight="1">
      <c r="C765" s="7"/>
      <c r="D765" s="7"/>
      <c r="E765" s="7"/>
      <c r="F765" s="7"/>
      <c r="G765" s="7"/>
      <c r="H765" s="7"/>
      <c r="I765" s="7"/>
      <c r="J765" s="9"/>
      <c r="K765" s="9"/>
    </row>
    <row r="766" spans="3:11" ht="12.75" customHeight="1">
      <c r="C766" s="7"/>
      <c r="D766" s="7"/>
      <c r="E766" s="7"/>
      <c r="F766" s="7"/>
      <c r="G766" s="7"/>
      <c r="H766" s="7"/>
      <c r="I766" s="7"/>
      <c r="J766" s="9"/>
      <c r="K766" s="9"/>
    </row>
    <row r="767" spans="3:11" ht="12.75" customHeight="1">
      <c r="C767" s="7"/>
      <c r="D767" s="7"/>
      <c r="E767" s="7"/>
      <c r="F767" s="7"/>
      <c r="G767" s="7"/>
      <c r="H767" s="7"/>
      <c r="I767" s="7"/>
      <c r="J767" s="9"/>
      <c r="K767" s="9"/>
    </row>
    <row r="768" spans="3:11" ht="12.75" customHeight="1">
      <c r="C768" s="7"/>
      <c r="D768" s="7"/>
      <c r="E768" s="7"/>
      <c r="F768" s="7"/>
      <c r="G768" s="7"/>
      <c r="H768" s="7"/>
      <c r="I768" s="7"/>
      <c r="J768" s="9"/>
      <c r="K768" s="9"/>
    </row>
    <row r="769" spans="3:11" ht="12.75" customHeight="1">
      <c r="C769" s="7"/>
      <c r="D769" s="7"/>
      <c r="E769" s="7"/>
      <c r="F769" s="7"/>
      <c r="G769" s="7"/>
      <c r="H769" s="7"/>
      <c r="I769" s="7"/>
      <c r="J769" s="9"/>
      <c r="K769" s="9"/>
    </row>
    <row r="770" spans="3:11" ht="12.75" customHeight="1">
      <c r="C770" s="7"/>
      <c r="D770" s="7"/>
      <c r="E770" s="7"/>
      <c r="F770" s="7"/>
      <c r="G770" s="7"/>
      <c r="H770" s="7"/>
      <c r="I770" s="7"/>
      <c r="J770" s="9"/>
      <c r="K770" s="9"/>
    </row>
    <row r="771" spans="3:11" ht="12.75" customHeight="1">
      <c r="C771" s="7"/>
      <c r="D771" s="7"/>
      <c r="E771" s="7"/>
      <c r="F771" s="7"/>
      <c r="G771" s="7"/>
      <c r="H771" s="7"/>
      <c r="I771" s="7"/>
      <c r="J771" s="9"/>
      <c r="K771" s="9"/>
    </row>
    <row r="772" spans="3:11" ht="12.75" customHeight="1">
      <c r="C772" s="7"/>
      <c r="D772" s="7"/>
      <c r="E772" s="7"/>
      <c r="F772" s="7"/>
      <c r="G772" s="7"/>
      <c r="H772" s="7"/>
      <c r="I772" s="7"/>
      <c r="J772" s="9"/>
      <c r="K772" s="9"/>
    </row>
    <row r="773" spans="3:11" ht="12.75" customHeight="1">
      <c r="C773" s="7"/>
      <c r="D773" s="7"/>
      <c r="E773" s="7"/>
      <c r="F773" s="7"/>
      <c r="G773" s="7"/>
      <c r="H773" s="7"/>
      <c r="I773" s="7"/>
      <c r="J773" s="9"/>
      <c r="K773" s="9"/>
    </row>
    <row r="774" spans="3:11" ht="12.75" customHeight="1">
      <c r="C774" s="7"/>
      <c r="D774" s="7"/>
      <c r="E774" s="7"/>
      <c r="F774" s="7"/>
      <c r="G774" s="7"/>
      <c r="H774" s="7"/>
      <c r="I774" s="7"/>
      <c r="J774" s="9"/>
      <c r="K774" s="9"/>
    </row>
    <row r="775" spans="3:11" ht="12.75" customHeight="1">
      <c r="C775" s="7"/>
      <c r="D775" s="7"/>
      <c r="E775" s="7"/>
      <c r="F775" s="7"/>
      <c r="G775" s="7"/>
      <c r="H775" s="7"/>
      <c r="I775" s="7"/>
      <c r="J775" s="9"/>
      <c r="K775" s="9"/>
    </row>
    <row r="776" spans="3:11" ht="12.75" customHeight="1">
      <c r="C776" s="7"/>
      <c r="D776" s="7"/>
      <c r="E776" s="7"/>
      <c r="F776" s="7"/>
      <c r="G776" s="7"/>
      <c r="H776" s="7"/>
      <c r="I776" s="7"/>
      <c r="J776" s="9"/>
      <c r="K776" s="9"/>
    </row>
    <row r="777" spans="3:11" ht="12.75" customHeight="1">
      <c r="C777" s="7"/>
      <c r="D777" s="7"/>
      <c r="E777" s="7"/>
      <c r="F777" s="7"/>
      <c r="G777" s="7"/>
      <c r="H777" s="7"/>
      <c r="I777" s="7"/>
      <c r="J777" s="9"/>
      <c r="K777" s="9"/>
    </row>
    <row r="778" spans="3:11" ht="12.75" customHeight="1">
      <c r="C778" s="7"/>
      <c r="D778" s="7"/>
      <c r="E778" s="7"/>
      <c r="F778" s="7"/>
      <c r="G778" s="7"/>
      <c r="H778" s="7"/>
      <c r="I778" s="7"/>
      <c r="J778" s="9"/>
      <c r="K778" s="9"/>
    </row>
    <row r="779" spans="3:11" ht="12.75" customHeight="1">
      <c r="E779" s="7"/>
      <c r="F779" s="7"/>
      <c r="G779" s="7"/>
      <c r="H779" s="7"/>
      <c r="I779" s="7"/>
      <c r="K779" s="9"/>
    </row>
    <row r="780" spans="3:11" ht="12.75" customHeight="1">
      <c r="E780" s="7"/>
      <c r="F780" s="7"/>
      <c r="G780" s="7"/>
      <c r="H780" s="7"/>
      <c r="I780" s="7"/>
      <c r="K780" s="9"/>
    </row>
    <row r="781" spans="3:11" ht="12.75" customHeight="1">
      <c r="E781" s="7"/>
      <c r="F781" s="7"/>
      <c r="G781" s="7"/>
      <c r="H781" s="7"/>
      <c r="I781" s="7"/>
      <c r="K781" s="9"/>
    </row>
    <row r="782" spans="3:11" ht="12.75" customHeight="1">
      <c r="E782" s="7"/>
      <c r="F782" s="7"/>
      <c r="G782" s="7"/>
      <c r="H782" s="7"/>
      <c r="I782" s="7"/>
      <c r="K782" s="9"/>
    </row>
    <row r="783" spans="3:11" ht="12.75" customHeight="1">
      <c r="E783" s="7"/>
      <c r="F783" s="7"/>
      <c r="G783" s="7"/>
      <c r="H783" s="7"/>
      <c r="I783" s="7"/>
      <c r="K783" s="9"/>
    </row>
    <row r="784" spans="3:11" ht="12.75" customHeight="1">
      <c r="E784" s="7"/>
      <c r="F784" s="7"/>
      <c r="G784" s="7"/>
      <c r="H784" s="7"/>
      <c r="I784" s="7"/>
      <c r="K784" s="9"/>
    </row>
    <row r="785" spans="5:11" ht="12.75" customHeight="1">
      <c r="E785" s="7"/>
      <c r="F785" s="7"/>
      <c r="G785" s="7"/>
      <c r="H785" s="7"/>
      <c r="I785" s="7"/>
      <c r="K785" s="9"/>
    </row>
    <row r="786" spans="5:11" ht="12.75" customHeight="1">
      <c r="E786" s="7"/>
      <c r="F786" s="7"/>
      <c r="G786" s="7"/>
      <c r="H786" s="7"/>
      <c r="I786" s="7"/>
      <c r="K786" s="9"/>
    </row>
    <row r="787" spans="5:11" ht="12.75" customHeight="1">
      <c r="E787" s="7"/>
      <c r="F787" s="7"/>
      <c r="G787" s="7"/>
      <c r="H787" s="7"/>
      <c r="I787" s="7"/>
      <c r="K787" s="9"/>
    </row>
    <row r="788" spans="5:11" ht="12.75" customHeight="1">
      <c r="E788" s="7"/>
      <c r="F788" s="7"/>
      <c r="G788" s="7"/>
      <c r="H788" s="7"/>
      <c r="I788" s="7"/>
      <c r="K788" s="9"/>
    </row>
    <row r="789" spans="5:11" ht="12.75" customHeight="1">
      <c r="E789" s="7"/>
      <c r="F789" s="7"/>
      <c r="G789" s="7"/>
      <c r="H789" s="7"/>
      <c r="I789" s="7"/>
      <c r="K789" s="9"/>
    </row>
    <row r="790" spans="5:11" ht="12.75" customHeight="1">
      <c r="E790" s="7"/>
      <c r="F790" s="7"/>
      <c r="G790" s="7"/>
      <c r="H790" s="7"/>
      <c r="I790" s="7"/>
      <c r="K790" s="9"/>
    </row>
    <row r="791" spans="5:11" ht="12.75" customHeight="1">
      <c r="E791" s="7"/>
      <c r="F791" s="7"/>
      <c r="G791" s="7"/>
      <c r="H791" s="7"/>
      <c r="I791" s="7"/>
      <c r="K791" s="9"/>
    </row>
    <row r="792" spans="5:11" ht="12.75" customHeight="1">
      <c r="E792" s="7"/>
      <c r="F792" s="7"/>
      <c r="G792" s="7"/>
      <c r="H792" s="7"/>
      <c r="I792" s="7"/>
      <c r="K792" s="9"/>
    </row>
    <row r="793" spans="5:11" ht="12.75" customHeight="1">
      <c r="E793" s="7"/>
      <c r="F793" s="7"/>
      <c r="G793" s="7"/>
      <c r="H793" s="7"/>
      <c r="I793" s="7"/>
      <c r="K793" s="9"/>
    </row>
    <row r="794" spans="5:11" ht="12.75" customHeight="1">
      <c r="E794" s="7"/>
      <c r="F794" s="7"/>
      <c r="G794" s="7"/>
      <c r="H794" s="7"/>
      <c r="I794" s="7"/>
      <c r="K794" s="9"/>
    </row>
    <row r="795" spans="5:11" ht="12.75" customHeight="1">
      <c r="E795" s="7"/>
      <c r="F795" s="7"/>
      <c r="G795" s="7"/>
      <c r="H795" s="7"/>
      <c r="I795" s="7"/>
      <c r="K795" s="9"/>
    </row>
    <row r="796" spans="5:11" ht="12.75" customHeight="1">
      <c r="E796" s="7"/>
      <c r="F796" s="7"/>
      <c r="G796" s="7"/>
      <c r="H796" s="7"/>
      <c r="I796" s="7"/>
      <c r="K796" s="9"/>
    </row>
    <row r="797" spans="5:11" ht="12.75" customHeight="1">
      <c r="E797" s="7"/>
      <c r="F797" s="7"/>
      <c r="G797" s="7"/>
      <c r="H797" s="7"/>
      <c r="I797" s="7"/>
      <c r="K797" s="9"/>
    </row>
    <row r="798" spans="5:11" ht="12.75" customHeight="1">
      <c r="E798" s="7"/>
      <c r="F798" s="7"/>
      <c r="G798" s="7"/>
      <c r="H798" s="7"/>
      <c r="I798" s="7"/>
      <c r="K798" s="9"/>
    </row>
    <row r="799" spans="5:11" ht="12.75" customHeight="1">
      <c r="E799" s="7"/>
      <c r="F799" s="7"/>
      <c r="G799" s="7"/>
      <c r="H799" s="7"/>
      <c r="I799" s="7"/>
      <c r="K799" s="9"/>
    </row>
    <row r="800" spans="5:11" ht="12.75" customHeight="1">
      <c r="E800" s="7"/>
      <c r="F800" s="7"/>
      <c r="G800" s="7"/>
      <c r="H800" s="7"/>
      <c r="I800" s="7"/>
      <c r="K800" s="9"/>
    </row>
    <row r="801" spans="5:11" ht="12.75" customHeight="1">
      <c r="E801" s="7"/>
      <c r="F801" s="7"/>
      <c r="G801" s="7"/>
      <c r="H801" s="7"/>
      <c r="I801" s="7"/>
      <c r="K801" s="9"/>
    </row>
    <row r="802" spans="5:11" ht="12.75" customHeight="1">
      <c r="E802" s="7"/>
      <c r="F802" s="7"/>
      <c r="G802" s="7"/>
      <c r="H802" s="7"/>
      <c r="I802" s="7"/>
      <c r="K802" s="9"/>
    </row>
    <row r="803" spans="5:11" ht="12.75" customHeight="1">
      <c r="E803" s="7"/>
      <c r="F803" s="7"/>
      <c r="G803" s="7"/>
      <c r="H803" s="7"/>
      <c r="I803" s="7"/>
      <c r="K803" s="9"/>
    </row>
    <row r="804" spans="5:11" ht="12.75" customHeight="1">
      <c r="E804" s="7"/>
      <c r="F804" s="7"/>
      <c r="G804" s="7"/>
      <c r="H804" s="7"/>
      <c r="I804" s="7"/>
      <c r="K804" s="9"/>
    </row>
    <row r="805" spans="5:11" ht="12.75" customHeight="1">
      <c r="E805" s="7"/>
      <c r="F805" s="7"/>
      <c r="G805" s="7"/>
      <c r="H805" s="7"/>
      <c r="I805" s="7"/>
      <c r="K805" s="9"/>
    </row>
    <row r="806" spans="5:11" ht="12.75" customHeight="1">
      <c r="E806" s="7"/>
      <c r="F806" s="7"/>
      <c r="G806" s="7"/>
      <c r="H806" s="7"/>
      <c r="I806" s="7"/>
      <c r="K806" s="9"/>
    </row>
    <row r="807" spans="5:11" ht="12.75" customHeight="1">
      <c r="E807" s="7"/>
      <c r="F807" s="7"/>
      <c r="G807" s="7"/>
      <c r="H807" s="7"/>
      <c r="I807" s="7"/>
      <c r="K807" s="9"/>
    </row>
    <row r="808" spans="5:11" ht="12.75" customHeight="1">
      <c r="E808" s="7"/>
      <c r="F808" s="7"/>
      <c r="G808" s="7"/>
      <c r="H808" s="7"/>
      <c r="I808" s="7"/>
      <c r="K808" s="9"/>
    </row>
    <row r="809" spans="5:11" ht="12.75" customHeight="1">
      <c r="E809" s="7"/>
      <c r="F809" s="7"/>
      <c r="G809" s="7"/>
      <c r="H809" s="7"/>
      <c r="I809" s="7"/>
      <c r="K809" s="9"/>
    </row>
    <row r="810" spans="5:11" ht="12.75" customHeight="1">
      <c r="E810" s="7"/>
      <c r="F810" s="7"/>
      <c r="G810" s="7"/>
      <c r="H810" s="7"/>
      <c r="I810" s="7"/>
      <c r="K810" s="9"/>
    </row>
    <row r="811" spans="5:11" ht="12.75" customHeight="1">
      <c r="E811" s="7"/>
      <c r="F811" s="7"/>
      <c r="G811" s="7"/>
      <c r="H811" s="7"/>
      <c r="I811" s="7"/>
      <c r="K811" s="9"/>
    </row>
    <row r="812" spans="5:11" ht="12.75" customHeight="1">
      <c r="E812" s="7"/>
      <c r="F812" s="7"/>
      <c r="G812" s="7"/>
      <c r="H812" s="7"/>
      <c r="I812" s="7"/>
      <c r="K812" s="9"/>
    </row>
    <row r="813" spans="5:11" ht="12.75" customHeight="1">
      <c r="E813" s="7"/>
      <c r="F813" s="7"/>
      <c r="G813" s="7"/>
      <c r="H813" s="7"/>
      <c r="I813" s="7"/>
      <c r="K813" s="9"/>
    </row>
    <row r="814" spans="5:11" ht="12.75" customHeight="1">
      <c r="E814" s="7"/>
      <c r="F814" s="7"/>
      <c r="G814" s="7"/>
      <c r="H814" s="7"/>
      <c r="I814" s="7"/>
      <c r="K814" s="9"/>
    </row>
    <row r="815" spans="5:11" ht="12.75" customHeight="1">
      <c r="E815" s="7"/>
      <c r="F815" s="7"/>
      <c r="G815" s="7"/>
      <c r="H815" s="7"/>
      <c r="I815" s="7"/>
      <c r="K815" s="9"/>
    </row>
    <row r="816" spans="5:11" ht="12.75" customHeight="1">
      <c r="E816" s="7"/>
      <c r="F816" s="7"/>
      <c r="G816" s="7"/>
      <c r="H816" s="7"/>
      <c r="I816" s="7"/>
      <c r="K816" s="9"/>
    </row>
    <row r="817" spans="5:11" ht="12.75" customHeight="1">
      <c r="E817" s="7"/>
      <c r="F817" s="7"/>
      <c r="G817" s="7"/>
      <c r="H817" s="7"/>
      <c r="I817" s="7"/>
      <c r="K817" s="9"/>
    </row>
    <row r="818" spans="5:11" ht="12.75" customHeight="1">
      <c r="E818" s="7"/>
      <c r="F818" s="7"/>
      <c r="G818" s="7"/>
      <c r="H818" s="7"/>
      <c r="I818" s="7"/>
      <c r="K818" s="9"/>
    </row>
    <row r="819" spans="5:11" ht="12.75" customHeight="1">
      <c r="E819" s="7"/>
      <c r="F819" s="7"/>
      <c r="G819" s="7"/>
      <c r="H819" s="7"/>
      <c r="I819" s="7"/>
      <c r="K819" s="9"/>
    </row>
    <row r="820" spans="5:11" ht="12.75" customHeight="1">
      <c r="E820" s="7"/>
      <c r="F820" s="7"/>
      <c r="G820" s="7"/>
      <c r="H820" s="7"/>
      <c r="I820" s="7"/>
      <c r="K820" s="9"/>
    </row>
    <row r="821" spans="5:11" ht="12.75" customHeight="1">
      <c r="E821" s="7"/>
      <c r="F821" s="7"/>
      <c r="G821" s="7"/>
      <c r="H821" s="7"/>
      <c r="I821" s="7"/>
      <c r="K821" s="9"/>
    </row>
    <row r="822" spans="5:11" ht="12.75" customHeight="1">
      <c r="E822" s="7"/>
      <c r="F822" s="7"/>
      <c r="G822" s="7"/>
      <c r="H822" s="7"/>
      <c r="I822" s="7"/>
      <c r="K822" s="9"/>
    </row>
    <row r="823" spans="5:11" ht="12.75" customHeight="1">
      <c r="E823" s="7"/>
      <c r="F823" s="7"/>
      <c r="G823" s="7"/>
      <c r="H823" s="7"/>
      <c r="I823" s="7"/>
      <c r="K823" s="9"/>
    </row>
    <row r="824" spans="5:11" ht="12.75" customHeight="1">
      <c r="E824" s="7"/>
      <c r="F824" s="7"/>
      <c r="G824" s="7"/>
      <c r="H824" s="7"/>
      <c r="I824" s="7"/>
      <c r="K824" s="9"/>
    </row>
    <row r="825" spans="5:11" ht="12.75" customHeight="1">
      <c r="E825" s="7"/>
      <c r="F825" s="7"/>
      <c r="G825" s="7"/>
      <c r="H825" s="7"/>
      <c r="I825" s="7"/>
      <c r="K825" s="9"/>
    </row>
    <row r="826" spans="5:11" ht="12.75" customHeight="1">
      <c r="E826" s="7"/>
      <c r="F826" s="7"/>
      <c r="G826" s="7"/>
      <c r="H826" s="7"/>
      <c r="I826" s="7"/>
      <c r="K826" s="9"/>
    </row>
    <row r="827" spans="5:11" ht="12.75" customHeight="1">
      <c r="E827" s="7"/>
      <c r="F827" s="7"/>
      <c r="G827" s="7"/>
      <c r="H827" s="7"/>
      <c r="I827" s="7"/>
      <c r="K827" s="9"/>
    </row>
    <row r="828" spans="5:11" ht="12.75" customHeight="1">
      <c r="E828" s="7"/>
      <c r="F828" s="7"/>
      <c r="G828" s="7"/>
      <c r="H828" s="7"/>
      <c r="I828" s="7"/>
      <c r="K828" s="9"/>
    </row>
    <row r="829" spans="5:11" ht="12.75" customHeight="1">
      <c r="E829" s="7"/>
      <c r="F829" s="7"/>
      <c r="G829" s="7"/>
      <c r="H829" s="7"/>
      <c r="I829" s="7"/>
      <c r="K829" s="9"/>
    </row>
    <row r="830" spans="5:11" ht="12.75" customHeight="1">
      <c r="E830" s="7"/>
      <c r="F830" s="7"/>
      <c r="G830" s="7"/>
      <c r="H830" s="7"/>
      <c r="I830" s="7"/>
      <c r="K830" s="9"/>
    </row>
    <row r="831" spans="5:11" ht="12.75" customHeight="1">
      <c r="E831" s="7"/>
      <c r="F831" s="7"/>
      <c r="G831" s="7"/>
      <c r="H831" s="7"/>
      <c r="I831" s="7"/>
      <c r="K831" s="9"/>
    </row>
    <row r="832" spans="5:11" ht="12.75" customHeight="1">
      <c r="E832" s="7"/>
      <c r="F832" s="7"/>
      <c r="G832" s="7"/>
      <c r="H832" s="7"/>
      <c r="I832" s="7"/>
      <c r="K832" s="9"/>
    </row>
    <row r="833" spans="5:11" ht="12.75" customHeight="1">
      <c r="E833" s="7"/>
      <c r="F833" s="7"/>
      <c r="G833" s="7"/>
      <c r="H833" s="7"/>
      <c r="I833" s="7"/>
      <c r="K833" s="9"/>
    </row>
    <row r="834" spans="5:11" ht="12.75" customHeight="1">
      <c r="E834" s="7"/>
      <c r="F834" s="7"/>
      <c r="G834" s="7"/>
      <c r="H834" s="7"/>
      <c r="I834" s="7"/>
      <c r="K834" s="9"/>
    </row>
    <row r="835" spans="5:11" ht="12.75" customHeight="1">
      <c r="E835" s="7"/>
      <c r="F835" s="7"/>
      <c r="G835" s="7"/>
      <c r="H835" s="7"/>
      <c r="I835" s="7"/>
      <c r="K835" s="9"/>
    </row>
    <row r="836" spans="5:11" ht="12.75" customHeight="1">
      <c r="E836" s="7"/>
      <c r="F836" s="7"/>
      <c r="G836" s="7"/>
      <c r="H836" s="7"/>
      <c r="I836" s="7"/>
      <c r="K836" s="9"/>
    </row>
    <row r="837" spans="5:11" ht="12.75" customHeight="1">
      <c r="E837" s="7"/>
      <c r="F837" s="7"/>
      <c r="G837" s="7"/>
      <c r="H837" s="7"/>
      <c r="I837" s="7"/>
      <c r="K837" s="9"/>
    </row>
    <row r="838" spans="5:11" ht="12.75" customHeight="1">
      <c r="E838" s="7"/>
      <c r="F838" s="7"/>
      <c r="G838" s="7"/>
      <c r="H838" s="7"/>
      <c r="I838" s="7"/>
      <c r="K838" s="9"/>
    </row>
    <row r="839" spans="5:11" ht="12.75" customHeight="1">
      <c r="E839" s="7"/>
      <c r="F839" s="7"/>
      <c r="G839" s="7"/>
      <c r="H839" s="7"/>
      <c r="I839" s="7"/>
      <c r="K839" s="9"/>
    </row>
    <row r="840" spans="5:11" ht="12.75" customHeight="1">
      <c r="E840" s="7"/>
      <c r="F840" s="7"/>
      <c r="G840" s="7"/>
      <c r="H840" s="7"/>
      <c r="I840" s="7"/>
      <c r="K840" s="9"/>
    </row>
    <row r="841" spans="5:11" ht="12.75" customHeight="1">
      <c r="E841" s="7"/>
      <c r="F841" s="7"/>
      <c r="G841" s="7"/>
      <c r="H841" s="7"/>
      <c r="I841" s="7"/>
      <c r="K841" s="9"/>
    </row>
    <row r="842" spans="5:11" ht="12.75" customHeight="1">
      <c r="E842" s="7"/>
      <c r="F842" s="7"/>
      <c r="G842" s="7"/>
      <c r="H842" s="7"/>
      <c r="I842" s="7"/>
      <c r="K842" s="9"/>
    </row>
    <row r="843" spans="5:11" ht="12.75" customHeight="1">
      <c r="E843" s="7"/>
      <c r="F843" s="7"/>
      <c r="G843" s="7"/>
      <c r="H843" s="7"/>
      <c r="I843" s="7"/>
      <c r="K843" s="9"/>
    </row>
    <row r="844" spans="5:11" ht="12.75" customHeight="1">
      <c r="E844" s="7"/>
      <c r="F844" s="7"/>
      <c r="G844" s="7"/>
      <c r="H844" s="7"/>
      <c r="I844" s="7"/>
      <c r="K844" s="9"/>
    </row>
    <row r="845" spans="5:11" ht="12.75" customHeight="1">
      <c r="E845" s="7"/>
      <c r="F845" s="7"/>
      <c r="G845" s="7"/>
      <c r="H845" s="7"/>
      <c r="I845" s="7"/>
      <c r="K845" s="9"/>
    </row>
    <row r="846" spans="5:11" ht="12.75" customHeight="1">
      <c r="E846" s="7"/>
      <c r="F846" s="7"/>
      <c r="G846" s="7"/>
      <c r="H846" s="7"/>
      <c r="I846" s="7"/>
      <c r="K846" s="9"/>
    </row>
    <row r="847" spans="5:11" ht="12.75" customHeight="1">
      <c r="E847" s="7"/>
      <c r="F847" s="7"/>
      <c r="G847" s="7"/>
      <c r="H847" s="7"/>
      <c r="I847" s="7"/>
      <c r="K847" s="9"/>
    </row>
    <row r="848" spans="5:11" ht="12.75" customHeight="1">
      <c r="E848" s="7"/>
      <c r="F848" s="7"/>
      <c r="G848" s="7"/>
      <c r="H848" s="7"/>
      <c r="I848" s="7"/>
      <c r="K848" s="9"/>
    </row>
    <row r="849" spans="5:11" ht="12.75" customHeight="1">
      <c r="E849" s="7"/>
      <c r="F849" s="7"/>
      <c r="G849" s="7"/>
      <c r="H849" s="7"/>
      <c r="I849" s="7"/>
      <c r="K849" s="9"/>
    </row>
    <row r="850" spans="5:11" ht="12.75" customHeight="1">
      <c r="E850" s="7"/>
      <c r="F850" s="7"/>
      <c r="G850" s="7"/>
      <c r="H850" s="7"/>
      <c r="I850" s="7"/>
      <c r="K850" s="9"/>
    </row>
    <row r="851" spans="5:11" ht="12.75" customHeight="1">
      <c r="E851" s="7"/>
      <c r="F851" s="7"/>
      <c r="G851" s="7"/>
      <c r="H851" s="7"/>
      <c r="I851" s="7"/>
      <c r="K851" s="9"/>
    </row>
    <row r="852" spans="5:11" ht="12.75" customHeight="1">
      <c r="E852" s="7"/>
      <c r="F852" s="7"/>
      <c r="G852" s="7"/>
      <c r="H852" s="7"/>
      <c r="I852" s="7"/>
      <c r="K852" s="9"/>
    </row>
    <row r="853" spans="5:11" ht="12.75" customHeight="1">
      <c r="E853" s="7"/>
      <c r="F853" s="7"/>
      <c r="G853" s="7"/>
      <c r="H853" s="7"/>
      <c r="I853" s="7"/>
      <c r="K853" s="9"/>
    </row>
    <row r="854" spans="5:11" ht="12.75" customHeight="1">
      <c r="E854" s="7"/>
      <c r="F854" s="7"/>
      <c r="G854" s="7"/>
      <c r="H854" s="7"/>
      <c r="I854" s="7"/>
      <c r="K854" s="9"/>
    </row>
    <row r="855" spans="5:11" ht="12.75" customHeight="1">
      <c r="E855" s="7"/>
      <c r="F855" s="7"/>
      <c r="G855" s="7"/>
      <c r="H855" s="7"/>
      <c r="I855" s="7"/>
      <c r="K855" s="9"/>
    </row>
    <row r="856" spans="5:11" ht="12.75" customHeight="1">
      <c r="E856" s="7"/>
      <c r="F856" s="7"/>
      <c r="G856" s="7"/>
      <c r="H856" s="7"/>
      <c r="I856" s="7"/>
      <c r="K856" s="9"/>
    </row>
    <row r="857" spans="5:11" ht="12.75" customHeight="1">
      <c r="E857" s="7"/>
      <c r="F857" s="7"/>
      <c r="G857" s="7"/>
      <c r="H857" s="7"/>
      <c r="I857" s="7"/>
      <c r="K857" s="9"/>
    </row>
    <row r="858" spans="5:11" ht="12.75" customHeight="1">
      <c r="E858" s="7"/>
      <c r="F858" s="7"/>
      <c r="G858" s="7"/>
      <c r="H858" s="7"/>
      <c r="I858" s="7"/>
      <c r="K858" s="9"/>
    </row>
    <row r="859" spans="5:11" ht="12.75" customHeight="1">
      <c r="E859" s="7"/>
      <c r="F859" s="7"/>
      <c r="G859" s="7"/>
      <c r="H859" s="7"/>
      <c r="I859" s="7"/>
      <c r="K859" s="9"/>
    </row>
    <row r="860" spans="5:11" ht="12.75" customHeight="1">
      <c r="E860" s="7"/>
      <c r="F860" s="7"/>
      <c r="G860" s="7"/>
      <c r="H860" s="7"/>
      <c r="I860" s="7"/>
      <c r="K860" s="9"/>
    </row>
    <row r="861" spans="5:11" ht="12.75" customHeight="1">
      <c r="E861" s="7"/>
      <c r="F861" s="7"/>
      <c r="G861" s="7"/>
      <c r="H861" s="7"/>
      <c r="I861" s="7"/>
      <c r="K861" s="9"/>
    </row>
    <row r="862" spans="5:11" ht="12.75" customHeight="1">
      <c r="E862" s="7"/>
      <c r="F862" s="7"/>
      <c r="G862" s="7"/>
      <c r="H862" s="7"/>
      <c r="I862" s="7"/>
      <c r="K862" s="9"/>
    </row>
    <row r="863" spans="5:11" ht="12.75" customHeight="1">
      <c r="E863" s="7"/>
      <c r="F863" s="7"/>
      <c r="G863" s="7"/>
      <c r="H863" s="7"/>
      <c r="I863" s="7"/>
      <c r="K863" s="9"/>
    </row>
    <row r="864" spans="5:11" ht="12.75" customHeight="1">
      <c r="E864" s="7"/>
      <c r="F864" s="7"/>
      <c r="G864" s="7"/>
      <c r="H864" s="7"/>
      <c r="I864" s="7"/>
      <c r="K864" s="9"/>
    </row>
    <row r="865" spans="5:11" ht="12.75" customHeight="1">
      <c r="E865" s="7"/>
      <c r="F865" s="7"/>
      <c r="G865" s="7"/>
      <c r="H865" s="7"/>
      <c r="I865" s="7"/>
      <c r="K865" s="9"/>
    </row>
    <row r="866" spans="5:11" ht="12.75" customHeight="1">
      <c r="E866" s="7"/>
      <c r="F866" s="7"/>
      <c r="G866" s="7"/>
      <c r="H866" s="7"/>
      <c r="I866" s="7"/>
      <c r="K866" s="9"/>
    </row>
    <row r="867" spans="5:11" ht="12.75" customHeight="1">
      <c r="E867" s="7"/>
      <c r="F867" s="7"/>
      <c r="G867" s="7"/>
      <c r="H867" s="7"/>
      <c r="I867" s="7"/>
      <c r="K867" s="9"/>
    </row>
    <row r="868" spans="5:11" ht="12.75" customHeight="1">
      <c r="E868" s="7"/>
      <c r="F868" s="7"/>
      <c r="G868" s="7"/>
      <c r="H868" s="7"/>
      <c r="I868" s="7"/>
      <c r="K868" s="9"/>
    </row>
    <row r="869" spans="5:11" ht="12.75" customHeight="1">
      <c r="E869" s="7"/>
      <c r="F869" s="7"/>
      <c r="G869" s="7"/>
      <c r="H869" s="7"/>
      <c r="I869" s="7"/>
      <c r="K869" s="9"/>
    </row>
    <row r="870" spans="5:11" ht="12.75" customHeight="1">
      <c r="E870" s="7"/>
      <c r="F870" s="7"/>
      <c r="G870" s="7"/>
      <c r="H870" s="7"/>
      <c r="I870" s="7"/>
      <c r="K870" s="9"/>
    </row>
    <row r="871" spans="5:11" ht="12.75" customHeight="1">
      <c r="E871" s="7"/>
      <c r="F871" s="7"/>
      <c r="G871" s="7"/>
      <c r="H871" s="7"/>
      <c r="I871" s="7"/>
      <c r="K871" s="9"/>
    </row>
    <row r="872" spans="5:11" ht="12.75" customHeight="1">
      <c r="E872" s="7"/>
      <c r="F872" s="7"/>
      <c r="G872" s="7"/>
      <c r="H872" s="7"/>
      <c r="I872" s="7"/>
      <c r="K872" s="9"/>
    </row>
    <row r="873" spans="5:11" ht="12.75" customHeight="1">
      <c r="E873" s="7"/>
      <c r="F873" s="7"/>
      <c r="G873" s="7"/>
      <c r="H873" s="7"/>
      <c r="I873" s="7"/>
      <c r="K873" s="9"/>
    </row>
    <row r="874" spans="5:11" ht="12.75" customHeight="1">
      <c r="E874" s="7"/>
      <c r="F874" s="7"/>
      <c r="G874" s="7"/>
      <c r="H874" s="7"/>
      <c r="I874" s="7"/>
      <c r="K874" s="9"/>
    </row>
    <row r="875" spans="5:11" ht="12.75" customHeight="1">
      <c r="E875" s="7"/>
      <c r="F875" s="7"/>
      <c r="G875" s="7"/>
      <c r="H875" s="7"/>
      <c r="I875" s="7"/>
      <c r="K875" s="9"/>
    </row>
    <row r="876" spans="5:11" ht="12.75" customHeight="1">
      <c r="E876" s="7"/>
      <c r="F876" s="7"/>
      <c r="G876" s="7"/>
      <c r="H876" s="7"/>
      <c r="I876" s="7"/>
      <c r="K876" s="9"/>
    </row>
    <row r="877" spans="5:11" ht="12.75" customHeight="1">
      <c r="E877" s="7"/>
      <c r="F877" s="7"/>
      <c r="G877" s="7"/>
      <c r="H877" s="7"/>
      <c r="I877" s="7"/>
      <c r="K877" s="9"/>
    </row>
    <row r="878" spans="5:11" ht="12.75" customHeight="1">
      <c r="E878" s="7"/>
      <c r="F878" s="7"/>
      <c r="G878" s="7"/>
      <c r="H878" s="7"/>
      <c r="I878" s="7"/>
      <c r="K878" s="9"/>
    </row>
    <row r="879" spans="5:11" ht="12.75" customHeight="1">
      <c r="E879" s="7"/>
      <c r="F879" s="7"/>
      <c r="G879" s="7"/>
      <c r="H879" s="7"/>
      <c r="I879" s="7"/>
      <c r="K879" s="9"/>
    </row>
    <row r="880" spans="5:11" ht="12.75" customHeight="1">
      <c r="E880" s="7"/>
      <c r="F880" s="7"/>
      <c r="G880" s="7"/>
      <c r="H880" s="7"/>
      <c r="I880" s="7"/>
      <c r="K880" s="9"/>
    </row>
    <row r="881" spans="5:11" ht="12.75" customHeight="1">
      <c r="E881" s="7"/>
      <c r="F881" s="7"/>
      <c r="G881" s="7"/>
      <c r="H881" s="7"/>
      <c r="I881" s="7"/>
      <c r="K881" s="9"/>
    </row>
    <row r="882" spans="5:11" ht="12.75" customHeight="1">
      <c r="E882" s="7"/>
      <c r="F882" s="7"/>
      <c r="G882" s="7"/>
      <c r="H882" s="7"/>
      <c r="I882" s="7"/>
      <c r="K882" s="9"/>
    </row>
    <row r="883" spans="5:11" ht="12.75" customHeight="1">
      <c r="E883" s="7"/>
      <c r="F883" s="7"/>
      <c r="G883" s="7"/>
      <c r="H883" s="7"/>
      <c r="I883" s="7"/>
      <c r="K883" s="9"/>
    </row>
    <row r="884" spans="5:11" ht="12.75" customHeight="1">
      <c r="E884" s="7"/>
      <c r="F884" s="7"/>
      <c r="G884" s="7"/>
      <c r="H884" s="7"/>
      <c r="I884" s="7"/>
      <c r="K884" s="9"/>
    </row>
    <row r="885" spans="5:11" ht="12.75" customHeight="1">
      <c r="E885" s="7"/>
      <c r="F885" s="7"/>
      <c r="G885" s="7"/>
      <c r="H885" s="7"/>
      <c r="I885" s="7"/>
      <c r="K885" s="9"/>
    </row>
    <row r="886" spans="5:11" ht="12.75" customHeight="1">
      <c r="E886" s="7"/>
      <c r="F886" s="7"/>
      <c r="G886" s="7"/>
      <c r="H886" s="7"/>
      <c r="I886" s="7"/>
      <c r="K886" s="9"/>
    </row>
    <row r="887" spans="5:11" ht="12.75" customHeight="1">
      <c r="E887" s="7"/>
      <c r="F887" s="7"/>
      <c r="G887" s="7"/>
      <c r="H887" s="7"/>
      <c r="I887" s="7"/>
      <c r="K887" s="9"/>
    </row>
    <row r="888" spans="5:11" ht="12.75" customHeight="1">
      <c r="E888" s="7"/>
      <c r="F888" s="7"/>
      <c r="G888" s="7"/>
      <c r="H888" s="7"/>
      <c r="I888" s="7"/>
      <c r="K888" s="9"/>
    </row>
    <row r="889" spans="5:11" ht="12.75" customHeight="1">
      <c r="E889" s="7"/>
      <c r="F889" s="7"/>
      <c r="G889" s="7"/>
      <c r="H889" s="7"/>
      <c r="I889" s="7"/>
      <c r="K889" s="9"/>
    </row>
    <row r="890" spans="5:11" ht="12.75" customHeight="1">
      <c r="E890" s="7"/>
      <c r="F890" s="7"/>
      <c r="G890" s="7"/>
      <c r="H890" s="7"/>
      <c r="I890" s="7"/>
      <c r="K890" s="9"/>
    </row>
    <row r="891" spans="5:11" ht="12.75" customHeight="1">
      <c r="E891" s="7"/>
      <c r="F891" s="7"/>
      <c r="G891" s="7"/>
      <c r="H891" s="7"/>
      <c r="I891" s="7"/>
      <c r="K891" s="9"/>
    </row>
    <row r="892" spans="5:11" ht="12.75" customHeight="1">
      <c r="E892" s="7"/>
      <c r="F892" s="7"/>
      <c r="G892" s="7"/>
      <c r="H892" s="7"/>
      <c r="I892" s="7"/>
      <c r="K892" s="9"/>
    </row>
    <row r="893" spans="5:11" ht="12.75" customHeight="1">
      <c r="E893" s="7"/>
      <c r="F893" s="7"/>
      <c r="G893" s="7"/>
      <c r="H893" s="7"/>
      <c r="I893" s="7"/>
      <c r="K893" s="9"/>
    </row>
    <row r="894" spans="5:11" ht="12.75" customHeight="1">
      <c r="E894" s="7"/>
      <c r="F894" s="7"/>
      <c r="G894" s="7"/>
      <c r="H894" s="7"/>
      <c r="I894" s="7"/>
      <c r="K894" s="9"/>
    </row>
    <row r="895" spans="5:11" ht="12.75" customHeight="1">
      <c r="E895" s="7"/>
      <c r="F895" s="7"/>
      <c r="G895" s="7"/>
      <c r="H895" s="7"/>
      <c r="I895" s="7"/>
      <c r="K895" s="9"/>
    </row>
    <row r="896" spans="5:11" ht="12.75" customHeight="1">
      <c r="E896" s="7"/>
      <c r="F896" s="7"/>
      <c r="G896" s="7"/>
      <c r="H896" s="7"/>
      <c r="I896" s="7"/>
      <c r="K896" s="9"/>
    </row>
    <row r="897" spans="5:11" ht="12.75" customHeight="1">
      <c r="E897" s="7"/>
      <c r="F897" s="7"/>
      <c r="G897" s="7"/>
      <c r="H897" s="7"/>
      <c r="I897" s="7"/>
      <c r="K897" s="9"/>
    </row>
    <row r="898" spans="5:11" ht="12.75" customHeight="1">
      <c r="E898" s="7"/>
      <c r="F898" s="7"/>
      <c r="G898" s="7"/>
      <c r="H898" s="7"/>
      <c r="I898" s="7"/>
      <c r="K898" s="9"/>
    </row>
    <row r="899" spans="5:11" ht="12.75" customHeight="1">
      <c r="E899" s="7"/>
      <c r="F899" s="7"/>
      <c r="G899" s="7"/>
      <c r="H899" s="7"/>
      <c r="I899" s="7"/>
      <c r="K899" s="9"/>
    </row>
    <row r="900" spans="5:11" ht="12.75" customHeight="1">
      <c r="E900" s="7"/>
      <c r="F900" s="7"/>
      <c r="G900" s="7"/>
      <c r="H900" s="7"/>
      <c r="I900" s="7"/>
      <c r="K900" s="9"/>
    </row>
    <row r="901" spans="5:11" ht="12.75" customHeight="1">
      <c r="E901" s="7"/>
      <c r="F901" s="7"/>
      <c r="G901" s="7"/>
      <c r="H901" s="7"/>
      <c r="I901" s="7"/>
      <c r="K901" s="9"/>
    </row>
    <row r="902" spans="5:11" ht="12.75" customHeight="1">
      <c r="E902" s="7"/>
      <c r="F902" s="7"/>
      <c r="G902" s="7"/>
      <c r="H902" s="7"/>
      <c r="I902" s="7"/>
      <c r="K902" s="9"/>
    </row>
    <row r="903" spans="5:11" ht="12.75" customHeight="1">
      <c r="E903" s="7"/>
      <c r="F903" s="7"/>
      <c r="G903" s="7"/>
      <c r="H903" s="7"/>
      <c r="I903" s="7"/>
      <c r="K903" s="9"/>
    </row>
    <row r="904" spans="5:11" ht="12.75" customHeight="1">
      <c r="E904" s="7"/>
      <c r="F904" s="7"/>
      <c r="G904" s="7"/>
      <c r="H904" s="7"/>
      <c r="I904" s="7"/>
      <c r="K904" s="9"/>
    </row>
    <row r="905" spans="5:11" ht="12.75" customHeight="1">
      <c r="E905" s="7"/>
      <c r="F905" s="7"/>
      <c r="G905" s="7"/>
      <c r="H905" s="7"/>
      <c r="I905" s="7"/>
      <c r="K905" s="9"/>
    </row>
    <row r="906" spans="5:11" ht="12.75" customHeight="1">
      <c r="E906" s="7"/>
      <c r="F906" s="7"/>
      <c r="G906" s="7"/>
      <c r="H906" s="7"/>
      <c r="I906" s="7"/>
      <c r="K906" s="9"/>
    </row>
    <row r="907" spans="5:11" ht="12.75" customHeight="1">
      <c r="E907" s="7"/>
      <c r="F907" s="7"/>
      <c r="G907" s="7"/>
      <c r="H907" s="7"/>
      <c r="I907" s="7"/>
      <c r="K907" s="9"/>
    </row>
    <row r="908" spans="5:11" ht="12.75" customHeight="1">
      <c r="E908" s="7"/>
      <c r="F908" s="7"/>
      <c r="G908" s="7"/>
      <c r="H908" s="7"/>
      <c r="I908" s="7"/>
      <c r="K908" s="9"/>
    </row>
    <row r="909" spans="5:11" ht="12.75" customHeight="1">
      <c r="E909" s="7"/>
      <c r="F909" s="7"/>
      <c r="G909" s="7"/>
      <c r="H909" s="7"/>
      <c r="I909" s="7"/>
      <c r="K909" s="9"/>
    </row>
    <row r="910" spans="5:11" ht="12.75" customHeight="1">
      <c r="E910" s="7"/>
      <c r="F910" s="7"/>
      <c r="G910" s="7"/>
      <c r="H910" s="7"/>
      <c r="I910" s="7"/>
      <c r="K910" s="9"/>
    </row>
    <row r="911" spans="5:11" ht="12.75" customHeight="1">
      <c r="E911" s="7"/>
      <c r="F911" s="7"/>
      <c r="G911" s="7"/>
      <c r="H911" s="7"/>
      <c r="I911" s="7"/>
      <c r="K911" s="9"/>
    </row>
    <row r="912" spans="5:11" ht="12.75" customHeight="1">
      <c r="E912" s="7"/>
      <c r="F912" s="7"/>
      <c r="G912" s="7"/>
      <c r="H912" s="7"/>
      <c r="I912" s="7"/>
      <c r="K912" s="9"/>
    </row>
    <row r="913" spans="5:11" ht="12.75" customHeight="1">
      <c r="E913" s="7"/>
      <c r="F913" s="7"/>
      <c r="G913" s="7"/>
      <c r="H913" s="7"/>
      <c r="I913" s="7"/>
      <c r="K913" s="9"/>
    </row>
    <row r="914" spans="5:11" ht="12.75" customHeight="1">
      <c r="E914" s="7"/>
      <c r="F914" s="7"/>
      <c r="G914" s="7"/>
      <c r="H914" s="7"/>
      <c r="I914" s="7"/>
      <c r="K914" s="9"/>
    </row>
    <row r="915" spans="5:11" ht="12.75" customHeight="1">
      <c r="E915" s="7"/>
      <c r="F915" s="7"/>
      <c r="G915" s="7"/>
      <c r="H915" s="7"/>
      <c r="I915" s="7"/>
      <c r="K915" s="9"/>
    </row>
    <row r="916" spans="5:11" ht="12.75" customHeight="1">
      <c r="E916" s="7"/>
      <c r="F916" s="7"/>
      <c r="G916" s="7"/>
      <c r="H916" s="7"/>
      <c r="I916" s="7"/>
      <c r="K916" s="9"/>
    </row>
    <row r="917" spans="5:11" ht="12.75" customHeight="1">
      <c r="E917" s="7"/>
      <c r="F917" s="7"/>
      <c r="G917" s="7"/>
      <c r="H917" s="7"/>
      <c r="I917" s="7"/>
      <c r="K917" s="9"/>
    </row>
    <row r="918" spans="5:11" ht="12.75" customHeight="1">
      <c r="E918" s="7"/>
      <c r="F918" s="7"/>
      <c r="G918" s="7"/>
      <c r="H918" s="7"/>
      <c r="I918" s="7"/>
      <c r="K918" s="9"/>
    </row>
    <row r="919" spans="5:11" ht="12.75" customHeight="1">
      <c r="E919" s="7"/>
      <c r="F919" s="7"/>
      <c r="G919" s="7"/>
      <c r="H919" s="7"/>
      <c r="I919" s="7"/>
      <c r="K919" s="9"/>
    </row>
    <row r="920" spans="5:11" ht="12.75" customHeight="1">
      <c r="E920" s="7"/>
      <c r="F920" s="7"/>
      <c r="G920" s="7"/>
      <c r="H920" s="7"/>
      <c r="I920" s="7"/>
      <c r="K920" s="9"/>
    </row>
    <row r="921" spans="5:11" ht="12.75" customHeight="1">
      <c r="E921" s="7"/>
      <c r="F921" s="7"/>
      <c r="G921" s="7"/>
      <c r="H921" s="7"/>
      <c r="I921" s="7"/>
      <c r="K921" s="9"/>
    </row>
    <row r="922" spans="5:11" ht="12.75" customHeight="1">
      <c r="E922" s="7"/>
      <c r="F922" s="7"/>
      <c r="G922" s="7"/>
      <c r="H922" s="7"/>
      <c r="I922" s="7"/>
      <c r="K922" s="9"/>
    </row>
    <row r="923" spans="5:11" ht="12.75" customHeight="1">
      <c r="E923" s="7"/>
      <c r="F923" s="7"/>
      <c r="G923" s="7"/>
      <c r="H923" s="7"/>
      <c r="I923" s="7"/>
      <c r="K923" s="9"/>
    </row>
    <row r="924" spans="5:11" ht="12.75" customHeight="1">
      <c r="E924" s="7"/>
      <c r="F924" s="7"/>
      <c r="G924" s="7"/>
      <c r="H924" s="7"/>
      <c r="I924" s="7"/>
      <c r="K924" s="9"/>
    </row>
    <row r="925" spans="5:11" ht="12.75" customHeight="1">
      <c r="E925" s="7"/>
      <c r="F925" s="7"/>
      <c r="G925" s="7"/>
      <c r="H925" s="7"/>
      <c r="I925" s="7"/>
      <c r="K925" s="9"/>
    </row>
    <row r="926" spans="5:11" ht="12.75" customHeight="1">
      <c r="E926" s="7"/>
      <c r="F926" s="7"/>
      <c r="G926" s="7"/>
      <c r="H926" s="7"/>
      <c r="I926" s="7"/>
      <c r="K926" s="9"/>
    </row>
    <row r="927" spans="5:11" ht="12.75" customHeight="1">
      <c r="E927" s="7"/>
      <c r="F927" s="7"/>
      <c r="G927" s="7"/>
      <c r="H927" s="7"/>
      <c r="I927" s="7"/>
      <c r="K927" s="9"/>
    </row>
    <row r="928" spans="5:11" ht="12.75" customHeight="1">
      <c r="E928" s="7"/>
      <c r="F928" s="7"/>
      <c r="G928" s="7"/>
      <c r="H928" s="7"/>
      <c r="I928" s="7"/>
      <c r="K928" s="9"/>
    </row>
    <row r="929" spans="5:11" ht="12.75" customHeight="1">
      <c r="E929" s="7"/>
      <c r="F929" s="7"/>
      <c r="G929" s="7"/>
      <c r="H929" s="7"/>
      <c r="I929" s="7"/>
      <c r="K929" s="9"/>
    </row>
    <row r="930" spans="5:11" ht="12.75" customHeight="1">
      <c r="E930" s="7"/>
      <c r="F930" s="7"/>
      <c r="G930" s="7"/>
      <c r="H930" s="7"/>
      <c r="I930" s="7"/>
      <c r="K930" s="9"/>
    </row>
    <row r="931" spans="5:11" ht="12.75" customHeight="1">
      <c r="E931" s="7"/>
      <c r="F931" s="7"/>
      <c r="G931" s="7"/>
      <c r="H931" s="7"/>
      <c r="I931" s="7"/>
      <c r="K931" s="9"/>
    </row>
    <row r="932" spans="5:11" ht="12.75" customHeight="1">
      <c r="E932" s="7"/>
      <c r="F932" s="7"/>
      <c r="G932" s="7"/>
      <c r="H932" s="7"/>
      <c r="I932" s="7"/>
      <c r="K932" s="9"/>
    </row>
    <row r="933" spans="5:11" ht="12.75" customHeight="1">
      <c r="E933" s="7"/>
      <c r="F933" s="7"/>
      <c r="G933" s="7"/>
      <c r="H933" s="7"/>
      <c r="I933" s="7"/>
      <c r="K933" s="9"/>
    </row>
    <row r="934" spans="5:11" ht="12.75" customHeight="1">
      <c r="E934" s="7"/>
      <c r="F934" s="7"/>
      <c r="G934" s="7"/>
      <c r="H934" s="7"/>
      <c r="I934" s="7"/>
      <c r="K934" s="9"/>
    </row>
    <row r="935" spans="5:11" ht="12.75" customHeight="1">
      <c r="E935" s="7"/>
      <c r="F935" s="7"/>
      <c r="G935" s="7"/>
      <c r="H935" s="7"/>
      <c r="I935" s="7"/>
      <c r="K935" s="9"/>
    </row>
    <row r="936" spans="5:11" ht="12.75" customHeight="1">
      <c r="E936" s="7"/>
      <c r="F936" s="7"/>
      <c r="G936" s="7"/>
      <c r="H936" s="7"/>
      <c r="I936" s="7"/>
      <c r="K936" s="9"/>
    </row>
    <row r="937" spans="5:11" ht="12.75" customHeight="1">
      <c r="E937" s="7"/>
      <c r="F937" s="7"/>
      <c r="G937" s="7"/>
      <c r="H937" s="7"/>
      <c r="I937" s="7"/>
      <c r="K937" s="9"/>
    </row>
    <row r="938" spans="5:11" ht="12.75" customHeight="1">
      <c r="E938" s="7"/>
      <c r="F938" s="7"/>
      <c r="G938" s="7"/>
      <c r="H938" s="7"/>
      <c r="I938" s="7"/>
      <c r="K938" s="9"/>
    </row>
    <row r="939" spans="5:11" ht="12.75" customHeight="1">
      <c r="E939" s="7"/>
      <c r="F939" s="7"/>
      <c r="G939" s="7"/>
      <c r="H939" s="7"/>
      <c r="I939" s="7"/>
      <c r="K939" s="9"/>
    </row>
    <row r="940" spans="5:11" ht="12.75" customHeight="1">
      <c r="E940" s="7"/>
      <c r="F940" s="7"/>
      <c r="G940" s="7"/>
      <c r="H940" s="7"/>
      <c r="I940" s="7"/>
      <c r="K940" s="9"/>
    </row>
    <row r="941" spans="5:11" ht="12.75" customHeight="1">
      <c r="E941" s="7"/>
      <c r="F941" s="7"/>
      <c r="G941" s="7"/>
      <c r="H941" s="7"/>
      <c r="I941" s="7"/>
      <c r="K941" s="9"/>
    </row>
    <row r="942" spans="5:11" ht="12.75" customHeight="1">
      <c r="E942" s="7"/>
      <c r="F942" s="7"/>
      <c r="G942" s="7"/>
      <c r="H942" s="7"/>
      <c r="I942" s="7"/>
      <c r="K942" s="9"/>
    </row>
    <row r="943" spans="5:11" ht="12.75" customHeight="1">
      <c r="E943" s="7"/>
      <c r="F943" s="7"/>
      <c r="G943" s="7"/>
      <c r="H943" s="7"/>
      <c r="I943" s="7"/>
      <c r="K943" s="9"/>
    </row>
    <row r="944" spans="5:11" ht="12.75" customHeight="1">
      <c r="E944" s="7"/>
      <c r="F944" s="7"/>
      <c r="G944" s="7"/>
      <c r="H944" s="7"/>
      <c r="I944" s="7"/>
      <c r="K944" s="9"/>
    </row>
    <row r="945" spans="5:11" ht="12.75" customHeight="1">
      <c r="E945" s="7"/>
      <c r="F945" s="7"/>
      <c r="G945" s="7"/>
      <c r="H945" s="7"/>
      <c r="I945" s="7"/>
      <c r="K945" s="9"/>
    </row>
    <row r="946" spans="5:11" ht="12.75" customHeight="1">
      <c r="E946" s="7"/>
      <c r="F946" s="7"/>
      <c r="G946" s="7"/>
      <c r="H946" s="7"/>
      <c r="I946" s="7"/>
      <c r="K946" s="9"/>
    </row>
    <row r="947" spans="5:11" ht="12.75" customHeight="1">
      <c r="E947" s="7"/>
      <c r="F947" s="7"/>
      <c r="G947" s="7"/>
      <c r="H947" s="7"/>
      <c r="I947" s="7"/>
      <c r="K947" s="9"/>
    </row>
    <row r="948" spans="5:11" ht="12.75" customHeight="1">
      <c r="E948" s="7"/>
      <c r="F948" s="7"/>
      <c r="G948" s="7"/>
      <c r="H948" s="7"/>
      <c r="I948" s="7"/>
      <c r="K948" s="9"/>
    </row>
    <row r="949" spans="5:11" ht="12.75" customHeight="1">
      <c r="E949" s="7"/>
      <c r="F949" s="7"/>
      <c r="G949" s="7"/>
      <c r="H949" s="7"/>
      <c r="I949" s="7"/>
      <c r="K949" s="9"/>
    </row>
    <row r="950" spans="5:11" ht="12.75" customHeight="1">
      <c r="E950" s="7"/>
      <c r="F950" s="7"/>
      <c r="G950" s="7"/>
      <c r="H950" s="7"/>
      <c r="I950" s="7"/>
      <c r="K950" s="9"/>
    </row>
    <row r="951" spans="5:11" ht="12.75" customHeight="1">
      <c r="E951" s="7"/>
      <c r="F951" s="7"/>
      <c r="G951" s="7"/>
      <c r="H951" s="7"/>
      <c r="I951" s="7"/>
      <c r="K951" s="9"/>
    </row>
    <row r="952" spans="5:11" ht="12.75" customHeight="1">
      <c r="E952" s="7"/>
      <c r="F952" s="7"/>
      <c r="G952" s="7"/>
      <c r="H952" s="7"/>
      <c r="I952" s="7"/>
      <c r="K952" s="9"/>
    </row>
    <row r="953" spans="5:11" ht="12.75" customHeight="1">
      <c r="E953" s="7"/>
      <c r="F953" s="7"/>
      <c r="G953" s="7"/>
      <c r="H953" s="7"/>
      <c r="I953" s="7"/>
      <c r="K953" s="9"/>
    </row>
    <row r="954" spans="5:11" ht="12.75" customHeight="1">
      <c r="E954" s="7"/>
      <c r="F954" s="7"/>
      <c r="G954" s="7"/>
      <c r="H954" s="7"/>
      <c r="I954" s="7"/>
      <c r="K954" s="9"/>
    </row>
    <row r="955" spans="5:11" ht="12.75" customHeight="1">
      <c r="E955" s="7"/>
      <c r="F955" s="7"/>
      <c r="G955" s="7"/>
      <c r="H955" s="7"/>
      <c r="I955" s="7"/>
      <c r="K955" s="9"/>
    </row>
    <row r="956" spans="5:11" ht="12.75" customHeight="1">
      <c r="E956" s="7"/>
      <c r="F956" s="7"/>
      <c r="G956" s="7"/>
      <c r="H956" s="7"/>
      <c r="I956" s="7"/>
      <c r="K956" s="9"/>
    </row>
    <row r="957" spans="5:11" ht="12.75" customHeight="1">
      <c r="E957" s="7"/>
      <c r="F957" s="7"/>
      <c r="G957" s="7"/>
      <c r="H957" s="7"/>
      <c r="I957" s="7"/>
      <c r="K957" s="9"/>
    </row>
    <row r="958" spans="5:11" ht="12.75" customHeight="1">
      <c r="E958" s="7"/>
      <c r="F958" s="7"/>
      <c r="G958" s="7"/>
      <c r="H958" s="7"/>
      <c r="I958" s="7"/>
      <c r="K958" s="9"/>
    </row>
    <row r="959" spans="5:11" ht="12.75" customHeight="1">
      <c r="E959" s="7"/>
      <c r="F959" s="7"/>
      <c r="G959" s="7"/>
      <c r="H959" s="7"/>
      <c r="I959" s="7"/>
      <c r="K959" s="9"/>
    </row>
    <row r="960" spans="5:11" ht="12.75" customHeight="1">
      <c r="E960" s="7"/>
      <c r="F960" s="7"/>
      <c r="G960" s="7"/>
      <c r="H960" s="7"/>
      <c r="I960" s="7"/>
      <c r="K960" s="9"/>
    </row>
    <row r="961" spans="5:11" ht="12.75" customHeight="1">
      <c r="E961" s="7"/>
      <c r="F961" s="7"/>
      <c r="G961" s="7"/>
      <c r="H961" s="7"/>
      <c r="I961" s="7"/>
      <c r="K961" s="9"/>
    </row>
    <row r="962" spans="5:11" ht="12.75" customHeight="1">
      <c r="E962" s="7"/>
      <c r="F962" s="7"/>
      <c r="G962" s="7"/>
      <c r="H962" s="7"/>
      <c r="I962" s="7"/>
      <c r="K962" s="9"/>
    </row>
    <row r="963" spans="5:11" ht="12.75" customHeight="1">
      <c r="E963" s="7"/>
      <c r="F963" s="7"/>
      <c r="G963" s="7"/>
      <c r="H963" s="7"/>
      <c r="I963" s="7"/>
      <c r="K963" s="9"/>
    </row>
    <row r="964" spans="5:11" ht="12.75" customHeight="1">
      <c r="E964" s="7"/>
      <c r="F964" s="7"/>
      <c r="G964" s="7"/>
      <c r="H964" s="7"/>
      <c r="I964" s="7"/>
      <c r="K964" s="9"/>
    </row>
    <row r="965" spans="5:11" ht="12.75" customHeight="1">
      <c r="E965" s="7"/>
      <c r="F965" s="7"/>
      <c r="G965" s="7"/>
      <c r="H965" s="7"/>
      <c r="I965" s="7"/>
      <c r="K965" s="9"/>
    </row>
    <row r="966" spans="5:11" ht="12.75" customHeight="1">
      <c r="E966" s="7"/>
      <c r="F966" s="7"/>
      <c r="G966" s="7"/>
      <c r="H966" s="7"/>
      <c r="I966" s="7"/>
      <c r="K966" s="9"/>
    </row>
    <row r="967" spans="5:11" ht="12.75" customHeight="1">
      <c r="E967" s="7"/>
      <c r="F967" s="7"/>
      <c r="G967" s="7"/>
      <c r="H967" s="7"/>
      <c r="I967" s="7"/>
      <c r="K967" s="9"/>
    </row>
    <row r="968" spans="5:11" ht="12.75" customHeight="1">
      <c r="E968" s="7"/>
      <c r="F968" s="7"/>
      <c r="G968" s="7"/>
      <c r="H968" s="7"/>
      <c r="I968" s="7"/>
      <c r="K968" s="9"/>
    </row>
    <row r="969" spans="5:11" ht="12.75" customHeight="1">
      <c r="E969" s="7"/>
      <c r="F969" s="7"/>
      <c r="G969" s="7"/>
      <c r="H969" s="7"/>
      <c r="I969" s="7"/>
      <c r="K969" s="9"/>
    </row>
    <row r="970" spans="5:11" ht="12.75" customHeight="1">
      <c r="E970" s="7"/>
      <c r="F970" s="7"/>
      <c r="G970" s="7"/>
      <c r="H970" s="7"/>
      <c r="I970" s="7"/>
      <c r="K970" s="9"/>
    </row>
    <row r="971" spans="5:11" ht="12.75" customHeight="1">
      <c r="E971" s="7"/>
      <c r="F971" s="7"/>
      <c r="G971" s="7"/>
      <c r="H971" s="7"/>
      <c r="I971" s="7"/>
      <c r="K971" s="9"/>
    </row>
    <row r="972" spans="5:11" ht="12.75" customHeight="1">
      <c r="E972" s="7"/>
      <c r="F972" s="7"/>
      <c r="G972" s="7"/>
      <c r="H972" s="7"/>
      <c r="I972" s="7"/>
      <c r="K972" s="9"/>
    </row>
    <row r="973" spans="5:11" ht="12.75" customHeight="1">
      <c r="E973" s="7"/>
      <c r="F973" s="7"/>
      <c r="G973" s="7"/>
      <c r="H973" s="7"/>
      <c r="I973" s="7"/>
      <c r="K973" s="9"/>
    </row>
    <row r="974" spans="5:11" ht="12.75" customHeight="1">
      <c r="E974" s="7"/>
      <c r="F974" s="7"/>
      <c r="G974" s="7"/>
      <c r="H974" s="7"/>
      <c r="I974" s="7"/>
      <c r="K974" s="9"/>
    </row>
    <row r="975" spans="5:11" ht="12.75" customHeight="1">
      <c r="E975" s="7"/>
      <c r="F975" s="7"/>
      <c r="G975" s="7"/>
      <c r="H975" s="7"/>
      <c r="I975" s="7"/>
      <c r="K975" s="9"/>
    </row>
    <row r="976" spans="5:11" ht="12.75" customHeight="1">
      <c r="E976" s="7"/>
      <c r="F976" s="7"/>
      <c r="G976" s="7"/>
      <c r="H976" s="7"/>
      <c r="I976" s="7"/>
      <c r="K976" s="9"/>
    </row>
    <row r="977" spans="5:11" ht="12.75" customHeight="1">
      <c r="E977" s="7"/>
      <c r="F977" s="7"/>
      <c r="G977" s="7"/>
      <c r="H977" s="7"/>
      <c r="I977" s="7"/>
      <c r="K977" s="9"/>
    </row>
    <row r="978" spans="5:11" ht="12.75" customHeight="1">
      <c r="E978" s="7"/>
      <c r="F978" s="7"/>
      <c r="G978" s="7"/>
      <c r="H978" s="7"/>
      <c r="I978" s="7"/>
      <c r="K978" s="9"/>
    </row>
    <row r="979" spans="5:11" ht="12.75" customHeight="1">
      <c r="E979" s="7"/>
      <c r="F979" s="7"/>
      <c r="G979" s="7"/>
      <c r="H979" s="7"/>
      <c r="I979" s="7"/>
      <c r="K979" s="9"/>
    </row>
    <row r="980" spans="5:11" ht="12.75" customHeight="1">
      <c r="E980" s="7"/>
      <c r="F980" s="7"/>
      <c r="G980" s="7"/>
      <c r="H980" s="7"/>
      <c r="I980" s="7"/>
      <c r="K980" s="9"/>
    </row>
    <row r="981" spans="5:11" ht="12.75" customHeight="1">
      <c r="E981" s="7"/>
      <c r="F981" s="7"/>
      <c r="G981" s="7"/>
      <c r="H981" s="7"/>
      <c r="I981" s="7"/>
      <c r="K981" s="9"/>
    </row>
    <row r="982" spans="5:11" ht="12.75" customHeight="1">
      <c r="E982" s="7"/>
      <c r="F982" s="7"/>
      <c r="G982" s="7"/>
      <c r="H982" s="7"/>
      <c r="I982" s="7"/>
      <c r="K982" s="9"/>
    </row>
    <row r="983" spans="5:11" ht="12.75" customHeight="1">
      <c r="E983" s="7"/>
      <c r="F983" s="7"/>
      <c r="G983" s="7"/>
      <c r="H983" s="7"/>
      <c r="I983" s="7"/>
      <c r="K983" s="9"/>
    </row>
    <row r="984" spans="5:11" ht="12.75" customHeight="1">
      <c r="E984" s="7"/>
      <c r="F984" s="7"/>
      <c r="G984" s="7"/>
      <c r="H984" s="7"/>
      <c r="I984" s="7"/>
      <c r="K984" s="9"/>
    </row>
    <row r="985" spans="5:11" ht="12.75" customHeight="1">
      <c r="E985" s="7"/>
      <c r="F985" s="7"/>
      <c r="G985" s="7"/>
      <c r="H985" s="7"/>
      <c r="I985" s="7"/>
      <c r="K985" s="9"/>
    </row>
    <row r="986" spans="5:11" ht="12.75" customHeight="1">
      <c r="E986" s="7"/>
      <c r="F986" s="7"/>
      <c r="G986" s="7"/>
      <c r="H986" s="7"/>
      <c r="I986" s="7"/>
      <c r="K986" s="9"/>
    </row>
    <row r="987" spans="5:11" ht="12.75" customHeight="1">
      <c r="E987" s="7"/>
      <c r="F987" s="7"/>
      <c r="G987" s="7"/>
      <c r="H987" s="7"/>
      <c r="I987" s="7"/>
      <c r="K987" s="9"/>
    </row>
    <row r="988" spans="5:11" ht="12.75" customHeight="1">
      <c r="E988" s="7"/>
      <c r="F988" s="7"/>
      <c r="G988" s="7"/>
      <c r="H988" s="7"/>
      <c r="I988" s="7"/>
      <c r="K988" s="9"/>
    </row>
    <row r="989" spans="5:11" ht="12.75" customHeight="1">
      <c r="E989" s="7"/>
      <c r="F989" s="7"/>
      <c r="G989" s="7"/>
      <c r="H989" s="7"/>
      <c r="I989" s="7"/>
      <c r="K989" s="9"/>
    </row>
    <row r="990" spans="5:11" ht="12.75" customHeight="1">
      <c r="E990" s="7"/>
      <c r="F990" s="7"/>
      <c r="G990" s="7"/>
      <c r="H990" s="7"/>
      <c r="I990" s="7"/>
      <c r="K990" s="9"/>
    </row>
    <row r="991" spans="5:11" ht="12.75" customHeight="1">
      <c r="E991" s="7"/>
      <c r="F991" s="7"/>
      <c r="G991" s="7"/>
      <c r="H991" s="7"/>
      <c r="I991" s="7"/>
      <c r="K991" s="9"/>
    </row>
    <row r="992" spans="5:11" ht="12.75" customHeight="1">
      <c r="E992" s="7"/>
      <c r="F992" s="7"/>
      <c r="G992" s="7"/>
      <c r="H992" s="7"/>
      <c r="I992" s="7"/>
      <c r="K992" s="9"/>
    </row>
    <row r="993" spans="5:11" ht="12.75" customHeight="1">
      <c r="E993" s="7"/>
      <c r="F993" s="7"/>
      <c r="G993" s="7"/>
      <c r="H993" s="7"/>
      <c r="I993" s="7"/>
      <c r="K993" s="9"/>
    </row>
    <row r="994" spans="5:11" ht="12.75" customHeight="1">
      <c r="E994" s="7"/>
      <c r="F994" s="7"/>
      <c r="G994" s="7"/>
      <c r="H994" s="7"/>
      <c r="I994" s="7"/>
      <c r="K994" s="9"/>
    </row>
    <row r="995" spans="5:11" ht="12.75" customHeight="1">
      <c r="E995" s="7"/>
      <c r="F995" s="7"/>
      <c r="G995" s="7"/>
      <c r="H995" s="7"/>
      <c r="I995" s="7"/>
      <c r="K995" s="9"/>
    </row>
    <row r="996" spans="5:11" ht="12.75" customHeight="1">
      <c r="E996" s="7"/>
      <c r="F996" s="7"/>
      <c r="G996" s="7"/>
      <c r="H996" s="7"/>
      <c r="I996" s="7"/>
      <c r="K996" s="9"/>
    </row>
    <row r="997" spans="5:11" ht="12.75" customHeight="1">
      <c r="E997" s="7"/>
      <c r="F997" s="7"/>
      <c r="G997" s="7"/>
      <c r="H997" s="7"/>
      <c r="I997" s="7"/>
      <c r="K997" s="9"/>
    </row>
    <row r="998" spans="5:11" ht="12.75" customHeight="1">
      <c r="E998" s="7"/>
      <c r="F998" s="7"/>
      <c r="G998" s="7"/>
      <c r="H998" s="7"/>
      <c r="I998" s="7"/>
      <c r="K998" s="9"/>
    </row>
    <row r="999" spans="5:11" ht="12.75" customHeight="1">
      <c r="E999" s="7"/>
      <c r="F999" s="7"/>
      <c r="G999" s="7"/>
      <c r="H999" s="7"/>
      <c r="I999" s="7"/>
      <c r="K999" s="9"/>
    </row>
    <row r="1000" spans="5:11" ht="12.75" customHeight="1">
      <c r="E1000" s="7"/>
      <c r="F1000" s="7"/>
      <c r="G1000" s="7"/>
      <c r="H1000" s="7"/>
      <c r="I1000" s="7"/>
      <c r="K1000" s="9"/>
    </row>
    <row r="1001" spans="5:11" ht="12.75" customHeight="1">
      <c r="E1001" s="7"/>
      <c r="F1001" s="7"/>
      <c r="G1001" s="7"/>
      <c r="H1001" s="7"/>
      <c r="I1001" s="7"/>
      <c r="K1001" s="9"/>
    </row>
    <row r="1002" spans="5:11" ht="12.75" customHeight="1">
      <c r="E1002" s="7"/>
      <c r="F1002" s="7"/>
      <c r="G1002" s="7"/>
      <c r="H1002" s="7"/>
      <c r="I1002" s="7"/>
      <c r="K1002" s="9"/>
    </row>
    <row r="1003" spans="5:11" ht="12.75" customHeight="1">
      <c r="E1003" s="7"/>
      <c r="F1003" s="7"/>
      <c r="G1003" s="7"/>
      <c r="H1003" s="7"/>
      <c r="I1003" s="7"/>
      <c r="K1003" s="9"/>
    </row>
    <row r="1004" spans="5:11" ht="12.75" customHeight="1">
      <c r="E1004" s="7"/>
      <c r="F1004" s="7"/>
      <c r="G1004" s="7"/>
      <c r="H1004" s="7"/>
      <c r="I1004" s="7"/>
      <c r="K1004" s="9"/>
    </row>
    <row r="1005" spans="5:11" ht="12.75" customHeight="1">
      <c r="E1005" s="7"/>
      <c r="F1005" s="7"/>
      <c r="G1005" s="7"/>
      <c r="H1005" s="7"/>
      <c r="I1005" s="7"/>
      <c r="K1005" s="9"/>
    </row>
    <row r="1006" spans="5:11" ht="12.75" customHeight="1">
      <c r="E1006" s="7"/>
      <c r="F1006" s="7"/>
      <c r="G1006" s="7"/>
      <c r="H1006" s="7"/>
      <c r="I1006" s="7"/>
      <c r="K1006" s="9"/>
    </row>
    <row r="1007" spans="5:11" ht="12.75" customHeight="1">
      <c r="E1007" s="7"/>
      <c r="F1007" s="7"/>
      <c r="G1007" s="7"/>
      <c r="H1007" s="7"/>
      <c r="I1007" s="7"/>
      <c r="K1007" s="9"/>
    </row>
    <row r="1008" spans="5:11" ht="12.75" customHeight="1">
      <c r="E1008" s="7"/>
      <c r="F1008" s="7"/>
      <c r="G1008" s="7"/>
      <c r="H1008" s="7"/>
      <c r="I1008" s="7"/>
      <c r="K1008" s="9"/>
    </row>
    <row r="1009" spans="5:11" ht="12.75" customHeight="1">
      <c r="E1009" s="7"/>
      <c r="F1009" s="7"/>
      <c r="G1009" s="7"/>
      <c r="H1009" s="7"/>
      <c r="I1009" s="7"/>
      <c r="K1009" s="9"/>
    </row>
    <row r="1010" spans="5:11" ht="12.75" customHeight="1">
      <c r="E1010" s="7"/>
      <c r="F1010" s="7"/>
      <c r="G1010" s="7"/>
      <c r="H1010" s="7"/>
      <c r="I1010" s="7"/>
      <c r="K1010" s="9"/>
    </row>
    <row r="1011" spans="5:11" ht="12.75" customHeight="1">
      <c r="E1011" s="7"/>
      <c r="F1011" s="7"/>
      <c r="G1011" s="7"/>
      <c r="H1011" s="7"/>
      <c r="I1011" s="7"/>
      <c r="K1011" s="9"/>
    </row>
    <row r="1012" spans="5:11" ht="12.75" customHeight="1">
      <c r="E1012" s="7"/>
      <c r="F1012" s="7"/>
      <c r="G1012" s="7"/>
      <c r="H1012" s="7"/>
      <c r="I1012" s="7"/>
      <c r="K1012" s="9"/>
    </row>
    <row r="1013" spans="5:11" ht="12.75" customHeight="1">
      <c r="E1013" s="7"/>
      <c r="F1013" s="7"/>
      <c r="G1013" s="7"/>
      <c r="H1013" s="7"/>
      <c r="I1013" s="7"/>
      <c r="K1013" s="9"/>
    </row>
    <row r="1014" spans="5:11" ht="12.75" customHeight="1">
      <c r="E1014" s="7"/>
      <c r="F1014" s="7"/>
      <c r="G1014" s="7"/>
      <c r="H1014" s="7"/>
      <c r="I1014" s="7"/>
      <c r="K1014" s="9"/>
    </row>
    <row r="1015" spans="5:11" ht="12.75" customHeight="1">
      <c r="E1015" s="7"/>
      <c r="F1015" s="7"/>
      <c r="G1015" s="7"/>
      <c r="H1015" s="7"/>
      <c r="I1015" s="7"/>
      <c r="K1015" s="9"/>
    </row>
    <row r="1016" spans="5:11" ht="12.75" customHeight="1">
      <c r="E1016" s="7"/>
      <c r="F1016" s="7"/>
      <c r="G1016" s="7"/>
      <c r="H1016" s="7"/>
      <c r="I1016" s="7"/>
      <c r="K1016" s="9"/>
    </row>
    <row r="1017" spans="5:11" ht="12.75" customHeight="1">
      <c r="E1017" s="7"/>
      <c r="F1017" s="7"/>
      <c r="G1017" s="7"/>
      <c r="H1017" s="7"/>
      <c r="I1017" s="7"/>
      <c r="K1017" s="9"/>
    </row>
    <row r="1018" spans="5:11" ht="12.75" customHeight="1">
      <c r="E1018" s="7"/>
      <c r="F1018" s="7"/>
      <c r="G1018" s="7"/>
      <c r="H1018" s="7"/>
      <c r="I1018" s="7"/>
      <c r="K1018" s="9"/>
    </row>
    <row r="1019" spans="5:11" ht="12.75" customHeight="1">
      <c r="E1019" s="7"/>
      <c r="F1019" s="7"/>
      <c r="G1019" s="7"/>
      <c r="H1019" s="7"/>
      <c r="I1019" s="7"/>
      <c r="K1019" s="9"/>
    </row>
    <row r="1020" spans="5:11" ht="12.75" customHeight="1">
      <c r="E1020" s="7"/>
      <c r="F1020" s="7"/>
      <c r="G1020" s="7"/>
      <c r="H1020" s="7"/>
      <c r="I1020" s="7"/>
      <c r="K1020" s="9"/>
    </row>
    <row r="1021" spans="5:11" ht="12.75" customHeight="1">
      <c r="E1021" s="7"/>
      <c r="F1021" s="7"/>
      <c r="G1021" s="7"/>
      <c r="H1021" s="7"/>
      <c r="I1021" s="7"/>
      <c r="K1021" s="9"/>
    </row>
    <row r="1022" spans="5:11" ht="12.75" customHeight="1">
      <c r="E1022" s="7"/>
      <c r="F1022" s="7"/>
      <c r="G1022" s="7"/>
      <c r="H1022" s="7"/>
      <c r="I1022" s="7"/>
      <c r="K1022" s="9"/>
    </row>
    <row r="1023" spans="5:11" ht="12.75" customHeight="1">
      <c r="E1023" s="7"/>
      <c r="F1023" s="7"/>
      <c r="G1023" s="7"/>
      <c r="H1023" s="7"/>
      <c r="I1023" s="7"/>
      <c r="K1023" s="9"/>
    </row>
    <row r="1024" spans="5:11" ht="12.75" customHeight="1">
      <c r="E1024" s="7"/>
      <c r="F1024" s="7"/>
      <c r="G1024" s="7"/>
      <c r="H1024" s="7"/>
      <c r="I1024" s="7"/>
      <c r="K1024" s="9"/>
    </row>
    <row r="1025" spans="5:11" ht="12.75" customHeight="1">
      <c r="E1025" s="7"/>
      <c r="F1025" s="7"/>
      <c r="G1025" s="7"/>
      <c r="H1025" s="7"/>
      <c r="I1025" s="7"/>
      <c r="K1025" s="9"/>
    </row>
    <row r="1026" spans="5:11" ht="12.75" customHeight="1">
      <c r="E1026" s="7"/>
      <c r="F1026" s="7"/>
      <c r="G1026" s="7"/>
      <c r="H1026" s="7"/>
      <c r="I1026" s="7"/>
      <c r="K1026" s="9"/>
    </row>
    <row r="1027" spans="5:11" ht="12.75" customHeight="1">
      <c r="E1027" s="7"/>
      <c r="F1027" s="7"/>
      <c r="G1027" s="7"/>
      <c r="H1027" s="7"/>
      <c r="I1027" s="7"/>
      <c r="K1027" s="9"/>
    </row>
    <row r="1028" spans="5:11" ht="12.75" customHeight="1">
      <c r="E1028" s="7"/>
      <c r="F1028" s="7"/>
      <c r="G1028" s="7"/>
      <c r="H1028" s="7"/>
      <c r="I1028" s="7"/>
      <c r="K1028" s="9"/>
    </row>
    <row r="1029" spans="5:11" ht="12.75" customHeight="1">
      <c r="E1029" s="7"/>
      <c r="F1029" s="7"/>
      <c r="G1029" s="7"/>
      <c r="H1029" s="7"/>
      <c r="I1029" s="7"/>
      <c r="K1029" s="9"/>
    </row>
    <row r="1030" spans="5:11" ht="12.75" customHeight="1">
      <c r="E1030" s="7"/>
      <c r="F1030" s="7"/>
      <c r="G1030" s="7"/>
      <c r="H1030" s="7"/>
      <c r="I1030" s="7"/>
      <c r="K1030" s="9"/>
    </row>
    <row r="1031" spans="5:11" ht="12.75" customHeight="1">
      <c r="E1031" s="7"/>
      <c r="F1031" s="7"/>
      <c r="G1031" s="7"/>
      <c r="H1031" s="7"/>
      <c r="I1031" s="7"/>
      <c r="K1031" s="9"/>
    </row>
    <row r="1032" spans="5:11" ht="12.75" customHeight="1">
      <c r="E1032" s="7"/>
      <c r="F1032" s="7"/>
      <c r="G1032" s="7"/>
      <c r="H1032" s="7"/>
      <c r="I1032" s="7"/>
      <c r="K1032" s="9"/>
    </row>
    <row r="1033" spans="5:11" ht="12.75" customHeight="1">
      <c r="E1033" s="7"/>
      <c r="F1033" s="7"/>
      <c r="G1033" s="7"/>
      <c r="H1033" s="7"/>
      <c r="I1033" s="7"/>
      <c r="K1033" s="9"/>
    </row>
    <row r="1034" spans="5:11" ht="12.75" customHeight="1">
      <c r="E1034" s="7"/>
      <c r="F1034" s="7"/>
      <c r="G1034" s="7"/>
      <c r="H1034" s="7"/>
      <c r="I1034" s="7"/>
      <c r="K1034" s="9"/>
    </row>
    <row r="1035" spans="5:11" ht="12.75" customHeight="1">
      <c r="E1035" s="7"/>
      <c r="F1035" s="7"/>
      <c r="G1035" s="7"/>
      <c r="H1035" s="7"/>
      <c r="I1035" s="7"/>
      <c r="K1035" s="9"/>
    </row>
    <row r="1036" spans="5:11" ht="12.75" customHeight="1">
      <c r="E1036" s="7"/>
      <c r="F1036" s="7"/>
      <c r="G1036" s="7"/>
      <c r="H1036" s="7"/>
      <c r="I1036" s="7"/>
      <c r="K1036" s="9"/>
    </row>
    <row r="1037" spans="5:11" ht="12.75" customHeight="1">
      <c r="E1037" s="7"/>
      <c r="F1037" s="7"/>
      <c r="G1037" s="7"/>
      <c r="H1037" s="7"/>
      <c r="I1037" s="7"/>
      <c r="K1037" s="9"/>
    </row>
    <row r="1038" spans="5:11" ht="12.75" customHeight="1">
      <c r="E1038" s="7"/>
      <c r="F1038" s="7"/>
      <c r="G1038" s="7"/>
      <c r="H1038" s="7"/>
      <c r="I1038" s="7"/>
      <c r="K1038" s="9"/>
    </row>
    <row r="1039" spans="5:11" ht="12.75" customHeight="1">
      <c r="E1039" s="7"/>
      <c r="F1039" s="7"/>
      <c r="G1039" s="7"/>
      <c r="H1039" s="7"/>
      <c r="I1039" s="7"/>
      <c r="K1039" s="9"/>
    </row>
    <row r="1040" spans="5:11" ht="12.75" customHeight="1">
      <c r="E1040" s="7"/>
      <c r="F1040" s="7"/>
      <c r="G1040" s="7"/>
      <c r="H1040" s="7"/>
      <c r="I1040" s="7"/>
      <c r="K1040" s="9"/>
    </row>
    <row r="1041" spans="5:11" ht="12.75" customHeight="1">
      <c r="E1041" s="7"/>
      <c r="F1041" s="7"/>
      <c r="G1041" s="7"/>
      <c r="H1041" s="7"/>
      <c r="I1041" s="7"/>
      <c r="K1041" s="9"/>
    </row>
    <row r="1042" spans="5:11" ht="12.75" customHeight="1">
      <c r="E1042" s="7"/>
      <c r="F1042" s="7"/>
      <c r="G1042" s="7"/>
      <c r="H1042" s="7"/>
      <c r="I1042" s="7"/>
      <c r="K1042" s="9"/>
    </row>
    <row r="1043" spans="5:11" ht="12.75" customHeight="1">
      <c r="E1043" s="7"/>
      <c r="F1043" s="7"/>
      <c r="G1043" s="7"/>
      <c r="H1043" s="7"/>
      <c r="I1043" s="7"/>
      <c r="K1043" s="9"/>
    </row>
    <row r="1044" spans="5:11" ht="12.75" customHeight="1">
      <c r="E1044" s="7"/>
      <c r="F1044" s="7"/>
      <c r="G1044" s="7"/>
      <c r="H1044" s="7"/>
      <c r="I1044" s="7"/>
      <c r="K1044" s="9"/>
    </row>
    <row r="1045" spans="5:11" ht="12.75" customHeight="1">
      <c r="E1045" s="7"/>
      <c r="F1045" s="7"/>
      <c r="G1045" s="7"/>
      <c r="H1045" s="7"/>
      <c r="I1045" s="7"/>
      <c r="K1045" s="9"/>
    </row>
    <row r="1046" spans="5:11" ht="12.75" customHeight="1">
      <c r="E1046" s="7"/>
      <c r="F1046" s="7"/>
      <c r="G1046" s="7"/>
      <c r="H1046" s="7"/>
      <c r="I1046" s="7"/>
      <c r="K1046" s="9"/>
    </row>
    <row r="1047" spans="5:11" ht="12.75" customHeight="1">
      <c r="E1047" s="7"/>
      <c r="F1047" s="7"/>
      <c r="G1047" s="7"/>
      <c r="H1047" s="7"/>
      <c r="I1047" s="7"/>
      <c r="K1047" s="9"/>
    </row>
    <row r="1048" spans="5:11" ht="12.75" customHeight="1">
      <c r="E1048" s="7"/>
      <c r="F1048" s="7"/>
      <c r="G1048" s="7"/>
      <c r="H1048" s="7"/>
      <c r="I1048" s="7"/>
      <c r="K1048" s="9"/>
    </row>
    <row r="1049" spans="5:11" ht="12.75" customHeight="1">
      <c r="E1049" s="7"/>
      <c r="F1049" s="7"/>
      <c r="G1049" s="7"/>
      <c r="H1049" s="7"/>
      <c r="I1049" s="7"/>
      <c r="K1049" s="9"/>
    </row>
    <row r="1050" spans="5:11" ht="12.75" customHeight="1">
      <c r="E1050" s="7"/>
      <c r="F1050" s="7"/>
      <c r="G1050" s="7"/>
      <c r="H1050" s="7"/>
      <c r="I1050" s="7"/>
      <c r="K1050" s="9"/>
    </row>
    <row r="1051" spans="5:11" ht="12.75" customHeight="1">
      <c r="E1051" s="7"/>
      <c r="F1051" s="7"/>
      <c r="G1051" s="7"/>
      <c r="H1051" s="7"/>
      <c r="I1051" s="7"/>
      <c r="K1051" s="9"/>
    </row>
    <row r="1052" spans="5:11" ht="12.75" customHeight="1">
      <c r="E1052" s="7"/>
      <c r="F1052" s="7"/>
      <c r="G1052" s="7"/>
      <c r="H1052" s="7"/>
      <c r="I1052" s="7"/>
      <c r="K1052" s="9"/>
    </row>
    <row r="1053" spans="5:11" ht="12.75" customHeight="1">
      <c r="E1053" s="7"/>
      <c r="F1053" s="7"/>
      <c r="G1053" s="7"/>
      <c r="H1053" s="7"/>
      <c r="I1053" s="7"/>
      <c r="K1053" s="9"/>
    </row>
    <row r="1054" spans="5:11" ht="12.75" customHeight="1">
      <c r="E1054" s="7"/>
      <c r="F1054" s="7"/>
      <c r="G1054" s="7"/>
      <c r="H1054" s="7"/>
      <c r="I1054" s="7"/>
      <c r="K1054" s="9"/>
    </row>
    <row r="1055" spans="5:11" ht="12.75" customHeight="1">
      <c r="E1055" s="7"/>
      <c r="F1055" s="7"/>
      <c r="G1055" s="7"/>
      <c r="H1055" s="7"/>
      <c r="I1055" s="7"/>
      <c r="K1055" s="9"/>
    </row>
    <row r="1056" spans="5:11" ht="12.75" customHeight="1">
      <c r="E1056" s="7"/>
      <c r="F1056" s="7"/>
      <c r="G1056" s="7"/>
      <c r="H1056" s="7"/>
      <c r="I1056" s="7"/>
      <c r="K1056" s="9"/>
    </row>
    <row r="1057" spans="5:11" ht="12.75" customHeight="1">
      <c r="E1057" s="7"/>
      <c r="F1057" s="7"/>
      <c r="G1057" s="7"/>
      <c r="H1057" s="7"/>
      <c r="I1057" s="7"/>
      <c r="K1057" s="9"/>
    </row>
    <row r="1058" spans="5:11" ht="12.75" customHeight="1">
      <c r="E1058" s="7"/>
      <c r="F1058" s="7"/>
      <c r="G1058" s="7"/>
      <c r="H1058" s="7"/>
      <c r="I1058" s="7"/>
      <c r="K1058" s="9"/>
    </row>
    <row r="1059" spans="5:11" ht="12.75" customHeight="1">
      <c r="E1059" s="7"/>
      <c r="F1059" s="7"/>
      <c r="G1059" s="7"/>
      <c r="H1059" s="7"/>
      <c r="I1059" s="7"/>
      <c r="K1059" s="9"/>
    </row>
    <row r="1060" spans="5:11" ht="12.75" customHeight="1">
      <c r="E1060" s="7"/>
      <c r="F1060" s="7"/>
      <c r="G1060" s="7"/>
      <c r="H1060" s="7"/>
      <c r="I1060" s="7"/>
      <c r="K1060" s="9"/>
    </row>
    <row r="1061" spans="5:11" ht="12.75" customHeight="1">
      <c r="E1061" s="7"/>
      <c r="F1061" s="7"/>
      <c r="G1061" s="7"/>
      <c r="H1061" s="7"/>
      <c r="I1061" s="7"/>
      <c r="K1061" s="9"/>
    </row>
    <row r="1062" spans="5:11" ht="12.75" customHeight="1">
      <c r="E1062" s="7"/>
      <c r="F1062" s="7"/>
      <c r="G1062" s="7"/>
      <c r="H1062" s="7"/>
      <c r="I1062" s="7"/>
      <c r="K1062" s="9"/>
    </row>
    <row r="1063" spans="5:11" ht="12.75" customHeight="1">
      <c r="E1063" s="7"/>
      <c r="F1063" s="7"/>
      <c r="G1063" s="7"/>
      <c r="H1063" s="7"/>
      <c r="I1063" s="7"/>
      <c r="K1063" s="9"/>
    </row>
    <row r="1064" spans="5:11" ht="12.75" customHeight="1">
      <c r="E1064" s="7"/>
      <c r="F1064" s="7"/>
      <c r="G1064" s="7"/>
      <c r="H1064" s="7"/>
      <c r="I1064" s="7"/>
      <c r="K1064" s="9"/>
    </row>
    <row r="1065" spans="5:11" ht="12.75" customHeight="1">
      <c r="E1065" s="7"/>
      <c r="F1065" s="7"/>
      <c r="G1065" s="7"/>
      <c r="H1065" s="7"/>
      <c r="I1065" s="7"/>
      <c r="K1065" s="9"/>
    </row>
    <row r="1066" spans="5:11" ht="12.75" customHeight="1">
      <c r="E1066" s="7"/>
      <c r="F1066" s="7"/>
      <c r="G1066" s="7"/>
      <c r="H1066" s="7"/>
      <c r="I1066" s="7"/>
      <c r="K1066" s="9"/>
    </row>
    <row r="1067" spans="5:11" ht="12.75" customHeight="1">
      <c r="E1067" s="7"/>
      <c r="F1067" s="7"/>
      <c r="G1067" s="7"/>
      <c r="H1067" s="7"/>
      <c r="I1067" s="7"/>
      <c r="K1067" s="9"/>
    </row>
    <row r="1068" spans="5:11" ht="12.75" customHeight="1">
      <c r="E1068" s="7"/>
      <c r="F1068" s="7"/>
      <c r="G1068" s="7"/>
      <c r="H1068" s="7"/>
      <c r="I1068" s="7"/>
      <c r="K1068" s="9"/>
    </row>
    <row r="1069" spans="5:11" ht="12.75" customHeight="1">
      <c r="E1069" s="7"/>
      <c r="F1069" s="7"/>
      <c r="G1069" s="7"/>
      <c r="H1069" s="7"/>
      <c r="I1069" s="7"/>
      <c r="K1069" s="9"/>
    </row>
    <row r="1070" spans="5:11" ht="12.75" customHeight="1">
      <c r="E1070" s="7"/>
      <c r="F1070" s="7"/>
      <c r="G1070" s="7"/>
      <c r="H1070" s="7"/>
      <c r="I1070" s="7"/>
      <c r="K1070" s="9"/>
    </row>
    <row r="1071" spans="5:11" ht="12.75" customHeight="1">
      <c r="E1071" s="7"/>
      <c r="F1071" s="7"/>
      <c r="G1071" s="7"/>
      <c r="H1071" s="7"/>
      <c r="I1071" s="7"/>
      <c r="K1071" s="9"/>
    </row>
    <row r="1072" spans="5:11" ht="12.75" customHeight="1">
      <c r="E1072" s="7"/>
      <c r="F1072" s="7"/>
      <c r="G1072" s="7"/>
      <c r="H1072" s="7"/>
      <c r="I1072" s="7"/>
      <c r="K1072" s="9"/>
    </row>
    <row r="1073" spans="5:11" ht="12.75" customHeight="1">
      <c r="E1073" s="7"/>
      <c r="F1073" s="7"/>
      <c r="G1073" s="7"/>
      <c r="H1073" s="7"/>
      <c r="I1073" s="7"/>
      <c r="K1073" s="9"/>
    </row>
    <row r="1074" spans="5:11" ht="12.75" customHeight="1">
      <c r="E1074" s="7"/>
      <c r="F1074" s="7"/>
      <c r="G1074" s="7"/>
      <c r="H1074" s="7"/>
      <c r="I1074" s="7"/>
      <c r="K1074" s="9"/>
    </row>
    <row r="1075" spans="5:11" ht="12.75" customHeight="1">
      <c r="E1075" s="7"/>
      <c r="F1075" s="7"/>
      <c r="G1075" s="7"/>
      <c r="H1075" s="7"/>
      <c r="I1075" s="7"/>
      <c r="K1075" s="9"/>
    </row>
    <row r="1076" spans="5:11" ht="12.75" customHeight="1">
      <c r="E1076" s="7"/>
      <c r="F1076" s="7"/>
      <c r="G1076" s="7"/>
      <c r="H1076" s="7"/>
      <c r="I1076" s="7"/>
      <c r="K1076" s="9"/>
    </row>
    <row r="1077" spans="5:11" ht="12.75" customHeight="1">
      <c r="E1077" s="7"/>
      <c r="F1077" s="7"/>
      <c r="G1077" s="7"/>
      <c r="H1077" s="7"/>
      <c r="I1077" s="7"/>
      <c r="K1077" s="9"/>
    </row>
    <row r="1078" spans="5:11" ht="12.75" customHeight="1">
      <c r="E1078" s="7"/>
      <c r="F1078" s="7"/>
      <c r="G1078" s="7"/>
      <c r="H1078" s="7"/>
      <c r="I1078" s="7"/>
      <c r="K1078" s="9"/>
    </row>
    <row r="1079" spans="5:11" ht="12.75" customHeight="1">
      <c r="E1079" s="7"/>
      <c r="F1079" s="7"/>
      <c r="G1079" s="7"/>
      <c r="H1079" s="7"/>
      <c r="I1079" s="7"/>
      <c r="K1079" s="9"/>
    </row>
    <row r="1080" spans="5:11" ht="12.75" customHeight="1">
      <c r="E1080" s="7"/>
      <c r="F1080" s="7"/>
      <c r="G1080" s="7"/>
      <c r="H1080" s="7"/>
      <c r="I1080" s="7"/>
      <c r="K1080" s="9"/>
    </row>
    <row r="1081" spans="5:11" ht="12.75" customHeight="1">
      <c r="E1081" s="7"/>
      <c r="F1081" s="7"/>
      <c r="G1081" s="7"/>
      <c r="H1081" s="7"/>
      <c r="I1081" s="7"/>
      <c r="K1081" s="9"/>
    </row>
    <row r="1082" spans="5:11" ht="12.75" customHeight="1">
      <c r="E1082" s="7"/>
      <c r="F1082" s="7"/>
      <c r="G1082" s="7"/>
      <c r="H1082" s="7"/>
      <c r="I1082" s="7"/>
      <c r="K1082" s="9"/>
    </row>
    <row r="1083" spans="5:11" ht="12.75" customHeight="1">
      <c r="E1083" s="7"/>
      <c r="F1083" s="7"/>
      <c r="G1083" s="7"/>
      <c r="H1083" s="7"/>
      <c r="I1083" s="7"/>
      <c r="K1083" s="9"/>
    </row>
    <row r="1084" spans="5:11" ht="12.75" customHeight="1">
      <c r="E1084" s="7"/>
      <c r="F1084" s="7"/>
      <c r="G1084" s="7"/>
      <c r="H1084" s="7"/>
      <c r="I1084" s="7"/>
      <c r="K1084" s="9"/>
    </row>
    <row r="1085" spans="5:11" ht="12.75" customHeight="1">
      <c r="E1085" s="7"/>
      <c r="F1085" s="7"/>
      <c r="G1085" s="7"/>
      <c r="H1085" s="7"/>
      <c r="I1085" s="7"/>
      <c r="K1085" s="9"/>
    </row>
    <row r="1086" spans="5:11" ht="12.75" customHeight="1">
      <c r="E1086" s="7"/>
      <c r="F1086" s="7"/>
      <c r="G1086" s="7"/>
      <c r="H1086" s="7"/>
      <c r="I1086" s="7"/>
      <c r="K1086" s="9"/>
    </row>
    <row r="1087" spans="5:11" ht="12.75" customHeight="1">
      <c r="E1087" s="7"/>
      <c r="F1087" s="7"/>
      <c r="G1087" s="7"/>
      <c r="H1087" s="7"/>
      <c r="I1087" s="7"/>
      <c r="K1087" s="9"/>
    </row>
    <row r="1088" spans="5:11" ht="12.75" customHeight="1">
      <c r="E1088" s="7"/>
      <c r="F1088" s="7"/>
      <c r="G1088" s="7"/>
      <c r="H1088" s="7"/>
      <c r="I1088" s="7"/>
      <c r="K1088" s="9"/>
    </row>
    <row r="1089" spans="5:11" ht="12.75" customHeight="1">
      <c r="E1089" s="7"/>
      <c r="F1089" s="7"/>
      <c r="G1089" s="7"/>
      <c r="H1089" s="7"/>
      <c r="I1089" s="7"/>
      <c r="K1089" s="9"/>
    </row>
    <row r="1090" spans="5:11" ht="12.75" customHeight="1">
      <c r="E1090" s="7"/>
      <c r="F1090" s="7"/>
      <c r="G1090" s="7"/>
      <c r="H1090" s="7"/>
      <c r="I1090" s="7"/>
      <c r="K1090" s="9"/>
    </row>
    <row r="1091" spans="5:11" ht="12.75" customHeight="1">
      <c r="E1091" s="7"/>
      <c r="F1091" s="7"/>
      <c r="G1091" s="7"/>
      <c r="H1091" s="7"/>
      <c r="I1091" s="7"/>
      <c r="K1091" s="9"/>
    </row>
    <row r="1092" spans="5:11" ht="12.75" customHeight="1">
      <c r="E1092" s="7"/>
      <c r="F1092" s="7"/>
      <c r="G1092" s="7"/>
      <c r="H1092" s="7"/>
      <c r="I1092" s="7"/>
      <c r="K1092" s="9"/>
    </row>
    <row r="1093" spans="5:11" ht="12.75" customHeight="1">
      <c r="E1093" s="7"/>
      <c r="F1093" s="7"/>
      <c r="G1093" s="7"/>
      <c r="H1093" s="7"/>
      <c r="I1093" s="7"/>
      <c r="K1093" s="9"/>
    </row>
    <row r="1094" spans="5:11" ht="12.75" customHeight="1">
      <c r="E1094" s="7"/>
      <c r="F1094" s="7"/>
      <c r="G1094" s="7"/>
      <c r="H1094" s="7"/>
      <c r="I1094" s="7"/>
      <c r="K1094" s="9"/>
    </row>
    <row r="1095" spans="5:11" ht="12.75" customHeight="1">
      <c r="E1095" s="7"/>
      <c r="F1095" s="7"/>
      <c r="G1095" s="7"/>
      <c r="H1095" s="7"/>
      <c r="I1095" s="7"/>
      <c r="K1095" s="9"/>
    </row>
    <row r="1096" spans="5:11" ht="12.75" customHeight="1">
      <c r="E1096" s="7"/>
      <c r="F1096" s="7"/>
      <c r="G1096" s="7"/>
      <c r="H1096" s="7"/>
      <c r="I1096" s="7"/>
      <c r="K1096" s="9"/>
    </row>
    <row r="1097" spans="5:11" ht="12.75" customHeight="1">
      <c r="E1097" s="7"/>
      <c r="F1097" s="7"/>
      <c r="G1097" s="7"/>
      <c r="H1097" s="7"/>
      <c r="I1097" s="7"/>
      <c r="K1097" s="9"/>
    </row>
    <row r="1098" spans="5:11" ht="12.75" customHeight="1">
      <c r="E1098" s="7"/>
      <c r="F1098" s="7"/>
      <c r="G1098" s="7"/>
      <c r="H1098" s="7"/>
      <c r="I1098" s="7"/>
      <c r="K1098" s="9"/>
    </row>
    <row r="1099" spans="5:11" ht="12.75" customHeight="1">
      <c r="E1099" s="7"/>
      <c r="F1099" s="7"/>
      <c r="G1099" s="7"/>
      <c r="H1099" s="7"/>
      <c r="I1099" s="7"/>
      <c r="K1099" s="9"/>
    </row>
    <row r="1100" spans="5:11" ht="12.75" customHeight="1">
      <c r="E1100" s="7"/>
      <c r="F1100" s="7"/>
      <c r="G1100" s="7"/>
      <c r="H1100" s="7"/>
      <c r="I1100" s="7"/>
      <c r="K1100" s="9"/>
    </row>
    <row r="1101" spans="5:11" ht="12.75" customHeight="1">
      <c r="E1101" s="7"/>
      <c r="F1101" s="7"/>
      <c r="G1101" s="7"/>
      <c r="H1101" s="7"/>
      <c r="I1101" s="7"/>
      <c r="K1101" s="9"/>
    </row>
    <row r="1102" spans="5:11" ht="12.75" customHeight="1">
      <c r="E1102" s="7"/>
      <c r="F1102" s="7"/>
      <c r="G1102" s="7"/>
      <c r="H1102" s="7"/>
      <c r="I1102" s="7"/>
      <c r="K1102" s="9"/>
    </row>
    <row r="1103" spans="5:11" ht="12.75" customHeight="1">
      <c r="E1103" s="7"/>
      <c r="F1103" s="7"/>
      <c r="G1103" s="7"/>
      <c r="H1103" s="7"/>
      <c r="I1103" s="7"/>
      <c r="K1103" s="9"/>
    </row>
    <row r="1104" spans="5:11" ht="12.75" customHeight="1">
      <c r="E1104" s="7"/>
      <c r="F1104" s="7"/>
      <c r="G1104" s="7"/>
      <c r="H1104" s="7"/>
      <c r="I1104" s="7"/>
      <c r="K1104" s="9"/>
    </row>
    <row r="1105" spans="5:11" ht="12.75" customHeight="1">
      <c r="E1105" s="7"/>
      <c r="F1105" s="7"/>
      <c r="G1105" s="7"/>
      <c r="H1105" s="7"/>
      <c r="I1105" s="7"/>
      <c r="K1105" s="9"/>
    </row>
    <row r="1106" spans="5:11" ht="12.75" customHeight="1">
      <c r="E1106" s="7"/>
      <c r="F1106" s="7"/>
      <c r="G1106" s="7"/>
      <c r="H1106" s="7"/>
      <c r="I1106" s="7"/>
      <c r="K1106" s="9"/>
    </row>
    <row r="1107" spans="5:11" ht="12.75" customHeight="1">
      <c r="E1107" s="7"/>
      <c r="F1107" s="7"/>
      <c r="G1107" s="7"/>
      <c r="H1107" s="7"/>
      <c r="I1107" s="7"/>
      <c r="K1107" s="9"/>
    </row>
    <row r="1108" spans="5:11" ht="12.75" customHeight="1">
      <c r="E1108" s="7"/>
      <c r="F1108" s="7"/>
      <c r="G1108" s="7"/>
      <c r="H1108" s="7"/>
      <c r="I1108" s="7"/>
      <c r="K1108" s="9"/>
    </row>
    <row r="1109" spans="5:11" ht="12.75" customHeight="1">
      <c r="E1109" s="7"/>
      <c r="F1109" s="7"/>
      <c r="G1109" s="7"/>
      <c r="H1109" s="7"/>
      <c r="I1109" s="7"/>
      <c r="K1109" s="9"/>
    </row>
    <row r="1110" spans="5:11" ht="12.75" customHeight="1">
      <c r="E1110" s="7"/>
      <c r="F1110" s="7"/>
      <c r="G1110" s="7"/>
      <c r="H1110" s="7"/>
      <c r="I1110" s="7"/>
      <c r="K1110" s="9"/>
    </row>
    <row r="1111" spans="5:11" ht="12.75" customHeight="1">
      <c r="E1111" s="7"/>
      <c r="F1111" s="7"/>
      <c r="G1111" s="7"/>
      <c r="H1111" s="7"/>
      <c r="I1111" s="7"/>
      <c r="K1111" s="9"/>
    </row>
    <row r="1112" spans="5:11" ht="12.75" customHeight="1">
      <c r="E1112" s="7"/>
      <c r="F1112" s="7"/>
      <c r="G1112" s="7"/>
      <c r="H1112" s="7"/>
      <c r="I1112" s="7"/>
      <c r="K1112" s="9"/>
    </row>
    <row r="1113" spans="5:11" ht="12.75" customHeight="1">
      <c r="E1113" s="7"/>
      <c r="F1113" s="7"/>
      <c r="G1113" s="7"/>
      <c r="H1113" s="7"/>
      <c r="I1113" s="7"/>
      <c r="K1113" s="9"/>
    </row>
    <row r="1114" spans="5:11" ht="12.75" customHeight="1">
      <c r="E1114" s="7"/>
      <c r="F1114" s="7"/>
      <c r="G1114" s="7"/>
      <c r="H1114" s="7"/>
      <c r="I1114" s="7"/>
      <c r="K1114" s="9"/>
    </row>
    <row r="1115" spans="5:11" ht="12.75" customHeight="1">
      <c r="E1115" s="7"/>
      <c r="F1115" s="7"/>
      <c r="G1115" s="7"/>
      <c r="H1115" s="7"/>
      <c r="I1115" s="7"/>
      <c r="K1115" s="9"/>
    </row>
    <row r="1116" spans="5:11" ht="12.75" customHeight="1">
      <c r="E1116" s="7"/>
      <c r="F1116" s="7"/>
      <c r="G1116" s="7"/>
      <c r="H1116" s="7"/>
      <c r="I1116" s="7"/>
      <c r="K1116" s="9"/>
    </row>
    <row r="1117" spans="5:11" ht="12.75" customHeight="1">
      <c r="E1117" s="7"/>
      <c r="F1117" s="7"/>
      <c r="G1117" s="7"/>
      <c r="H1117" s="7"/>
      <c r="I1117" s="7"/>
      <c r="K1117" s="9"/>
    </row>
    <row r="1118" spans="5:11" ht="12.75" customHeight="1">
      <c r="E1118" s="7"/>
      <c r="F1118" s="7"/>
      <c r="G1118" s="7"/>
      <c r="H1118" s="7"/>
      <c r="I1118" s="7"/>
      <c r="K1118" s="9"/>
    </row>
    <row r="1119" spans="5:11" ht="12.75" customHeight="1">
      <c r="E1119" s="7"/>
      <c r="F1119" s="7"/>
      <c r="G1119" s="7"/>
      <c r="H1119" s="7"/>
      <c r="I1119" s="7"/>
      <c r="K1119" s="9"/>
    </row>
    <row r="1120" spans="5:11" ht="12.75" customHeight="1">
      <c r="E1120" s="7"/>
      <c r="F1120" s="7"/>
      <c r="G1120" s="7"/>
      <c r="H1120" s="7"/>
      <c r="I1120" s="7"/>
      <c r="K1120" s="9"/>
    </row>
    <row r="1121" spans="5:11" ht="12.75" customHeight="1">
      <c r="E1121" s="7"/>
      <c r="F1121" s="7"/>
      <c r="G1121" s="7"/>
      <c r="H1121" s="7"/>
      <c r="I1121" s="7"/>
      <c r="K1121" s="9"/>
    </row>
    <row r="1122" spans="5:11" ht="12.75" customHeight="1">
      <c r="E1122" s="7"/>
      <c r="F1122" s="7"/>
      <c r="G1122" s="7"/>
      <c r="H1122" s="7"/>
      <c r="I1122" s="7"/>
      <c r="K1122" s="9"/>
    </row>
    <row r="1123" spans="5:11" ht="12.75" customHeight="1">
      <c r="E1123" s="7"/>
      <c r="F1123" s="7"/>
      <c r="G1123" s="7"/>
      <c r="H1123" s="7"/>
      <c r="I1123" s="7"/>
      <c r="K1123" s="9"/>
    </row>
    <row r="1124" spans="5:11" ht="12.75" customHeight="1">
      <c r="E1124" s="7"/>
      <c r="F1124" s="7"/>
      <c r="G1124" s="7"/>
      <c r="H1124" s="7"/>
      <c r="I1124" s="7"/>
      <c r="K1124" s="9"/>
    </row>
    <row r="1125" spans="5:11" ht="12.75" customHeight="1">
      <c r="E1125" s="7"/>
      <c r="F1125" s="7"/>
      <c r="G1125" s="7"/>
      <c r="H1125" s="7"/>
      <c r="I1125" s="7"/>
      <c r="K1125" s="9"/>
    </row>
    <row r="1126" spans="5:11" ht="12.75" customHeight="1">
      <c r="E1126" s="7"/>
      <c r="F1126" s="7"/>
      <c r="G1126" s="7"/>
      <c r="H1126" s="7"/>
      <c r="I1126" s="7"/>
      <c r="K1126" s="9"/>
    </row>
    <row r="1127" spans="5:11" ht="12.75" customHeight="1">
      <c r="E1127" s="7"/>
      <c r="F1127" s="7"/>
      <c r="G1127" s="7"/>
      <c r="H1127" s="7"/>
      <c r="I1127" s="7"/>
      <c r="K1127" s="9"/>
    </row>
    <row r="1128" spans="5:11" ht="12.75" customHeight="1">
      <c r="E1128" s="7"/>
      <c r="F1128" s="7"/>
      <c r="G1128" s="7"/>
      <c r="H1128" s="7"/>
      <c r="I1128" s="7"/>
      <c r="K1128" s="9"/>
    </row>
    <row r="1129" spans="5:11" ht="12.75" customHeight="1">
      <c r="E1129" s="7"/>
      <c r="F1129" s="7"/>
      <c r="G1129" s="7"/>
      <c r="H1129" s="7"/>
      <c r="I1129" s="7"/>
      <c r="K1129" s="9"/>
    </row>
    <row r="1130" spans="5:11" ht="12.75" customHeight="1">
      <c r="E1130" s="7"/>
      <c r="F1130" s="7"/>
      <c r="G1130" s="7"/>
      <c r="H1130" s="7"/>
      <c r="I1130" s="7"/>
      <c r="K1130" s="9"/>
    </row>
    <row r="1131" spans="5:11" ht="12.75" customHeight="1">
      <c r="E1131" s="7"/>
      <c r="F1131" s="7"/>
      <c r="G1131" s="7"/>
      <c r="H1131" s="7"/>
      <c r="I1131" s="7"/>
      <c r="K1131" s="9"/>
    </row>
    <row r="1132" spans="5:11" ht="12.75" customHeight="1">
      <c r="E1132" s="7"/>
      <c r="F1132" s="7"/>
      <c r="G1132" s="7"/>
      <c r="H1132" s="7"/>
      <c r="I1132" s="7"/>
      <c r="K1132" s="9"/>
    </row>
    <row r="1133" spans="5:11" ht="12.75" customHeight="1">
      <c r="E1133" s="7"/>
      <c r="F1133" s="7"/>
      <c r="G1133" s="7"/>
      <c r="H1133" s="7"/>
      <c r="I1133" s="7"/>
      <c r="K1133" s="9"/>
    </row>
    <row r="1134" spans="5:11" ht="12.75" customHeight="1">
      <c r="E1134" s="7"/>
      <c r="F1134" s="7"/>
      <c r="G1134" s="7"/>
      <c r="H1134" s="7"/>
      <c r="I1134" s="7"/>
      <c r="K1134" s="9"/>
    </row>
    <row r="1135" spans="5:11" ht="12.75" customHeight="1">
      <c r="E1135" s="7"/>
      <c r="F1135" s="7"/>
      <c r="G1135" s="7"/>
      <c r="H1135" s="7"/>
      <c r="I1135" s="7"/>
      <c r="K1135" s="9"/>
    </row>
    <row r="1136" spans="5:11" ht="12.75" customHeight="1">
      <c r="E1136" s="7"/>
      <c r="F1136" s="7"/>
      <c r="G1136" s="7"/>
      <c r="H1136" s="7"/>
      <c r="I1136" s="7"/>
      <c r="K1136" s="9"/>
    </row>
    <row r="1137" spans="5:11" ht="12.75" customHeight="1">
      <c r="E1137" s="7"/>
      <c r="F1137" s="7"/>
      <c r="G1137" s="7"/>
      <c r="H1137" s="7"/>
      <c r="I1137" s="7"/>
      <c r="K1137" s="9"/>
    </row>
    <row r="1138" spans="5:11" ht="12.75" customHeight="1">
      <c r="E1138" s="7"/>
      <c r="F1138" s="7"/>
      <c r="G1138" s="7"/>
      <c r="H1138" s="7"/>
      <c r="I1138" s="7"/>
      <c r="K1138" s="9"/>
    </row>
    <row r="1139" spans="5:11" ht="12.75" customHeight="1">
      <c r="E1139" s="7"/>
      <c r="F1139" s="7"/>
      <c r="G1139" s="7"/>
      <c r="H1139" s="7"/>
      <c r="I1139" s="7"/>
      <c r="K1139" s="9"/>
    </row>
    <row r="1140" spans="5:11" ht="12.75" customHeight="1">
      <c r="E1140" s="7"/>
      <c r="F1140" s="7"/>
      <c r="G1140" s="7"/>
      <c r="H1140" s="7"/>
      <c r="I1140" s="7"/>
      <c r="K1140" s="9"/>
    </row>
    <row r="1141" spans="5:11" ht="12.75" customHeight="1">
      <c r="E1141" s="7"/>
      <c r="F1141" s="7"/>
      <c r="G1141" s="7"/>
      <c r="H1141" s="7"/>
      <c r="I1141" s="7"/>
      <c r="K1141" s="9"/>
    </row>
    <row r="1142" spans="5:11" ht="12.75" customHeight="1">
      <c r="E1142" s="7"/>
      <c r="F1142" s="7"/>
      <c r="G1142" s="7"/>
      <c r="H1142" s="7"/>
      <c r="I1142" s="7"/>
      <c r="K1142" s="9"/>
    </row>
    <row r="1143" spans="5:11" ht="12.75" customHeight="1">
      <c r="E1143" s="7"/>
      <c r="F1143" s="7"/>
      <c r="G1143" s="7"/>
      <c r="H1143" s="7"/>
      <c r="I1143" s="7"/>
      <c r="K1143" s="9"/>
    </row>
    <row r="1144" spans="5:11" ht="12.75" customHeight="1">
      <c r="E1144" s="7"/>
      <c r="F1144" s="7"/>
      <c r="G1144" s="7"/>
      <c r="H1144" s="7"/>
      <c r="I1144" s="7"/>
      <c r="K1144" s="9"/>
    </row>
    <row r="1145" spans="5:11" ht="12.75" customHeight="1">
      <c r="E1145" s="7"/>
      <c r="F1145" s="7"/>
      <c r="G1145" s="7"/>
      <c r="H1145" s="7"/>
      <c r="I1145" s="7"/>
      <c r="K1145" s="9"/>
    </row>
    <row r="1146" spans="5:11" ht="12.75" customHeight="1">
      <c r="E1146" s="7"/>
      <c r="F1146" s="7"/>
      <c r="G1146" s="7"/>
      <c r="H1146" s="7"/>
      <c r="I1146" s="7"/>
      <c r="K1146" s="9"/>
    </row>
    <row r="1147" spans="5:11" ht="12.75" customHeight="1">
      <c r="E1147" s="7"/>
      <c r="F1147" s="7"/>
      <c r="G1147" s="7"/>
      <c r="H1147" s="7"/>
      <c r="I1147" s="7"/>
      <c r="K1147" s="9"/>
    </row>
    <row r="1148" spans="5:11" ht="12.75" customHeight="1">
      <c r="E1148" s="7"/>
      <c r="F1148" s="7"/>
      <c r="G1148" s="7"/>
      <c r="H1148" s="7"/>
      <c r="I1148" s="7"/>
      <c r="K1148" s="9"/>
    </row>
    <row r="1149" spans="5:11" ht="12.75" customHeight="1">
      <c r="E1149" s="7"/>
      <c r="F1149" s="7"/>
      <c r="G1149" s="7"/>
      <c r="H1149" s="7"/>
      <c r="I1149" s="7"/>
      <c r="K1149" s="9"/>
    </row>
    <row r="1150" spans="5:11" ht="12.75" customHeight="1">
      <c r="E1150" s="7"/>
      <c r="F1150" s="7"/>
      <c r="G1150" s="7"/>
      <c r="H1150" s="7"/>
      <c r="I1150" s="7"/>
      <c r="K1150" s="9"/>
    </row>
    <row r="1151" spans="5:11" ht="12.75" customHeight="1">
      <c r="E1151" s="7"/>
      <c r="F1151" s="7"/>
      <c r="G1151" s="7"/>
      <c r="H1151" s="7"/>
      <c r="I1151" s="7"/>
      <c r="K1151" s="9"/>
    </row>
    <row r="1152" spans="5:11" ht="12.75" customHeight="1">
      <c r="E1152" s="7"/>
      <c r="F1152" s="7"/>
      <c r="G1152" s="7"/>
      <c r="H1152" s="7"/>
      <c r="I1152" s="7"/>
      <c r="K1152" s="9"/>
    </row>
    <row r="1153" spans="5:11" ht="12.75" customHeight="1">
      <c r="E1153" s="7"/>
      <c r="F1153" s="7"/>
      <c r="G1153" s="7"/>
      <c r="H1153" s="7"/>
      <c r="I1153" s="7"/>
      <c r="K1153" s="9"/>
    </row>
    <row r="1154" spans="5:11" ht="12.75" customHeight="1">
      <c r="E1154" s="7"/>
      <c r="F1154" s="7"/>
      <c r="G1154" s="7"/>
      <c r="H1154" s="7"/>
      <c r="I1154" s="7"/>
      <c r="K1154" s="9"/>
    </row>
    <row r="1155" spans="5:11" ht="12.75" customHeight="1">
      <c r="E1155" s="7"/>
      <c r="F1155" s="7"/>
      <c r="G1155" s="7"/>
      <c r="H1155" s="7"/>
      <c r="I1155" s="7"/>
      <c r="K1155" s="9"/>
    </row>
    <row r="1156" spans="5:11" ht="12.75" customHeight="1">
      <c r="E1156" s="7"/>
      <c r="F1156" s="7"/>
      <c r="G1156" s="7"/>
      <c r="H1156" s="7"/>
      <c r="I1156" s="7"/>
      <c r="K1156" s="9"/>
    </row>
    <row r="1157" spans="5:11" ht="12.75" customHeight="1">
      <c r="E1157" s="7"/>
      <c r="F1157" s="7"/>
      <c r="G1157" s="7"/>
      <c r="H1157" s="7"/>
      <c r="I1157" s="7"/>
      <c r="K1157" s="9"/>
    </row>
    <row r="1158" spans="5:11" ht="12.75" customHeight="1">
      <c r="E1158" s="7"/>
      <c r="F1158" s="7"/>
      <c r="G1158" s="7"/>
      <c r="H1158" s="7"/>
      <c r="I1158" s="7"/>
      <c r="K1158" s="9"/>
    </row>
    <row r="1159" spans="5:11" ht="12.75" customHeight="1">
      <c r="E1159" s="7"/>
      <c r="F1159" s="7"/>
      <c r="G1159" s="7"/>
      <c r="H1159" s="7"/>
      <c r="I1159" s="7"/>
      <c r="K1159" s="9"/>
    </row>
    <row r="1160" spans="5:11" ht="12.75" customHeight="1">
      <c r="E1160" s="7"/>
      <c r="F1160" s="7"/>
      <c r="G1160" s="7"/>
      <c r="H1160" s="7"/>
      <c r="I1160" s="7"/>
      <c r="K1160" s="9"/>
    </row>
    <row r="1161" spans="5:11" ht="12.75" customHeight="1">
      <c r="E1161" s="7"/>
      <c r="F1161" s="7"/>
      <c r="G1161" s="7"/>
      <c r="H1161" s="7"/>
      <c r="I1161" s="7"/>
      <c r="K1161" s="9"/>
    </row>
    <row r="1162" spans="5:11" ht="12.75" customHeight="1">
      <c r="E1162" s="7"/>
      <c r="F1162" s="7"/>
      <c r="G1162" s="7"/>
      <c r="H1162" s="7"/>
      <c r="I1162" s="7"/>
      <c r="K1162" s="9"/>
    </row>
    <row r="1163" spans="5:11" ht="12.75" customHeight="1">
      <c r="E1163" s="7"/>
      <c r="F1163" s="7"/>
      <c r="G1163" s="7"/>
      <c r="H1163" s="7"/>
      <c r="I1163" s="7"/>
      <c r="K1163" s="9"/>
    </row>
    <row r="1164" spans="5:11" ht="12.75" customHeight="1">
      <c r="E1164" s="7"/>
      <c r="F1164" s="7"/>
      <c r="G1164" s="7"/>
      <c r="H1164" s="7"/>
      <c r="I1164" s="7"/>
      <c r="K1164" s="9"/>
    </row>
    <row r="1165" spans="5:11" ht="12.75" customHeight="1">
      <c r="E1165" s="7"/>
      <c r="F1165" s="7"/>
      <c r="G1165" s="7"/>
      <c r="H1165" s="7"/>
      <c r="I1165" s="7"/>
      <c r="K1165" s="9"/>
    </row>
    <row r="1166" spans="5:11" ht="12.75" customHeight="1">
      <c r="E1166" s="7"/>
      <c r="F1166" s="7"/>
      <c r="G1166" s="7"/>
      <c r="H1166" s="7"/>
      <c r="I1166" s="7"/>
      <c r="K1166" s="9"/>
    </row>
    <row r="1167" spans="5:11" ht="12.75" customHeight="1">
      <c r="E1167" s="7"/>
      <c r="F1167" s="7"/>
      <c r="G1167" s="7"/>
      <c r="H1167" s="7"/>
      <c r="I1167" s="7"/>
      <c r="K1167" s="9"/>
    </row>
    <row r="1168" spans="5:11" ht="12.75" customHeight="1">
      <c r="E1168" s="7"/>
      <c r="F1168" s="7"/>
      <c r="G1168" s="7"/>
      <c r="H1168" s="7"/>
      <c r="I1168" s="7"/>
      <c r="K1168" s="9"/>
    </row>
    <row r="1169" spans="5:11" ht="12.75" customHeight="1">
      <c r="E1169" s="7"/>
      <c r="F1169" s="7"/>
      <c r="G1169" s="7"/>
      <c r="H1169" s="7"/>
      <c r="I1169" s="7"/>
      <c r="K1169" s="9"/>
    </row>
    <row r="1170" spans="5:11" ht="12.75" customHeight="1">
      <c r="E1170" s="7"/>
      <c r="F1170" s="7"/>
      <c r="G1170" s="7"/>
      <c r="H1170" s="7"/>
      <c r="I1170" s="7"/>
      <c r="K1170" s="9"/>
    </row>
    <row r="1171" spans="5:11" ht="12.75" customHeight="1">
      <c r="E1171" s="7"/>
      <c r="F1171" s="7"/>
      <c r="G1171" s="7"/>
      <c r="H1171" s="7"/>
      <c r="I1171" s="7"/>
      <c r="K1171" s="9"/>
    </row>
    <row r="1172" spans="5:11" ht="12.75" customHeight="1">
      <c r="E1172" s="7"/>
      <c r="F1172" s="7"/>
      <c r="G1172" s="7"/>
      <c r="H1172" s="7"/>
      <c r="I1172" s="7"/>
      <c r="K1172" s="9"/>
    </row>
    <row r="1173" spans="5:11" ht="12.75" customHeight="1">
      <c r="E1173" s="7"/>
      <c r="F1173" s="7"/>
      <c r="G1173" s="7"/>
      <c r="H1173" s="7"/>
      <c r="I1173" s="7"/>
      <c r="K1173" s="9"/>
    </row>
    <row r="1174" spans="5:11" ht="12.75" customHeight="1">
      <c r="E1174" s="7"/>
      <c r="F1174" s="7"/>
      <c r="G1174" s="7"/>
      <c r="H1174" s="7"/>
      <c r="I1174" s="7"/>
      <c r="K1174" s="9"/>
    </row>
    <row r="1175" spans="5:11" ht="12.75" customHeight="1">
      <c r="E1175" s="7"/>
      <c r="F1175" s="7"/>
      <c r="G1175" s="7"/>
      <c r="H1175" s="7"/>
      <c r="I1175" s="7"/>
      <c r="K1175" s="9"/>
    </row>
    <row r="1176" spans="5:11" ht="12.75" customHeight="1">
      <c r="E1176" s="7"/>
      <c r="F1176" s="7"/>
      <c r="G1176" s="7"/>
      <c r="H1176" s="7"/>
      <c r="I1176" s="7"/>
      <c r="K1176" s="9"/>
    </row>
    <row r="1177" spans="5:11" ht="12.75" customHeight="1">
      <c r="E1177" s="7"/>
      <c r="F1177" s="7"/>
      <c r="G1177" s="7"/>
      <c r="H1177" s="7"/>
      <c r="I1177" s="7"/>
      <c r="K1177" s="9"/>
    </row>
    <row r="1178" spans="5:11" ht="12.75" customHeight="1">
      <c r="E1178" s="7"/>
      <c r="F1178" s="7"/>
      <c r="G1178" s="7"/>
      <c r="H1178" s="7"/>
      <c r="I1178" s="7"/>
      <c r="K1178" s="9"/>
    </row>
    <row r="1179" spans="5:11" ht="12.75" customHeight="1">
      <c r="E1179" s="7"/>
      <c r="F1179" s="7"/>
      <c r="G1179" s="7"/>
      <c r="H1179" s="7"/>
      <c r="I1179" s="7"/>
      <c r="K1179" s="9"/>
    </row>
    <row r="1180" spans="5:11" ht="12.75" customHeight="1">
      <c r="E1180" s="7"/>
      <c r="F1180" s="7"/>
      <c r="G1180" s="7"/>
      <c r="H1180" s="7"/>
      <c r="I1180" s="7"/>
      <c r="K1180" s="9"/>
    </row>
    <row r="1181" spans="5:11" ht="12.75" customHeight="1">
      <c r="E1181" s="7"/>
      <c r="F1181" s="7"/>
      <c r="G1181" s="7"/>
      <c r="H1181" s="7"/>
      <c r="I1181" s="7"/>
      <c r="K1181" s="9"/>
    </row>
    <row r="1182" spans="5:11" ht="12.75" customHeight="1">
      <c r="E1182" s="7"/>
      <c r="F1182" s="7"/>
      <c r="G1182" s="7"/>
      <c r="H1182" s="7"/>
      <c r="I1182" s="7"/>
      <c r="K1182" s="9"/>
    </row>
    <row r="1183" spans="5:11" ht="12.75" customHeight="1">
      <c r="E1183" s="7"/>
      <c r="F1183" s="7"/>
      <c r="G1183" s="7"/>
      <c r="H1183" s="7"/>
      <c r="I1183" s="7"/>
      <c r="K1183" s="9"/>
    </row>
    <row r="1184" spans="5:11" ht="12.75" customHeight="1">
      <c r="E1184" s="7"/>
      <c r="F1184" s="7"/>
      <c r="G1184" s="7"/>
      <c r="H1184" s="7"/>
      <c r="I1184" s="7"/>
      <c r="K1184" s="9"/>
    </row>
    <row r="1185" spans="5:11" ht="12.75" customHeight="1">
      <c r="E1185" s="7"/>
      <c r="F1185" s="7"/>
      <c r="G1185" s="7"/>
      <c r="H1185" s="7"/>
      <c r="I1185" s="7"/>
      <c r="K1185" s="9"/>
    </row>
    <row r="1186" spans="5:11" ht="12.75" customHeight="1">
      <c r="E1186" s="7"/>
      <c r="F1186" s="7"/>
      <c r="G1186" s="7"/>
      <c r="H1186" s="7"/>
      <c r="I1186" s="7"/>
      <c r="K1186" s="9"/>
    </row>
    <row r="1187" spans="5:11" ht="12.75" customHeight="1">
      <c r="E1187" s="7"/>
      <c r="F1187" s="7"/>
      <c r="G1187" s="7"/>
      <c r="H1187" s="7"/>
      <c r="I1187" s="7"/>
      <c r="K1187" s="9"/>
    </row>
    <row r="1188" spans="5:11" ht="12.75" customHeight="1">
      <c r="E1188" s="7"/>
      <c r="F1188" s="7"/>
      <c r="G1188" s="7"/>
      <c r="H1188" s="7"/>
      <c r="I1188" s="7"/>
      <c r="K1188" s="9"/>
    </row>
    <row r="1189" spans="5:11" ht="12.75" customHeight="1">
      <c r="E1189" s="7"/>
      <c r="F1189" s="7"/>
      <c r="G1189" s="7"/>
      <c r="H1189" s="7"/>
      <c r="I1189" s="7"/>
      <c r="K1189" s="9"/>
    </row>
    <row r="1190" spans="5:11" ht="12.75" customHeight="1">
      <c r="E1190" s="7"/>
      <c r="F1190" s="7"/>
      <c r="G1190" s="7"/>
      <c r="H1190" s="7"/>
      <c r="I1190" s="7"/>
      <c r="K1190" s="9"/>
    </row>
    <row r="1191" spans="5:11" ht="12.75" customHeight="1">
      <c r="E1191" s="7"/>
      <c r="F1191" s="7"/>
      <c r="G1191" s="7"/>
      <c r="H1191" s="7"/>
      <c r="I1191" s="7"/>
      <c r="K1191" s="9"/>
    </row>
    <row r="1192" spans="5:11" ht="12.75" customHeight="1">
      <c r="E1192" s="7"/>
      <c r="F1192" s="7"/>
      <c r="G1192" s="7"/>
      <c r="H1192" s="7"/>
      <c r="I1192" s="7"/>
      <c r="K1192" s="9"/>
    </row>
    <row r="1193" spans="5:11" ht="12.75" customHeight="1">
      <c r="E1193" s="7"/>
      <c r="F1193" s="7"/>
      <c r="G1193" s="7"/>
      <c r="H1193" s="7"/>
      <c r="I1193" s="7"/>
      <c r="K1193" s="9"/>
    </row>
    <row r="1194" spans="5:11" ht="12.75" customHeight="1">
      <c r="E1194" s="7"/>
      <c r="F1194" s="7"/>
      <c r="G1194" s="7"/>
      <c r="H1194" s="7"/>
      <c r="I1194" s="7"/>
      <c r="K1194" s="9"/>
    </row>
    <row r="1195" spans="5:11" ht="12.75" customHeight="1">
      <c r="E1195" s="7"/>
      <c r="F1195" s="7"/>
      <c r="G1195" s="7"/>
      <c r="H1195" s="7"/>
      <c r="I1195" s="7"/>
      <c r="K1195" s="9"/>
    </row>
    <row r="1196" spans="5:11" ht="12.75" customHeight="1">
      <c r="E1196" s="7"/>
      <c r="F1196" s="7"/>
      <c r="G1196" s="7"/>
      <c r="H1196" s="7"/>
      <c r="I1196" s="7"/>
      <c r="K1196" s="9"/>
    </row>
    <row r="1197" spans="5:11" ht="12.75" customHeight="1">
      <c r="E1197" s="7"/>
      <c r="F1197" s="7"/>
      <c r="G1197" s="7"/>
      <c r="H1197" s="7"/>
      <c r="I1197" s="7"/>
      <c r="K1197" s="9"/>
    </row>
    <row r="1198" spans="5:11" ht="12.75" customHeight="1">
      <c r="E1198" s="7"/>
      <c r="F1198" s="7"/>
      <c r="G1198" s="7"/>
      <c r="H1198" s="7"/>
      <c r="I1198" s="7"/>
      <c r="K1198" s="9"/>
    </row>
    <row r="1199" spans="5:11" ht="12.75" customHeight="1">
      <c r="E1199" s="7"/>
      <c r="F1199" s="7"/>
      <c r="G1199" s="7"/>
      <c r="H1199" s="7"/>
      <c r="I1199" s="7"/>
      <c r="K1199" s="9"/>
    </row>
    <row r="1200" spans="5:11" ht="12.75" customHeight="1">
      <c r="E1200" s="7"/>
      <c r="F1200" s="7"/>
      <c r="G1200" s="7"/>
      <c r="H1200" s="7"/>
      <c r="I1200" s="7"/>
      <c r="K1200" s="9"/>
    </row>
    <row r="1201" spans="5:11" ht="12.75" customHeight="1">
      <c r="E1201" s="7"/>
      <c r="F1201" s="7"/>
      <c r="G1201" s="7"/>
      <c r="H1201" s="7"/>
      <c r="I1201" s="7"/>
      <c r="K1201" s="9"/>
    </row>
    <row r="1202" spans="5:11" ht="12.75" customHeight="1">
      <c r="E1202" s="7"/>
      <c r="F1202" s="7"/>
      <c r="G1202" s="7"/>
      <c r="H1202" s="7"/>
      <c r="I1202" s="7"/>
      <c r="K1202" s="9"/>
    </row>
    <row r="1203" spans="5:11" ht="12.75" customHeight="1">
      <c r="E1203" s="7"/>
      <c r="F1203" s="7"/>
      <c r="G1203" s="7"/>
      <c r="H1203" s="7"/>
      <c r="I1203" s="7"/>
      <c r="K1203" s="9"/>
    </row>
    <row r="1204" spans="5:11" ht="12.75" customHeight="1">
      <c r="E1204" s="7"/>
      <c r="F1204" s="7"/>
      <c r="G1204" s="7"/>
      <c r="H1204" s="7"/>
      <c r="I1204" s="7"/>
      <c r="K1204" s="9"/>
    </row>
    <row r="1205" spans="5:11" ht="12.75" customHeight="1">
      <c r="E1205" s="7"/>
      <c r="F1205" s="7"/>
      <c r="G1205" s="7"/>
      <c r="H1205" s="7"/>
      <c r="I1205" s="7"/>
      <c r="K1205" s="9"/>
    </row>
    <row r="1206" spans="5:11" ht="12.75" customHeight="1">
      <c r="E1206" s="7"/>
      <c r="F1206" s="7"/>
      <c r="G1206" s="7"/>
      <c r="H1206" s="7"/>
      <c r="I1206" s="7"/>
      <c r="K1206" s="9"/>
    </row>
    <row r="1207" spans="5:11" ht="12.75" customHeight="1">
      <c r="E1207" s="7"/>
      <c r="F1207" s="7"/>
      <c r="G1207" s="7"/>
      <c r="H1207" s="7"/>
      <c r="I1207" s="7"/>
      <c r="K1207" s="9"/>
    </row>
    <row r="1208" spans="5:11" ht="12.75" customHeight="1">
      <c r="E1208" s="7"/>
      <c r="F1208" s="7"/>
      <c r="G1208" s="7"/>
      <c r="H1208" s="7"/>
      <c r="I1208" s="7"/>
      <c r="K1208" s="9"/>
    </row>
    <row r="1209" spans="5:11" ht="12.75" customHeight="1">
      <c r="E1209" s="7"/>
      <c r="F1209" s="7"/>
      <c r="G1209" s="7"/>
      <c r="H1209" s="7"/>
      <c r="I1209" s="7"/>
      <c r="K1209" s="9"/>
    </row>
    <row r="1210" spans="5:11" ht="12.75" customHeight="1">
      <c r="E1210" s="7"/>
      <c r="F1210" s="7"/>
      <c r="G1210" s="7"/>
      <c r="H1210" s="7"/>
      <c r="I1210" s="7"/>
      <c r="K1210" s="9"/>
    </row>
    <row r="1211" spans="5:11" ht="12.75" customHeight="1">
      <c r="E1211" s="7"/>
      <c r="F1211" s="7"/>
      <c r="G1211" s="7"/>
      <c r="H1211" s="7"/>
      <c r="I1211" s="7"/>
      <c r="K1211" s="9"/>
    </row>
    <row r="1212" spans="5:11" ht="12.75" customHeight="1">
      <c r="E1212" s="7"/>
      <c r="F1212" s="7"/>
      <c r="G1212" s="7"/>
      <c r="H1212" s="7"/>
      <c r="I1212" s="7"/>
      <c r="K1212" s="9"/>
    </row>
    <row r="1213" spans="5:11" ht="12.75" customHeight="1">
      <c r="E1213" s="7"/>
      <c r="F1213" s="7"/>
      <c r="G1213" s="7"/>
      <c r="H1213" s="7"/>
      <c r="I1213" s="7"/>
      <c r="K1213" s="9"/>
    </row>
    <row r="1214" spans="5:11" ht="12.75" customHeight="1">
      <c r="E1214" s="7"/>
      <c r="F1214" s="7"/>
      <c r="G1214" s="7"/>
      <c r="H1214" s="7"/>
      <c r="I1214" s="7"/>
      <c r="K1214" s="9"/>
    </row>
    <row r="1215" spans="5:11" ht="12.75" customHeight="1">
      <c r="E1215" s="7"/>
      <c r="F1215" s="7"/>
      <c r="G1215" s="7"/>
      <c r="H1215" s="7"/>
      <c r="I1215" s="7"/>
      <c r="K1215" s="9"/>
    </row>
    <row r="1216" spans="5:11" ht="12.75" customHeight="1">
      <c r="E1216" s="7"/>
      <c r="F1216" s="7"/>
      <c r="G1216" s="7"/>
      <c r="H1216" s="7"/>
      <c r="I1216" s="7"/>
      <c r="K1216" s="9"/>
    </row>
    <row r="1217" spans="5:11" ht="12.75" customHeight="1">
      <c r="E1217" s="7"/>
      <c r="F1217" s="7"/>
      <c r="G1217" s="7"/>
      <c r="H1217" s="7"/>
      <c r="I1217" s="7"/>
      <c r="K1217" s="9"/>
    </row>
    <row r="1218" spans="5:11" ht="12.75" customHeight="1">
      <c r="E1218" s="7"/>
      <c r="F1218" s="7"/>
      <c r="G1218" s="7"/>
      <c r="H1218" s="7"/>
      <c r="I1218" s="7"/>
      <c r="K1218" s="9"/>
    </row>
    <row r="1219" spans="5:11" ht="12.75" customHeight="1">
      <c r="E1219" s="7"/>
      <c r="F1219" s="7"/>
      <c r="G1219" s="7"/>
      <c r="H1219" s="7"/>
      <c r="I1219" s="7"/>
      <c r="K1219" s="9"/>
    </row>
    <row r="1220" spans="5:11" ht="12.75" customHeight="1">
      <c r="E1220" s="7"/>
      <c r="F1220" s="7"/>
      <c r="G1220" s="7"/>
      <c r="H1220" s="7"/>
      <c r="I1220" s="7"/>
      <c r="K1220" s="9"/>
    </row>
    <row r="1221" spans="5:11" ht="12.75" customHeight="1">
      <c r="E1221" s="7"/>
      <c r="F1221" s="7"/>
      <c r="G1221" s="7"/>
      <c r="H1221" s="7"/>
      <c r="I1221" s="7"/>
      <c r="K1221" s="9"/>
    </row>
    <row r="1222" spans="5:11" ht="12.75" customHeight="1">
      <c r="E1222" s="7"/>
      <c r="F1222" s="7"/>
      <c r="G1222" s="7"/>
      <c r="H1222" s="7"/>
      <c r="I1222" s="7"/>
      <c r="K1222" s="9"/>
    </row>
    <row r="1223" spans="5:11" ht="12.75" customHeight="1">
      <c r="E1223" s="7"/>
      <c r="F1223" s="7"/>
      <c r="G1223" s="7"/>
      <c r="H1223" s="7"/>
      <c r="I1223" s="7"/>
      <c r="K1223" s="9"/>
    </row>
    <row r="1224" spans="5:11" ht="12.75" customHeight="1">
      <c r="E1224" s="7"/>
      <c r="F1224" s="7"/>
      <c r="G1224" s="7"/>
      <c r="H1224" s="7"/>
      <c r="I1224" s="7"/>
      <c r="K1224" s="9"/>
    </row>
    <row r="1225" spans="5:11" ht="12.75" customHeight="1">
      <c r="E1225" s="7"/>
      <c r="F1225" s="7"/>
      <c r="G1225" s="7"/>
      <c r="H1225" s="7"/>
      <c r="I1225" s="7"/>
      <c r="K1225" s="9"/>
    </row>
    <row r="1226" spans="5:11" ht="12.75" customHeight="1">
      <c r="E1226" s="7"/>
      <c r="F1226" s="7"/>
      <c r="G1226" s="7"/>
      <c r="H1226" s="7"/>
      <c r="I1226" s="7"/>
      <c r="K1226" s="9"/>
    </row>
    <row r="1227" spans="5:11" ht="12.75" customHeight="1">
      <c r="E1227" s="7"/>
      <c r="F1227" s="7"/>
      <c r="G1227" s="7"/>
      <c r="H1227" s="7"/>
      <c r="I1227" s="7"/>
      <c r="K1227" s="9"/>
    </row>
    <row r="1228" spans="5:11" ht="12.75" customHeight="1">
      <c r="E1228" s="7"/>
      <c r="F1228" s="7"/>
      <c r="G1228" s="7"/>
      <c r="H1228" s="7"/>
      <c r="I1228" s="7"/>
      <c r="K1228" s="9"/>
    </row>
    <row r="1229" spans="5:11" ht="12.75" customHeight="1">
      <c r="E1229" s="7"/>
      <c r="F1229" s="7"/>
      <c r="G1229" s="7"/>
      <c r="H1229" s="7"/>
      <c r="I1229" s="7"/>
      <c r="K1229" s="9"/>
    </row>
    <row r="1230" spans="5:11" ht="12.75" customHeight="1">
      <c r="E1230" s="7"/>
      <c r="F1230" s="7"/>
      <c r="G1230" s="7"/>
      <c r="H1230" s="7"/>
      <c r="I1230" s="7"/>
      <c r="K1230" s="9"/>
    </row>
    <row r="1231" spans="5:11" ht="12.75" customHeight="1">
      <c r="E1231" s="7"/>
      <c r="F1231" s="7"/>
      <c r="G1231" s="7"/>
      <c r="H1231" s="7"/>
      <c r="I1231" s="7"/>
      <c r="K1231" s="9"/>
    </row>
    <row r="1232" spans="5:11" ht="12.75" customHeight="1">
      <c r="E1232" s="7"/>
      <c r="F1232" s="7"/>
      <c r="G1232" s="7"/>
      <c r="H1232" s="7"/>
      <c r="I1232" s="7"/>
      <c r="K1232" s="9"/>
    </row>
    <row r="1233" spans="5:11" ht="12.75" customHeight="1">
      <c r="E1233" s="7"/>
      <c r="F1233" s="7"/>
      <c r="G1233" s="7"/>
      <c r="H1233" s="7"/>
      <c r="I1233" s="7"/>
      <c r="K1233" s="9"/>
    </row>
    <row r="1234" spans="5:11" ht="12.75" customHeight="1">
      <c r="E1234" s="7"/>
      <c r="F1234" s="7"/>
      <c r="G1234" s="7"/>
      <c r="H1234" s="7"/>
      <c r="I1234" s="7"/>
      <c r="K1234" s="9"/>
    </row>
    <row r="1235" spans="5:11" ht="12.75" customHeight="1">
      <c r="E1235" s="7"/>
      <c r="F1235" s="7"/>
      <c r="G1235" s="7"/>
      <c r="H1235" s="7"/>
      <c r="I1235" s="7"/>
      <c r="K1235" s="9"/>
    </row>
    <row r="1236" spans="5:11" ht="12.75" customHeight="1">
      <c r="E1236" s="7"/>
      <c r="F1236" s="7"/>
      <c r="G1236" s="7"/>
      <c r="H1236" s="7"/>
      <c r="I1236" s="7"/>
      <c r="K1236" s="9"/>
    </row>
    <row r="1237" spans="5:11" ht="12.75" customHeight="1">
      <c r="E1237" s="7"/>
      <c r="F1237" s="7"/>
      <c r="G1237" s="7"/>
      <c r="H1237" s="7"/>
      <c r="I1237" s="7"/>
      <c r="K1237" s="9"/>
    </row>
    <row r="1238" spans="5:11" ht="12.75" customHeight="1">
      <c r="E1238" s="7"/>
      <c r="F1238" s="7"/>
      <c r="G1238" s="7"/>
      <c r="H1238" s="7"/>
      <c r="I1238" s="7"/>
      <c r="K1238" s="9"/>
    </row>
    <row r="1239" spans="5:11" ht="12.75" customHeight="1">
      <c r="E1239" s="7"/>
      <c r="F1239" s="7"/>
      <c r="G1239" s="7"/>
      <c r="H1239" s="7"/>
      <c r="I1239" s="7"/>
      <c r="K1239" s="9"/>
    </row>
    <row r="1240" spans="5:11" ht="12.75" customHeight="1">
      <c r="E1240" s="7"/>
      <c r="F1240" s="7"/>
      <c r="G1240" s="7"/>
      <c r="H1240" s="7"/>
      <c r="I1240" s="7"/>
      <c r="K1240" s="9"/>
    </row>
    <row r="1241" spans="5:11" ht="12.75" customHeight="1">
      <c r="E1241" s="7"/>
      <c r="F1241" s="7"/>
      <c r="G1241" s="7"/>
      <c r="H1241" s="7"/>
      <c r="I1241" s="7"/>
      <c r="K1241" s="9"/>
    </row>
    <row r="1242" spans="5:11" ht="12.75" customHeight="1">
      <c r="E1242" s="7"/>
      <c r="F1242" s="7"/>
      <c r="G1242" s="7"/>
      <c r="H1242" s="7"/>
      <c r="I1242" s="7"/>
      <c r="K1242" s="9"/>
    </row>
    <row r="1243" spans="5:11" ht="12.75" customHeight="1">
      <c r="E1243" s="7"/>
      <c r="F1243" s="7"/>
      <c r="G1243" s="7"/>
      <c r="H1243" s="7"/>
      <c r="I1243" s="7"/>
      <c r="K1243" s="9"/>
    </row>
    <row r="1244" spans="5:11" ht="12.75" customHeight="1">
      <c r="E1244" s="7"/>
      <c r="F1244" s="7"/>
      <c r="G1244" s="7"/>
      <c r="H1244" s="7"/>
      <c r="I1244" s="7"/>
      <c r="K1244" s="9"/>
    </row>
    <row r="1245" spans="5:11" ht="12.75" customHeight="1">
      <c r="E1245" s="7"/>
      <c r="F1245" s="7"/>
      <c r="G1245" s="7"/>
      <c r="H1245" s="7"/>
      <c r="I1245" s="7"/>
      <c r="K1245" s="9"/>
    </row>
    <row r="1246" spans="5:11" ht="12.75" customHeight="1">
      <c r="E1246" s="7"/>
      <c r="F1246" s="7"/>
      <c r="G1246" s="7"/>
      <c r="H1246" s="7"/>
      <c r="I1246" s="7"/>
      <c r="K1246" s="9"/>
    </row>
    <row r="1247" spans="5:11" ht="12.75" customHeight="1">
      <c r="E1247" s="7"/>
      <c r="F1247" s="7"/>
      <c r="G1247" s="7"/>
      <c r="H1247" s="7"/>
      <c r="I1247" s="7"/>
      <c r="K1247" s="9"/>
    </row>
    <row r="1248" spans="5:11" ht="12.75" customHeight="1">
      <c r="E1248" s="7"/>
      <c r="F1248" s="7"/>
      <c r="G1248" s="7"/>
      <c r="H1248" s="7"/>
      <c r="I1248" s="7"/>
      <c r="K1248" s="9"/>
    </row>
    <row r="1249" spans="5:11" ht="12.75" customHeight="1">
      <c r="E1249" s="7"/>
      <c r="F1249" s="7"/>
      <c r="G1249" s="7"/>
      <c r="H1249" s="7"/>
      <c r="I1249" s="7"/>
      <c r="K1249" s="9"/>
    </row>
    <row r="1250" spans="5:11" ht="12.75" customHeight="1">
      <c r="E1250" s="7"/>
      <c r="F1250" s="7"/>
      <c r="G1250" s="7"/>
      <c r="H1250" s="7"/>
      <c r="I1250" s="7"/>
      <c r="K1250" s="9"/>
    </row>
    <row r="1251" spans="5:11" ht="12.75" customHeight="1">
      <c r="E1251" s="7"/>
      <c r="F1251" s="7"/>
      <c r="G1251" s="7"/>
      <c r="H1251" s="7"/>
      <c r="I1251" s="7"/>
      <c r="K1251" s="9"/>
    </row>
    <row r="1252" spans="5:11" ht="12.75" customHeight="1">
      <c r="E1252" s="7"/>
      <c r="F1252" s="7"/>
      <c r="G1252" s="7"/>
      <c r="H1252" s="7"/>
      <c r="I1252" s="7"/>
      <c r="K1252" s="9"/>
    </row>
    <row r="1253" spans="5:11" ht="12.75" customHeight="1">
      <c r="E1253" s="7"/>
      <c r="F1253" s="7"/>
      <c r="G1253" s="7"/>
      <c r="H1253" s="7"/>
      <c r="I1253" s="7"/>
      <c r="K1253" s="9"/>
    </row>
    <row r="1254" spans="5:11" ht="12.75" customHeight="1">
      <c r="E1254" s="7"/>
      <c r="F1254" s="7"/>
      <c r="G1254" s="7"/>
      <c r="H1254" s="7"/>
      <c r="I1254" s="7"/>
      <c r="K1254" s="9"/>
    </row>
    <row r="1255" spans="5:11" ht="12.75" customHeight="1">
      <c r="E1255" s="7"/>
      <c r="F1255" s="7"/>
      <c r="G1255" s="7"/>
      <c r="H1255" s="7"/>
      <c r="I1255" s="7"/>
      <c r="K1255" s="9"/>
    </row>
    <row r="1256" spans="5:11" ht="12.75" customHeight="1">
      <c r="E1256" s="7"/>
      <c r="F1256" s="7"/>
      <c r="G1256" s="7"/>
      <c r="H1256" s="7"/>
      <c r="I1256" s="7"/>
      <c r="K1256" s="9"/>
    </row>
    <row r="1257" spans="5:11" ht="12.75" customHeight="1">
      <c r="E1257" s="7"/>
      <c r="F1257" s="7"/>
      <c r="G1257" s="7"/>
      <c r="H1257" s="7"/>
      <c r="I1257" s="7"/>
      <c r="K1257" s="9"/>
    </row>
    <row r="1258" spans="5:11" ht="12.75" customHeight="1">
      <c r="E1258" s="7"/>
      <c r="F1258" s="7"/>
      <c r="G1258" s="7"/>
      <c r="H1258" s="7"/>
      <c r="I1258" s="7"/>
      <c r="K1258" s="9"/>
    </row>
    <row r="1259" spans="5:11" ht="12.75" customHeight="1">
      <c r="E1259" s="7"/>
      <c r="F1259" s="7"/>
      <c r="G1259" s="7"/>
      <c r="H1259" s="7"/>
      <c r="I1259" s="7"/>
      <c r="K1259" s="9"/>
    </row>
    <row r="1260" spans="5:11" ht="12.75" customHeight="1">
      <c r="E1260" s="7"/>
      <c r="F1260" s="7"/>
      <c r="G1260" s="7"/>
      <c r="H1260" s="7"/>
      <c r="I1260" s="7"/>
      <c r="K1260" s="9"/>
    </row>
    <row r="1261" spans="5:11" ht="12.75" customHeight="1">
      <c r="E1261" s="7"/>
      <c r="F1261" s="7"/>
      <c r="G1261" s="7"/>
      <c r="H1261" s="7"/>
      <c r="I1261" s="7"/>
      <c r="K1261" s="9"/>
    </row>
    <row r="1262" spans="5:11" ht="12.75" customHeight="1">
      <c r="E1262" s="7"/>
      <c r="F1262" s="7"/>
      <c r="G1262" s="7"/>
      <c r="H1262" s="7"/>
      <c r="I1262" s="7"/>
      <c r="K1262" s="9"/>
    </row>
    <row r="1263" spans="5:11" ht="12.75" customHeight="1">
      <c r="E1263" s="7"/>
      <c r="F1263" s="7"/>
      <c r="G1263" s="7"/>
      <c r="H1263" s="7"/>
      <c r="I1263" s="7"/>
      <c r="K1263" s="9"/>
    </row>
    <row r="1264" spans="5:11" ht="12.75" customHeight="1">
      <c r="E1264" s="7"/>
      <c r="F1264" s="7"/>
      <c r="G1264" s="7"/>
      <c r="H1264" s="7"/>
      <c r="I1264" s="7"/>
      <c r="K1264" s="9"/>
    </row>
    <row r="1265" spans="5:11" ht="12.75" customHeight="1">
      <c r="E1265" s="7"/>
      <c r="F1265" s="7"/>
      <c r="G1265" s="7"/>
      <c r="H1265" s="7"/>
      <c r="I1265" s="7"/>
      <c r="K1265" s="9"/>
    </row>
    <row r="1266" spans="5:11" ht="12.75" customHeight="1">
      <c r="E1266" s="7"/>
      <c r="F1266" s="7"/>
      <c r="G1266" s="7"/>
      <c r="H1266" s="7"/>
      <c r="I1266" s="7"/>
      <c r="K1266" s="9"/>
    </row>
    <row r="1267" spans="5:11" ht="12.75" customHeight="1">
      <c r="E1267" s="7"/>
      <c r="F1267" s="7"/>
      <c r="G1267" s="7"/>
      <c r="H1267" s="7"/>
      <c r="I1267" s="7"/>
      <c r="K1267" s="9"/>
    </row>
    <row r="1268" spans="5:11" ht="12.75" customHeight="1">
      <c r="E1268" s="7"/>
      <c r="F1268" s="7"/>
      <c r="G1268" s="7"/>
      <c r="H1268" s="7"/>
      <c r="I1268" s="7"/>
      <c r="K1268" s="9"/>
    </row>
    <row r="1269" spans="5:11" ht="12.75" customHeight="1">
      <c r="E1269" s="7"/>
      <c r="F1269" s="7"/>
      <c r="G1269" s="7"/>
      <c r="H1269" s="7"/>
      <c r="I1269" s="7"/>
      <c r="K1269" s="9"/>
    </row>
    <row r="1270" spans="5:11" ht="12.75" customHeight="1">
      <c r="E1270" s="7"/>
      <c r="F1270" s="7"/>
      <c r="G1270" s="7"/>
      <c r="H1270" s="7"/>
      <c r="I1270" s="7"/>
      <c r="K1270" s="9"/>
    </row>
    <row r="1271" spans="5:11" ht="12.75" customHeight="1">
      <c r="E1271" s="7"/>
      <c r="F1271" s="7"/>
      <c r="G1271" s="7"/>
      <c r="H1271" s="7"/>
      <c r="I1271" s="7"/>
      <c r="K1271" s="9"/>
    </row>
    <row r="1272" spans="5:11" ht="12.75" customHeight="1">
      <c r="E1272" s="7"/>
      <c r="F1272" s="7"/>
      <c r="G1272" s="7"/>
      <c r="H1272" s="7"/>
      <c r="I1272" s="7"/>
      <c r="K1272" s="9"/>
    </row>
    <row r="1273" spans="5:11" ht="12.75" customHeight="1">
      <c r="E1273" s="7"/>
      <c r="F1273" s="7"/>
      <c r="G1273" s="7"/>
      <c r="H1273" s="7"/>
      <c r="I1273" s="7"/>
      <c r="K1273" s="9"/>
    </row>
    <row r="1274" spans="5:11" ht="12.75" customHeight="1">
      <c r="E1274" s="7"/>
      <c r="F1274" s="7"/>
      <c r="G1274" s="7"/>
      <c r="H1274" s="7"/>
      <c r="I1274" s="7"/>
      <c r="K1274" s="9"/>
    </row>
    <row r="1275" spans="5:11" ht="12.75" customHeight="1">
      <c r="E1275" s="7"/>
      <c r="F1275" s="7"/>
      <c r="G1275" s="7"/>
      <c r="H1275" s="7"/>
      <c r="I1275" s="7"/>
      <c r="K1275" s="9"/>
    </row>
    <row r="1276" spans="5:11" ht="12.75" customHeight="1">
      <c r="E1276" s="7"/>
      <c r="F1276" s="7"/>
      <c r="G1276" s="7"/>
      <c r="H1276" s="7"/>
      <c r="I1276" s="7"/>
      <c r="K1276" s="9"/>
    </row>
    <row r="1277" spans="5:11" ht="12.75" customHeight="1">
      <c r="E1277" s="7"/>
      <c r="F1277" s="7"/>
      <c r="G1277" s="7"/>
      <c r="H1277" s="7"/>
      <c r="I1277" s="7"/>
      <c r="K1277" s="9"/>
    </row>
    <row r="1278" spans="5:11" ht="12.75" customHeight="1">
      <c r="E1278" s="7"/>
      <c r="F1278" s="7"/>
      <c r="G1278" s="7"/>
      <c r="H1278" s="7"/>
      <c r="I1278" s="7"/>
      <c r="K1278" s="9"/>
    </row>
    <row r="1279" spans="5:11" ht="12.75" customHeight="1">
      <c r="E1279" s="7"/>
      <c r="F1279" s="7"/>
      <c r="G1279" s="7"/>
      <c r="H1279" s="7"/>
      <c r="I1279" s="7"/>
      <c r="K1279" s="9"/>
    </row>
    <row r="1280" spans="5:11" ht="12.75" customHeight="1">
      <c r="E1280" s="7"/>
      <c r="F1280" s="7"/>
      <c r="G1280" s="7"/>
      <c r="H1280" s="7"/>
      <c r="I1280" s="7"/>
      <c r="K1280" s="9"/>
    </row>
    <row r="1281" spans="5:11" ht="12.75" customHeight="1">
      <c r="E1281" s="7"/>
      <c r="F1281" s="7"/>
      <c r="G1281" s="7"/>
      <c r="H1281" s="7"/>
      <c r="I1281" s="7"/>
      <c r="K1281" s="9"/>
    </row>
    <row r="1282" spans="5:11" ht="12.75" customHeight="1">
      <c r="E1282" s="7"/>
      <c r="F1282" s="7"/>
      <c r="G1282" s="7"/>
      <c r="H1282" s="7"/>
      <c r="I1282" s="7"/>
      <c r="K1282" s="9"/>
    </row>
    <row r="1283" spans="5:11" ht="12.75" customHeight="1">
      <c r="E1283" s="7"/>
      <c r="F1283" s="7"/>
      <c r="G1283" s="7"/>
      <c r="H1283" s="7"/>
      <c r="I1283" s="7"/>
      <c r="K1283" s="9"/>
    </row>
    <row r="1284" spans="5:11" ht="12.75" customHeight="1">
      <c r="E1284" s="7"/>
      <c r="F1284" s="7"/>
      <c r="G1284" s="7"/>
      <c r="H1284" s="7"/>
      <c r="I1284" s="7"/>
      <c r="K1284" s="9"/>
    </row>
    <row r="1285" spans="5:11" ht="12.75" customHeight="1">
      <c r="E1285" s="7"/>
      <c r="F1285" s="7"/>
      <c r="G1285" s="7"/>
      <c r="H1285" s="7"/>
      <c r="I1285" s="7"/>
      <c r="K1285" s="9"/>
    </row>
    <row r="1286" spans="5:11" ht="12.75" customHeight="1">
      <c r="E1286" s="7"/>
      <c r="F1286" s="7"/>
      <c r="G1286" s="7"/>
      <c r="H1286" s="7"/>
      <c r="I1286" s="7"/>
      <c r="K1286" s="9"/>
    </row>
    <row r="1287" spans="5:11" ht="12.75" customHeight="1">
      <c r="E1287" s="7"/>
      <c r="F1287" s="7"/>
      <c r="G1287" s="7"/>
      <c r="H1287" s="7"/>
      <c r="I1287" s="7"/>
      <c r="K1287" s="9"/>
    </row>
    <row r="1288" spans="5:11" ht="12.75" customHeight="1">
      <c r="E1288" s="7"/>
      <c r="F1288" s="7"/>
      <c r="G1288" s="7"/>
      <c r="H1288" s="7"/>
      <c r="I1288" s="7"/>
      <c r="K1288" s="9"/>
    </row>
    <row r="1289" spans="5:11" ht="12.75" customHeight="1">
      <c r="E1289" s="7"/>
      <c r="F1289" s="7"/>
      <c r="G1289" s="7"/>
      <c r="H1289" s="7"/>
      <c r="I1289" s="7"/>
      <c r="K1289" s="9"/>
    </row>
    <row r="1290" spans="5:11" ht="12.75" customHeight="1">
      <c r="E1290" s="7"/>
      <c r="F1290" s="7"/>
      <c r="G1290" s="7"/>
      <c r="H1290" s="7"/>
      <c r="I1290" s="7"/>
      <c r="K1290" s="9"/>
    </row>
    <row r="1291" spans="5:11" ht="12.75" customHeight="1">
      <c r="E1291" s="7"/>
      <c r="F1291" s="7"/>
      <c r="G1291" s="7"/>
      <c r="H1291" s="7"/>
      <c r="I1291" s="7"/>
      <c r="K1291" s="9"/>
    </row>
    <row r="1292" spans="5:11" ht="12.75" customHeight="1">
      <c r="E1292" s="7"/>
      <c r="F1292" s="7"/>
      <c r="G1292" s="7"/>
      <c r="H1292" s="7"/>
      <c r="I1292" s="7"/>
      <c r="K1292" s="9"/>
    </row>
    <row r="1293" spans="5:11" ht="12.75" customHeight="1">
      <c r="E1293" s="7"/>
      <c r="F1293" s="7"/>
      <c r="G1293" s="7"/>
      <c r="H1293" s="7"/>
      <c r="I1293" s="7"/>
      <c r="K1293" s="9"/>
    </row>
    <row r="1294" spans="5:11" ht="12.75" customHeight="1">
      <c r="E1294" s="7"/>
      <c r="F1294" s="7"/>
      <c r="G1294" s="7"/>
      <c r="H1294" s="7"/>
      <c r="I1294" s="7"/>
      <c r="K1294" s="9"/>
    </row>
    <row r="1295" spans="5:11" ht="12.75" customHeight="1">
      <c r="E1295" s="7"/>
      <c r="F1295" s="7"/>
      <c r="G1295" s="7"/>
      <c r="H1295" s="7"/>
      <c r="I1295" s="7"/>
      <c r="K1295" s="9"/>
    </row>
    <row r="1296" spans="5:11" ht="12.75" customHeight="1">
      <c r="E1296" s="7"/>
      <c r="F1296" s="7"/>
      <c r="G1296" s="7"/>
      <c r="H1296" s="7"/>
      <c r="I1296" s="7"/>
      <c r="K1296" s="9"/>
    </row>
    <row r="1297" spans="5:11" ht="12.75" customHeight="1">
      <c r="E1297" s="7"/>
      <c r="F1297" s="7"/>
      <c r="G1297" s="7"/>
      <c r="H1297" s="7"/>
      <c r="I1297" s="7"/>
      <c r="K1297" s="9"/>
    </row>
    <row r="1298" spans="5:11" ht="12.75" customHeight="1">
      <c r="E1298" s="7"/>
      <c r="F1298" s="7"/>
      <c r="G1298" s="7"/>
      <c r="H1298" s="7"/>
      <c r="I1298" s="7"/>
      <c r="K1298" s="9"/>
    </row>
    <row r="1299" spans="5:11" ht="12.75" customHeight="1">
      <c r="E1299" s="7"/>
      <c r="F1299" s="7"/>
      <c r="G1299" s="7"/>
      <c r="H1299" s="7"/>
      <c r="I1299" s="7"/>
      <c r="K1299" s="9"/>
    </row>
    <row r="1300" spans="5:11" ht="12.75" customHeight="1">
      <c r="E1300" s="7"/>
      <c r="F1300" s="7"/>
      <c r="G1300" s="7"/>
      <c r="H1300" s="7"/>
      <c r="I1300" s="7"/>
      <c r="K1300" s="9"/>
    </row>
    <row r="1301" spans="5:11" ht="12.75" customHeight="1">
      <c r="E1301" s="7"/>
      <c r="F1301" s="7"/>
      <c r="G1301" s="7"/>
      <c r="H1301" s="7"/>
      <c r="I1301" s="7"/>
      <c r="K1301" s="9"/>
    </row>
    <row r="1302" spans="5:11" ht="12.75" customHeight="1">
      <c r="E1302" s="7"/>
      <c r="F1302" s="7"/>
      <c r="G1302" s="7"/>
      <c r="H1302" s="7"/>
      <c r="I1302" s="7"/>
      <c r="K1302" s="9"/>
    </row>
    <row r="1303" spans="5:11" ht="12.75" customHeight="1">
      <c r="E1303" s="7"/>
      <c r="F1303" s="7"/>
      <c r="G1303" s="7"/>
      <c r="H1303" s="7"/>
      <c r="I1303" s="7"/>
      <c r="K1303" s="9"/>
    </row>
    <row r="1304" spans="5:11" ht="12.75" customHeight="1">
      <c r="E1304" s="7"/>
      <c r="F1304" s="7"/>
      <c r="G1304" s="7"/>
      <c r="H1304" s="7"/>
      <c r="I1304" s="7"/>
      <c r="K1304" s="9"/>
    </row>
    <row r="1305" spans="5:11" ht="12.75" customHeight="1">
      <c r="E1305" s="7"/>
      <c r="F1305" s="7"/>
      <c r="G1305" s="7"/>
      <c r="H1305" s="7"/>
      <c r="I1305" s="7"/>
      <c r="K1305" s="9"/>
    </row>
    <row r="1306" spans="5:11" ht="12.75" customHeight="1">
      <c r="E1306" s="7"/>
      <c r="F1306" s="7"/>
      <c r="G1306" s="7"/>
      <c r="H1306" s="7"/>
      <c r="I1306" s="7"/>
      <c r="K1306" s="9"/>
    </row>
    <row r="1307" spans="5:11" ht="12.75" customHeight="1">
      <c r="E1307" s="7"/>
      <c r="F1307" s="7"/>
      <c r="G1307" s="7"/>
      <c r="H1307" s="7"/>
      <c r="I1307" s="7"/>
      <c r="K1307" s="9"/>
    </row>
    <row r="1308" spans="5:11" ht="12.75" customHeight="1">
      <c r="E1308" s="7"/>
      <c r="F1308" s="7"/>
      <c r="G1308" s="7"/>
      <c r="H1308" s="7"/>
      <c r="I1308" s="7"/>
      <c r="K1308" s="9"/>
    </row>
    <row r="1309" spans="5:11" ht="12.75" customHeight="1">
      <c r="E1309" s="7"/>
      <c r="F1309" s="7"/>
      <c r="G1309" s="7"/>
      <c r="H1309" s="7"/>
      <c r="I1309" s="7"/>
      <c r="K1309" s="9"/>
    </row>
    <row r="1310" spans="5:11" ht="12.75" customHeight="1">
      <c r="E1310" s="7"/>
      <c r="F1310" s="7"/>
      <c r="G1310" s="7"/>
      <c r="H1310" s="7"/>
      <c r="I1310" s="7"/>
      <c r="K1310" s="9"/>
    </row>
    <row r="1311" spans="5:11" ht="12.75" customHeight="1">
      <c r="E1311" s="7"/>
      <c r="F1311" s="7"/>
      <c r="G1311" s="7"/>
      <c r="H1311" s="7"/>
      <c r="I1311" s="7"/>
      <c r="K1311" s="9"/>
    </row>
    <row r="1312" spans="5:11" ht="12.75" customHeight="1">
      <c r="E1312" s="7"/>
      <c r="F1312" s="7"/>
      <c r="G1312" s="7"/>
      <c r="H1312" s="7"/>
      <c r="I1312" s="7"/>
      <c r="K1312" s="9"/>
    </row>
    <row r="1313" spans="5:11" ht="12.75" customHeight="1">
      <c r="E1313" s="7"/>
      <c r="F1313" s="7"/>
      <c r="G1313" s="7"/>
      <c r="H1313" s="7"/>
      <c r="I1313" s="7"/>
      <c r="K1313" s="9"/>
    </row>
    <row r="1314" spans="5:11" ht="12.75" customHeight="1">
      <c r="E1314" s="7"/>
      <c r="F1314" s="7"/>
      <c r="G1314" s="7"/>
      <c r="H1314" s="7"/>
      <c r="I1314" s="7"/>
      <c r="K1314" s="9"/>
    </row>
    <row r="1315" spans="5:11" ht="12.75" customHeight="1">
      <c r="E1315" s="7"/>
      <c r="F1315" s="7"/>
      <c r="G1315" s="7"/>
      <c r="H1315" s="7"/>
      <c r="I1315" s="7"/>
      <c r="K1315" s="9"/>
    </row>
    <row r="1316" spans="5:11" ht="12.75" customHeight="1">
      <c r="E1316" s="7"/>
      <c r="F1316" s="7"/>
      <c r="G1316" s="7"/>
      <c r="H1316" s="7"/>
      <c r="I1316" s="7"/>
      <c r="K1316" s="9"/>
    </row>
    <row r="1317" spans="5:11" ht="12.75" customHeight="1">
      <c r="E1317" s="7"/>
      <c r="F1317" s="7"/>
      <c r="G1317" s="7"/>
      <c r="H1317" s="7"/>
      <c r="I1317" s="7"/>
      <c r="K1317" s="9"/>
    </row>
    <row r="1318" spans="5:11" ht="12.75" customHeight="1">
      <c r="E1318" s="7"/>
      <c r="F1318" s="7"/>
      <c r="G1318" s="7"/>
      <c r="H1318" s="7"/>
      <c r="I1318" s="7"/>
      <c r="K1318" s="9"/>
    </row>
    <row r="1319" spans="5:11" ht="12.75" customHeight="1">
      <c r="E1319" s="7"/>
      <c r="F1319" s="7"/>
      <c r="G1319" s="7"/>
      <c r="H1319" s="7"/>
      <c r="I1319" s="7"/>
      <c r="K1319" s="9"/>
    </row>
    <row r="1320" spans="5:11" ht="12.75" customHeight="1">
      <c r="E1320" s="7"/>
      <c r="F1320" s="7"/>
      <c r="G1320" s="7"/>
      <c r="H1320" s="7"/>
      <c r="I1320" s="7"/>
      <c r="K1320" s="9"/>
    </row>
    <row r="1321" spans="5:11" ht="12.75" customHeight="1">
      <c r="E1321" s="7"/>
      <c r="F1321" s="7"/>
      <c r="G1321" s="7"/>
      <c r="H1321" s="7"/>
      <c r="I1321" s="7"/>
      <c r="K1321" s="9"/>
    </row>
    <row r="1322" spans="5:11" ht="12.75" customHeight="1">
      <c r="E1322" s="7"/>
      <c r="F1322" s="7"/>
      <c r="G1322" s="7"/>
      <c r="H1322" s="7"/>
      <c r="I1322" s="7"/>
      <c r="K1322" s="9"/>
    </row>
    <row r="1323" spans="5:11" ht="12.75" customHeight="1">
      <c r="E1323" s="7"/>
      <c r="F1323" s="7"/>
      <c r="G1323" s="7"/>
      <c r="H1323" s="7"/>
      <c r="I1323" s="7"/>
      <c r="K1323" s="9"/>
    </row>
    <row r="1324" spans="5:11" ht="12.75" customHeight="1">
      <c r="E1324" s="7"/>
      <c r="F1324" s="7"/>
      <c r="G1324" s="7"/>
      <c r="H1324" s="7"/>
      <c r="I1324" s="7"/>
      <c r="K1324" s="9"/>
    </row>
    <row r="1325" spans="5:11" ht="12.75" customHeight="1">
      <c r="E1325" s="7"/>
      <c r="F1325" s="7"/>
      <c r="G1325" s="7"/>
      <c r="H1325" s="7"/>
      <c r="I1325" s="7"/>
      <c r="K1325" s="9"/>
    </row>
    <row r="1326" spans="5:11" ht="12.75" customHeight="1">
      <c r="E1326" s="7"/>
      <c r="F1326" s="7"/>
      <c r="G1326" s="7"/>
      <c r="H1326" s="7"/>
      <c r="I1326" s="7"/>
      <c r="K1326" s="9"/>
    </row>
    <row r="1327" spans="5:11" ht="12.75" customHeight="1">
      <c r="E1327" s="7"/>
      <c r="F1327" s="7"/>
      <c r="G1327" s="7"/>
      <c r="H1327" s="7"/>
      <c r="I1327" s="7"/>
      <c r="K1327" s="9"/>
    </row>
    <row r="1328" spans="5:11" ht="12.75" customHeight="1">
      <c r="E1328" s="7"/>
      <c r="F1328" s="7"/>
      <c r="G1328" s="7"/>
      <c r="H1328" s="7"/>
      <c r="I1328" s="7"/>
      <c r="K1328" s="9"/>
    </row>
    <row r="1329" spans="5:11" ht="12.75" customHeight="1">
      <c r="E1329" s="7"/>
      <c r="F1329" s="7"/>
      <c r="G1329" s="7"/>
      <c r="H1329" s="7"/>
      <c r="I1329" s="7"/>
      <c r="K1329" s="9"/>
    </row>
    <row r="1330" spans="5:11" ht="12.75" customHeight="1">
      <c r="E1330" s="7"/>
      <c r="F1330" s="7"/>
      <c r="G1330" s="7"/>
      <c r="H1330" s="7"/>
      <c r="I1330" s="7"/>
      <c r="K1330" s="9"/>
    </row>
    <row r="1331" spans="5:11" ht="12.75" customHeight="1">
      <c r="E1331" s="7"/>
      <c r="F1331" s="7"/>
      <c r="G1331" s="7"/>
      <c r="H1331" s="7"/>
      <c r="I1331" s="7"/>
      <c r="K1331" s="9"/>
    </row>
    <row r="1332" spans="5:11" ht="12.75" customHeight="1">
      <c r="E1332" s="7"/>
      <c r="F1332" s="7"/>
      <c r="G1332" s="7"/>
      <c r="H1332" s="7"/>
      <c r="I1332" s="7"/>
      <c r="K1332" s="9"/>
    </row>
    <row r="1333" spans="5:11" ht="12.75" customHeight="1">
      <c r="E1333" s="7"/>
      <c r="F1333" s="7"/>
      <c r="G1333" s="7"/>
      <c r="H1333" s="7"/>
      <c r="I1333" s="7"/>
      <c r="K1333" s="9"/>
    </row>
    <row r="1334" spans="5:11" ht="12.75" customHeight="1">
      <c r="E1334" s="7"/>
      <c r="F1334" s="7"/>
      <c r="G1334" s="7"/>
      <c r="H1334" s="7"/>
      <c r="I1334" s="7"/>
      <c r="K1334" s="9"/>
    </row>
    <row r="1335" spans="5:11" ht="12.75" customHeight="1">
      <c r="E1335" s="7"/>
      <c r="F1335" s="7"/>
      <c r="G1335" s="7"/>
      <c r="H1335" s="7"/>
      <c r="I1335" s="7"/>
      <c r="K1335" s="9"/>
    </row>
    <row r="1336" spans="5:11" ht="12.75" customHeight="1">
      <c r="E1336" s="7"/>
      <c r="F1336" s="7"/>
      <c r="G1336" s="7"/>
      <c r="H1336" s="7"/>
      <c r="I1336" s="7"/>
      <c r="K1336" s="9"/>
    </row>
    <row r="1337" spans="5:11" ht="12.75" customHeight="1">
      <c r="E1337" s="7"/>
      <c r="F1337" s="7"/>
      <c r="G1337" s="7"/>
      <c r="H1337" s="7"/>
      <c r="I1337" s="7"/>
      <c r="K1337" s="9"/>
    </row>
    <row r="1338" spans="5:11" ht="12.75" customHeight="1">
      <c r="E1338" s="7"/>
      <c r="F1338" s="7"/>
      <c r="G1338" s="7"/>
      <c r="H1338" s="7"/>
      <c r="I1338" s="7"/>
      <c r="K1338" s="9"/>
    </row>
    <row r="1339" spans="5:11" ht="12.75" customHeight="1">
      <c r="E1339" s="7"/>
      <c r="F1339" s="7"/>
      <c r="G1339" s="7"/>
      <c r="H1339" s="7"/>
      <c r="I1339" s="7"/>
      <c r="K1339" s="9"/>
    </row>
    <row r="1340" spans="5:11" ht="12.75" customHeight="1">
      <c r="E1340" s="7"/>
      <c r="F1340" s="7"/>
      <c r="G1340" s="7"/>
      <c r="H1340" s="7"/>
      <c r="I1340" s="7"/>
      <c r="K1340" s="9"/>
    </row>
    <row r="1341" spans="5:11" ht="12.75" customHeight="1">
      <c r="E1341" s="7"/>
      <c r="F1341" s="7"/>
      <c r="G1341" s="7"/>
      <c r="H1341" s="7"/>
      <c r="I1341" s="7"/>
      <c r="K1341" s="9"/>
    </row>
    <row r="1342" spans="5:11" ht="12.75" customHeight="1">
      <c r="E1342" s="7"/>
      <c r="F1342" s="7"/>
      <c r="G1342" s="7"/>
      <c r="H1342" s="7"/>
      <c r="I1342" s="7"/>
      <c r="K1342" s="9"/>
    </row>
    <row r="1343" spans="5:11" ht="12.75" customHeight="1">
      <c r="E1343" s="7"/>
      <c r="F1343" s="7"/>
      <c r="G1343" s="7"/>
      <c r="H1343" s="7"/>
      <c r="I1343" s="7"/>
      <c r="K1343" s="9"/>
    </row>
    <row r="1344" spans="5:11" ht="12.75" customHeight="1">
      <c r="E1344" s="7"/>
      <c r="F1344" s="7"/>
      <c r="G1344" s="7"/>
      <c r="H1344" s="7"/>
      <c r="I1344" s="7"/>
      <c r="K1344" s="9"/>
    </row>
    <row r="1345" spans="5:11" ht="12.75" customHeight="1">
      <c r="E1345" s="7"/>
      <c r="F1345" s="7"/>
      <c r="G1345" s="7"/>
      <c r="H1345" s="7"/>
      <c r="I1345" s="7"/>
      <c r="K1345" s="9"/>
    </row>
    <row r="1346" spans="5:11" ht="12.75" customHeight="1">
      <c r="E1346" s="7"/>
      <c r="F1346" s="7"/>
      <c r="G1346" s="7"/>
      <c r="H1346" s="7"/>
      <c r="I1346" s="7"/>
      <c r="K1346" s="9"/>
    </row>
    <row r="1347" spans="5:11" ht="12.75" customHeight="1">
      <c r="E1347" s="7"/>
      <c r="F1347" s="7"/>
      <c r="G1347" s="7"/>
      <c r="H1347" s="7"/>
      <c r="I1347" s="7"/>
      <c r="K1347" s="9"/>
    </row>
    <row r="1348" spans="5:11" ht="12.75" customHeight="1">
      <c r="E1348" s="7"/>
      <c r="F1348" s="7"/>
      <c r="G1348" s="7"/>
      <c r="H1348" s="7"/>
      <c r="I1348" s="7"/>
      <c r="K1348" s="9"/>
    </row>
    <row r="1349" spans="5:11" ht="12.75" customHeight="1">
      <c r="E1349" s="7"/>
      <c r="F1349" s="7"/>
      <c r="G1349" s="7"/>
      <c r="H1349" s="7"/>
      <c r="I1349" s="7"/>
      <c r="K1349" s="9"/>
    </row>
    <row r="1350" spans="5:11" ht="12.75" customHeight="1">
      <c r="E1350" s="7"/>
      <c r="F1350" s="7"/>
      <c r="G1350" s="7"/>
      <c r="H1350" s="7"/>
      <c r="I1350" s="7"/>
      <c r="K1350" s="9"/>
    </row>
    <row r="1351" spans="5:11" ht="12.75" customHeight="1">
      <c r="E1351" s="7"/>
      <c r="F1351" s="7"/>
      <c r="G1351" s="7"/>
      <c r="H1351" s="7"/>
      <c r="I1351" s="7"/>
      <c r="K1351" s="9"/>
    </row>
    <row r="1352" spans="5:11" ht="12.75" customHeight="1">
      <c r="E1352" s="7"/>
      <c r="F1352" s="7"/>
      <c r="G1352" s="7"/>
      <c r="H1352" s="7"/>
      <c r="I1352" s="7"/>
      <c r="K1352" s="9"/>
    </row>
    <row r="1353" spans="5:11" ht="12.75" customHeight="1">
      <c r="E1353" s="7"/>
      <c r="F1353" s="7"/>
      <c r="G1353" s="7"/>
      <c r="H1353" s="7"/>
      <c r="I1353" s="7"/>
      <c r="K1353" s="9"/>
    </row>
    <row r="1354" spans="5:11" ht="12.75" customHeight="1">
      <c r="E1354" s="7"/>
      <c r="F1354" s="7"/>
      <c r="G1354" s="7"/>
      <c r="H1354" s="7"/>
      <c r="I1354" s="7"/>
      <c r="K1354" s="9"/>
    </row>
    <row r="1355" spans="5:11" ht="12.75" customHeight="1">
      <c r="E1355" s="7"/>
      <c r="F1355" s="7"/>
      <c r="G1355" s="7"/>
      <c r="H1355" s="7"/>
      <c r="I1355" s="7"/>
      <c r="K1355" s="9"/>
    </row>
    <row r="1356" spans="5:11" ht="12.75" customHeight="1">
      <c r="E1356" s="7"/>
      <c r="F1356" s="7"/>
      <c r="G1356" s="7"/>
      <c r="H1356" s="7"/>
      <c r="I1356" s="7"/>
      <c r="K1356" s="9"/>
    </row>
    <row r="1357" spans="5:11" ht="12.75" customHeight="1">
      <c r="E1357" s="7"/>
      <c r="F1357" s="7"/>
      <c r="G1357" s="7"/>
      <c r="H1357" s="7"/>
      <c r="I1357" s="7"/>
      <c r="K1357" s="9"/>
    </row>
    <row r="1358" spans="5:11" ht="12.75" customHeight="1">
      <c r="E1358" s="7"/>
      <c r="F1358" s="7"/>
      <c r="G1358" s="7"/>
      <c r="H1358" s="7"/>
      <c r="I1358" s="7"/>
      <c r="K1358" s="9"/>
    </row>
    <row r="1359" spans="5:11" ht="12.75" customHeight="1">
      <c r="E1359" s="7"/>
      <c r="F1359" s="7"/>
      <c r="G1359" s="7"/>
      <c r="H1359" s="7"/>
      <c r="I1359" s="7"/>
      <c r="K1359" s="9"/>
    </row>
    <row r="1360" spans="5:11" ht="12.75" customHeight="1">
      <c r="E1360" s="7"/>
      <c r="F1360" s="7"/>
      <c r="G1360" s="7"/>
      <c r="H1360" s="7"/>
      <c r="I1360" s="7"/>
      <c r="K1360" s="9"/>
    </row>
    <row r="1361" spans="5:11" ht="12.75" customHeight="1">
      <c r="E1361" s="7"/>
      <c r="F1361" s="7"/>
      <c r="G1361" s="7"/>
      <c r="H1361" s="7"/>
      <c r="I1361" s="7"/>
      <c r="K1361" s="9"/>
    </row>
    <row r="1362" spans="5:11" ht="12.75" customHeight="1">
      <c r="E1362" s="7"/>
      <c r="F1362" s="7"/>
      <c r="G1362" s="7"/>
      <c r="H1362" s="7"/>
      <c r="I1362" s="7"/>
      <c r="K1362" s="9"/>
    </row>
    <row r="1363" spans="5:11" ht="12.75" customHeight="1">
      <c r="E1363" s="7"/>
      <c r="F1363" s="7"/>
      <c r="G1363" s="7"/>
      <c r="H1363" s="7"/>
      <c r="I1363" s="7"/>
      <c r="K1363" s="9"/>
    </row>
    <row r="1364" spans="5:11" ht="12.75" customHeight="1">
      <c r="E1364" s="7"/>
      <c r="F1364" s="7"/>
      <c r="G1364" s="7"/>
      <c r="H1364" s="7"/>
      <c r="I1364" s="7"/>
      <c r="K1364" s="9"/>
    </row>
    <row r="1365" spans="5:11" ht="12.75" customHeight="1">
      <c r="E1365" s="7"/>
      <c r="F1365" s="7"/>
      <c r="G1365" s="7"/>
      <c r="H1365" s="7"/>
      <c r="I1365" s="7"/>
      <c r="K1365" s="9"/>
    </row>
    <row r="1366" spans="5:11" ht="12.75" customHeight="1">
      <c r="E1366" s="7"/>
      <c r="F1366" s="7"/>
      <c r="G1366" s="7"/>
      <c r="H1366" s="7"/>
      <c r="I1366" s="7"/>
      <c r="K1366" s="9"/>
    </row>
    <row r="1367" spans="5:11" ht="12.75" customHeight="1">
      <c r="E1367" s="7"/>
      <c r="F1367" s="7"/>
      <c r="G1367" s="7"/>
      <c r="H1367" s="7"/>
      <c r="I1367" s="7"/>
      <c r="K1367" s="9"/>
    </row>
    <row r="1368" spans="5:11" ht="12.75" customHeight="1">
      <c r="E1368" s="7"/>
      <c r="F1368" s="7"/>
      <c r="G1368" s="7"/>
      <c r="H1368" s="7"/>
      <c r="I1368" s="7"/>
      <c r="K1368" s="9"/>
    </row>
    <row r="1369" spans="5:11" ht="12.75" customHeight="1">
      <c r="E1369" s="7"/>
      <c r="F1369" s="7"/>
      <c r="G1369" s="7"/>
      <c r="H1369" s="7"/>
      <c r="I1369" s="7"/>
      <c r="K1369" s="9"/>
    </row>
    <row r="1370" spans="5:11" ht="12.75" customHeight="1">
      <c r="E1370" s="7"/>
      <c r="F1370" s="7"/>
      <c r="G1370" s="7"/>
      <c r="H1370" s="7"/>
      <c r="I1370" s="7"/>
      <c r="K1370" s="9"/>
    </row>
    <row r="1371" spans="5:11" ht="12.75" customHeight="1">
      <c r="E1371" s="7"/>
      <c r="F1371" s="7"/>
      <c r="G1371" s="7"/>
      <c r="H1371" s="7"/>
      <c r="I1371" s="7"/>
      <c r="K1371" s="9"/>
    </row>
    <row r="1372" spans="5:11" ht="12.75" customHeight="1">
      <c r="E1372" s="7"/>
      <c r="F1372" s="7"/>
      <c r="G1372" s="7"/>
      <c r="H1372" s="7"/>
      <c r="I1372" s="7"/>
      <c r="K1372" s="9"/>
    </row>
    <row r="1373" spans="5:11" ht="12.75" customHeight="1">
      <c r="E1373" s="7"/>
      <c r="F1373" s="7"/>
      <c r="G1373" s="7"/>
      <c r="H1373" s="7"/>
      <c r="I1373" s="7"/>
      <c r="K1373" s="9"/>
    </row>
    <row r="1374" spans="5:11" ht="12.75" customHeight="1">
      <c r="E1374" s="7"/>
      <c r="F1374" s="7"/>
      <c r="G1374" s="7"/>
      <c r="H1374" s="7"/>
      <c r="I1374" s="7"/>
      <c r="K1374" s="9"/>
    </row>
    <row r="1375" spans="5:11" ht="12.75" customHeight="1">
      <c r="E1375" s="7"/>
      <c r="F1375" s="7"/>
      <c r="G1375" s="7"/>
      <c r="H1375" s="7"/>
      <c r="I1375" s="7"/>
      <c r="K1375" s="9"/>
    </row>
    <row r="1376" spans="5:11" ht="12.75" customHeight="1">
      <c r="E1376" s="7"/>
      <c r="F1376" s="7"/>
      <c r="G1376" s="7"/>
      <c r="H1376" s="7"/>
      <c r="I1376" s="7"/>
      <c r="K1376" s="9"/>
    </row>
    <row r="1377" spans="5:11" ht="12.75" customHeight="1">
      <c r="E1377" s="7"/>
      <c r="F1377" s="7"/>
      <c r="G1377" s="7"/>
      <c r="H1377" s="7"/>
      <c r="I1377" s="7"/>
      <c r="K1377" s="9"/>
    </row>
    <row r="1378" spans="5:11" ht="12.75" customHeight="1">
      <c r="E1378" s="7"/>
      <c r="F1378" s="7"/>
      <c r="G1378" s="7"/>
      <c r="H1378" s="7"/>
      <c r="I1378" s="7"/>
      <c r="K1378" s="9"/>
    </row>
    <row r="1379" spans="5:11" ht="12.75" customHeight="1">
      <c r="E1379" s="7"/>
      <c r="F1379" s="7"/>
      <c r="G1379" s="7"/>
      <c r="H1379" s="7"/>
      <c r="I1379" s="7"/>
      <c r="K1379" s="9"/>
    </row>
    <row r="1380" spans="5:11" ht="12.75" customHeight="1">
      <c r="E1380" s="7"/>
      <c r="F1380" s="7"/>
      <c r="G1380" s="7"/>
      <c r="H1380" s="7"/>
      <c r="I1380" s="7"/>
      <c r="K1380" s="9"/>
    </row>
    <row r="1381" spans="5:11" ht="12.75" customHeight="1">
      <c r="E1381" s="7"/>
      <c r="F1381" s="7"/>
      <c r="G1381" s="7"/>
      <c r="H1381" s="7"/>
      <c r="I1381" s="7"/>
      <c r="K1381" s="9"/>
    </row>
    <row r="1382" spans="5:11" ht="12.75" customHeight="1">
      <c r="E1382" s="7"/>
      <c r="F1382" s="7"/>
      <c r="G1382" s="7"/>
      <c r="H1382" s="7"/>
      <c r="I1382" s="7"/>
      <c r="K1382" s="9"/>
    </row>
    <row r="1383" spans="5:11" ht="12.75" customHeight="1">
      <c r="E1383" s="7"/>
      <c r="F1383" s="7"/>
      <c r="G1383" s="7"/>
      <c r="H1383" s="7"/>
      <c r="I1383" s="7"/>
      <c r="K1383" s="9"/>
    </row>
    <row r="1384" spans="5:11" ht="12.75" customHeight="1">
      <c r="E1384" s="7"/>
      <c r="F1384" s="7"/>
      <c r="G1384" s="7"/>
      <c r="H1384" s="7"/>
      <c r="I1384" s="7"/>
      <c r="K1384" s="9"/>
    </row>
    <row r="1385" spans="5:11" ht="12.75" customHeight="1">
      <c r="E1385" s="7"/>
      <c r="F1385" s="7"/>
      <c r="G1385" s="7"/>
      <c r="H1385" s="7"/>
      <c r="I1385" s="7"/>
      <c r="K1385" s="9"/>
    </row>
    <row r="1386" spans="5:11" ht="12.75" customHeight="1">
      <c r="E1386" s="7"/>
      <c r="F1386" s="7"/>
      <c r="G1386" s="7"/>
      <c r="H1386" s="7"/>
      <c r="I1386" s="7"/>
      <c r="K1386" s="9"/>
    </row>
    <row r="1387" spans="5:11" ht="12.75" customHeight="1">
      <c r="E1387" s="7"/>
      <c r="F1387" s="7"/>
      <c r="G1387" s="7"/>
      <c r="H1387" s="7"/>
      <c r="I1387" s="7"/>
      <c r="K1387" s="9"/>
    </row>
    <row r="1388" spans="5:11" ht="12.75" customHeight="1">
      <c r="E1388" s="7"/>
      <c r="F1388" s="7"/>
      <c r="G1388" s="7"/>
      <c r="H1388" s="7"/>
      <c r="I1388" s="7"/>
      <c r="K1388" s="9"/>
    </row>
    <row r="1389" spans="5:11" ht="12.75" customHeight="1">
      <c r="E1389" s="7"/>
      <c r="F1389" s="7"/>
      <c r="G1389" s="7"/>
      <c r="H1389" s="7"/>
      <c r="I1389" s="7"/>
      <c r="K1389" s="9"/>
    </row>
    <row r="1390" spans="5:11" ht="12.75" customHeight="1">
      <c r="E1390" s="7"/>
      <c r="F1390" s="7"/>
      <c r="G1390" s="7"/>
      <c r="H1390" s="7"/>
      <c r="I1390" s="7"/>
      <c r="K1390" s="9"/>
    </row>
    <row r="1391" spans="5:11" ht="12.75" customHeight="1">
      <c r="E1391" s="7"/>
      <c r="F1391" s="7"/>
      <c r="G1391" s="7"/>
      <c r="H1391" s="7"/>
      <c r="I1391" s="7"/>
      <c r="K1391" s="9"/>
    </row>
    <row r="1392" spans="5:11" ht="12.75" customHeight="1">
      <c r="E1392" s="7"/>
      <c r="F1392" s="7"/>
      <c r="G1392" s="7"/>
      <c r="H1392" s="7"/>
      <c r="I1392" s="7"/>
      <c r="K1392" s="9"/>
    </row>
    <row r="1393" spans="5:11" ht="12.75" customHeight="1">
      <c r="E1393" s="7"/>
      <c r="F1393" s="7"/>
      <c r="G1393" s="7"/>
      <c r="H1393" s="7"/>
      <c r="I1393" s="7"/>
      <c r="K1393" s="9"/>
    </row>
    <row r="1394" spans="5:11" ht="12.75" customHeight="1">
      <c r="E1394" s="7"/>
      <c r="F1394" s="7"/>
      <c r="G1394" s="7"/>
      <c r="H1394" s="7"/>
      <c r="I1394" s="7"/>
      <c r="K1394" s="9"/>
    </row>
    <row r="1395" spans="5:11" ht="12.75" customHeight="1">
      <c r="E1395" s="7"/>
      <c r="F1395" s="7"/>
      <c r="G1395" s="7"/>
      <c r="H1395" s="7"/>
      <c r="I1395" s="7"/>
      <c r="K1395" s="9"/>
    </row>
    <row r="1396" spans="5:11" ht="12.75" customHeight="1">
      <c r="E1396" s="7"/>
      <c r="F1396" s="7"/>
      <c r="G1396" s="7"/>
      <c r="H1396" s="7"/>
      <c r="I1396" s="7"/>
      <c r="K1396" s="9"/>
    </row>
    <row r="1397" spans="5:11" ht="12.75" customHeight="1">
      <c r="E1397" s="7"/>
      <c r="F1397" s="7"/>
      <c r="G1397" s="7"/>
      <c r="H1397" s="7"/>
      <c r="I1397" s="7"/>
      <c r="K1397" s="9"/>
    </row>
    <row r="1398" spans="5:11" ht="12.75" customHeight="1">
      <c r="E1398" s="7"/>
      <c r="F1398" s="7"/>
      <c r="G1398" s="7"/>
      <c r="H1398" s="7"/>
      <c r="I1398" s="7"/>
      <c r="K1398" s="9"/>
    </row>
    <row r="1399" spans="5:11" ht="12.75" customHeight="1">
      <c r="E1399" s="7"/>
      <c r="F1399" s="7"/>
      <c r="G1399" s="7"/>
      <c r="H1399" s="7"/>
      <c r="I1399" s="7"/>
      <c r="K1399" s="9"/>
    </row>
    <row r="1400" spans="5:11" ht="12.75" customHeight="1">
      <c r="E1400" s="7"/>
      <c r="F1400" s="7"/>
      <c r="G1400" s="7"/>
      <c r="H1400" s="7"/>
      <c r="I1400" s="7"/>
      <c r="K1400" s="9"/>
    </row>
    <row r="1401" spans="5:11" ht="12.75" customHeight="1">
      <c r="E1401" s="7"/>
      <c r="F1401" s="7"/>
      <c r="G1401" s="7"/>
      <c r="H1401" s="7"/>
      <c r="I1401" s="7"/>
      <c r="K1401" s="9"/>
    </row>
    <row r="1402" spans="5:11" ht="12.75" customHeight="1">
      <c r="E1402" s="7"/>
      <c r="F1402" s="7"/>
      <c r="G1402" s="7"/>
      <c r="H1402" s="7"/>
      <c r="I1402" s="7"/>
      <c r="K1402" s="9"/>
    </row>
    <row r="1403" spans="5:11" ht="12.75" customHeight="1">
      <c r="E1403" s="7"/>
      <c r="F1403" s="7"/>
      <c r="G1403" s="7"/>
      <c r="H1403" s="7"/>
      <c r="I1403" s="7"/>
      <c r="K1403" s="9"/>
    </row>
    <row r="1404" spans="5:11" ht="12.75" customHeight="1">
      <c r="E1404" s="7"/>
      <c r="F1404" s="7"/>
      <c r="G1404" s="7"/>
      <c r="H1404" s="7"/>
      <c r="I1404" s="7"/>
      <c r="K1404" s="9"/>
    </row>
    <row r="1405" spans="5:11" ht="12.75" customHeight="1">
      <c r="E1405" s="7"/>
      <c r="F1405" s="7"/>
      <c r="G1405" s="7"/>
      <c r="H1405" s="7"/>
      <c r="I1405" s="7"/>
      <c r="K1405" s="9"/>
    </row>
    <row r="1406" spans="5:11" ht="12.75" customHeight="1">
      <c r="E1406" s="7"/>
      <c r="F1406" s="7"/>
      <c r="G1406" s="7"/>
      <c r="H1406" s="7"/>
      <c r="I1406" s="7"/>
      <c r="K1406" s="9"/>
    </row>
    <row r="1407" spans="5:11" ht="12.75" customHeight="1">
      <c r="E1407" s="7"/>
      <c r="F1407" s="7"/>
      <c r="G1407" s="7"/>
      <c r="H1407" s="7"/>
      <c r="I1407" s="7"/>
      <c r="K1407" s="9"/>
    </row>
    <row r="1408" spans="5:11" ht="12.75" customHeight="1">
      <c r="E1408" s="7"/>
      <c r="F1408" s="7"/>
      <c r="G1408" s="7"/>
      <c r="H1408" s="7"/>
      <c r="I1408" s="7"/>
      <c r="K1408" s="9"/>
    </row>
    <row r="1409" spans="5:11" ht="12.75" customHeight="1">
      <c r="E1409" s="7"/>
      <c r="F1409" s="7"/>
      <c r="G1409" s="7"/>
      <c r="H1409" s="7"/>
      <c r="I1409" s="7"/>
      <c r="K1409" s="9"/>
    </row>
    <row r="1410" spans="5:11" ht="12.75" customHeight="1">
      <c r="E1410" s="7"/>
      <c r="F1410" s="7"/>
      <c r="G1410" s="7"/>
      <c r="H1410" s="7"/>
      <c r="I1410" s="7"/>
      <c r="K1410" s="9"/>
    </row>
    <row r="1411" spans="5:11" ht="12.75" customHeight="1">
      <c r="E1411" s="7"/>
      <c r="F1411" s="7"/>
      <c r="G1411" s="7"/>
      <c r="H1411" s="7"/>
      <c r="I1411" s="7"/>
      <c r="K1411" s="9"/>
    </row>
    <row r="1412" spans="5:11" ht="12.75" customHeight="1">
      <c r="E1412" s="7"/>
      <c r="F1412" s="7"/>
      <c r="G1412" s="7"/>
      <c r="H1412" s="7"/>
      <c r="I1412" s="7"/>
      <c r="K1412" s="9"/>
    </row>
    <row r="1413" spans="5:11" ht="12.75" customHeight="1">
      <c r="E1413" s="7"/>
      <c r="F1413" s="7"/>
      <c r="G1413" s="7"/>
      <c r="H1413" s="7"/>
      <c r="I1413" s="7"/>
      <c r="K1413" s="9"/>
    </row>
    <row r="1414" spans="5:11" ht="12.75" customHeight="1">
      <c r="E1414" s="7"/>
      <c r="F1414" s="7"/>
      <c r="G1414" s="7"/>
      <c r="H1414" s="7"/>
      <c r="I1414" s="7"/>
      <c r="K1414" s="9"/>
    </row>
    <row r="1415" spans="5:11" ht="12.75" customHeight="1">
      <c r="E1415" s="7"/>
      <c r="F1415" s="7"/>
      <c r="G1415" s="7"/>
      <c r="H1415" s="7"/>
      <c r="I1415" s="7"/>
      <c r="K1415" s="9"/>
    </row>
    <row r="1416" spans="5:11" ht="12.75" customHeight="1">
      <c r="E1416" s="7"/>
      <c r="F1416" s="7"/>
      <c r="G1416" s="7"/>
      <c r="H1416" s="7"/>
      <c r="I1416" s="7"/>
      <c r="K1416" s="9"/>
    </row>
    <row r="1417" spans="5:11" ht="12.75" customHeight="1">
      <c r="E1417" s="7"/>
      <c r="F1417" s="7"/>
      <c r="G1417" s="7"/>
      <c r="H1417" s="7"/>
      <c r="I1417" s="7"/>
      <c r="K1417" s="9"/>
    </row>
    <row r="1418" spans="5:11" ht="12.75" customHeight="1">
      <c r="E1418" s="7"/>
      <c r="F1418" s="7"/>
      <c r="G1418" s="7"/>
      <c r="H1418" s="7"/>
      <c r="I1418" s="7"/>
      <c r="K1418" s="9"/>
    </row>
    <row r="1419" spans="5:11" ht="12.75" customHeight="1">
      <c r="E1419" s="7"/>
      <c r="F1419" s="7"/>
      <c r="G1419" s="7"/>
      <c r="H1419" s="7"/>
      <c r="I1419" s="7"/>
      <c r="K1419" s="9"/>
    </row>
    <row r="1420" spans="5:11" ht="12.75" customHeight="1">
      <c r="E1420" s="7"/>
      <c r="F1420" s="7"/>
      <c r="G1420" s="7"/>
      <c r="H1420" s="7"/>
      <c r="I1420" s="7"/>
      <c r="K1420" s="9"/>
    </row>
    <row r="1421" spans="5:11" ht="12.75" customHeight="1">
      <c r="E1421" s="7"/>
      <c r="F1421" s="7"/>
      <c r="G1421" s="7"/>
      <c r="H1421" s="7"/>
      <c r="I1421" s="7"/>
      <c r="K1421" s="9"/>
    </row>
    <row r="1422" spans="5:11" ht="12.75" customHeight="1">
      <c r="E1422" s="7"/>
      <c r="F1422" s="7"/>
      <c r="G1422" s="7"/>
      <c r="H1422" s="7"/>
      <c r="I1422" s="7"/>
      <c r="K1422" s="9"/>
    </row>
    <row r="1423" spans="5:11" ht="12.75" customHeight="1">
      <c r="E1423" s="7"/>
      <c r="F1423" s="7"/>
      <c r="G1423" s="7"/>
      <c r="H1423" s="7"/>
      <c r="I1423" s="7"/>
      <c r="K1423" s="9"/>
    </row>
    <row r="1424" spans="5:11" ht="12.75" customHeight="1">
      <c r="E1424" s="7"/>
      <c r="F1424" s="7"/>
      <c r="G1424" s="7"/>
      <c r="H1424" s="7"/>
      <c r="I1424" s="7"/>
      <c r="K1424" s="9"/>
    </row>
    <row r="1425" spans="5:11" ht="12.75" customHeight="1">
      <c r="E1425" s="7"/>
      <c r="F1425" s="7"/>
      <c r="G1425" s="7"/>
      <c r="H1425" s="7"/>
      <c r="I1425" s="7"/>
      <c r="K1425" s="9"/>
    </row>
    <row r="1426" spans="5:11" ht="12.75" customHeight="1">
      <c r="E1426" s="7"/>
      <c r="F1426" s="7"/>
      <c r="G1426" s="7"/>
      <c r="H1426" s="7"/>
      <c r="I1426" s="7"/>
      <c r="K1426" s="9"/>
    </row>
    <row r="1427" spans="5:11" ht="12.75" customHeight="1">
      <c r="E1427" s="7"/>
      <c r="F1427" s="7"/>
      <c r="G1427" s="7"/>
      <c r="H1427" s="7"/>
      <c r="I1427" s="7"/>
      <c r="K1427" s="9"/>
    </row>
    <row r="1428" spans="5:11" ht="12.75" customHeight="1">
      <c r="E1428" s="7"/>
      <c r="F1428" s="7"/>
      <c r="G1428" s="7"/>
      <c r="H1428" s="7"/>
      <c r="I1428" s="7"/>
      <c r="K1428" s="9"/>
    </row>
    <row r="1429" spans="5:11" ht="12.75" customHeight="1">
      <c r="E1429" s="7"/>
      <c r="F1429" s="7"/>
      <c r="G1429" s="7"/>
      <c r="H1429" s="7"/>
      <c r="I1429" s="7"/>
      <c r="K1429" s="9"/>
    </row>
    <row r="1430" spans="5:11" ht="12.75" customHeight="1">
      <c r="E1430" s="7"/>
      <c r="F1430" s="7"/>
      <c r="G1430" s="7"/>
      <c r="H1430" s="7"/>
      <c r="I1430" s="7"/>
      <c r="K1430" s="9"/>
    </row>
    <row r="1431" spans="5:11" ht="12.75" customHeight="1">
      <c r="E1431" s="7"/>
      <c r="F1431" s="7"/>
      <c r="G1431" s="7"/>
      <c r="H1431" s="7"/>
      <c r="I1431" s="7"/>
      <c r="K1431" s="9"/>
    </row>
    <row r="1432" spans="5:11" ht="12.75" customHeight="1">
      <c r="E1432" s="7"/>
      <c r="F1432" s="7"/>
      <c r="G1432" s="7"/>
      <c r="H1432" s="7"/>
      <c r="I1432" s="7"/>
      <c r="K1432" s="9"/>
    </row>
    <row r="1433" spans="5:11" ht="12.75" customHeight="1">
      <c r="E1433" s="7"/>
      <c r="F1433" s="7"/>
      <c r="G1433" s="7"/>
      <c r="H1433" s="7"/>
      <c r="I1433" s="7"/>
      <c r="K1433" s="9"/>
    </row>
    <row r="1434" spans="5:11" ht="12.75" customHeight="1">
      <c r="E1434" s="7"/>
      <c r="F1434" s="7"/>
      <c r="G1434" s="7"/>
      <c r="H1434" s="7"/>
      <c r="I1434" s="7"/>
      <c r="K1434" s="9"/>
    </row>
    <row r="1435" spans="5:11" ht="12.75" customHeight="1">
      <c r="E1435" s="7"/>
      <c r="F1435" s="7"/>
      <c r="G1435" s="7"/>
      <c r="H1435" s="7"/>
      <c r="I1435" s="7"/>
      <c r="K1435" s="9"/>
    </row>
    <row r="1436" spans="5:11" ht="12.75" customHeight="1">
      <c r="E1436" s="7"/>
      <c r="F1436" s="7"/>
      <c r="G1436" s="7"/>
      <c r="H1436" s="7"/>
      <c r="I1436" s="7"/>
      <c r="K1436" s="9"/>
    </row>
    <row r="1437" spans="5:11" ht="12.75" customHeight="1">
      <c r="E1437" s="7"/>
      <c r="F1437" s="7"/>
      <c r="G1437" s="7"/>
      <c r="H1437" s="7"/>
      <c r="I1437" s="7"/>
      <c r="K1437" s="9"/>
    </row>
    <row r="1438" spans="5:11" ht="12.75" customHeight="1">
      <c r="E1438" s="7"/>
      <c r="F1438" s="7"/>
      <c r="G1438" s="7"/>
      <c r="H1438" s="7"/>
      <c r="I1438" s="7"/>
      <c r="K1438" s="9"/>
    </row>
    <row r="1439" spans="5:11" ht="12.75" customHeight="1">
      <c r="E1439" s="7"/>
      <c r="F1439" s="7"/>
      <c r="G1439" s="7"/>
      <c r="H1439" s="7"/>
      <c r="I1439" s="7"/>
      <c r="K1439" s="9"/>
    </row>
    <row r="1440" spans="5:11" ht="12.75" customHeight="1">
      <c r="E1440" s="7"/>
      <c r="F1440" s="7"/>
      <c r="G1440" s="7"/>
      <c r="H1440" s="7"/>
      <c r="I1440" s="7"/>
      <c r="K1440" s="9"/>
    </row>
    <row r="1441" spans="5:11" ht="12.75" customHeight="1">
      <c r="E1441" s="7"/>
      <c r="F1441" s="7"/>
      <c r="G1441" s="7"/>
      <c r="H1441" s="7"/>
      <c r="I1441" s="7"/>
      <c r="K1441" s="9"/>
    </row>
    <row r="1442" spans="5:11" ht="12.75" customHeight="1">
      <c r="E1442" s="7"/>
      <c r="F1442" s="7"/>
      <c r="G1442" s="7"/>
      <c r="H1442" s="7"/>
      <c r="I1442" s="7"/>
      <c r="K1442" s="9"/>
    </row>
    <row r="1443" spans="5:11" ht="12.75" customHeight="1">
      <c r="E1443" s="7"/>
      <c r="F1443" s="7"/>
      <c r="G1443" s="7"/>
      <c r="H1443" s="7"/>
      <c r="I1443" s="7"/>
      <c r="K1443" s="9"/>
    </row>
    <row r="1444" spans="5:11" ht="12.75" customHeight="1">
      <c r="E1444" s="7"/>
      <c r="F1444" s="7"/>
      <c r="G1444" s="7"/>
      <c r="H1444" s="7"/>
      <c r="I1444" s="7"/>
      <c r="K1444" s="9"/>
    </row>
    <row r="1445" spans="5:11" ht="12.75" customHeight="1">
      <c r="E1445" s="7"/>
      <c r="F1445" s="7"/>
      <c r="G1445" s="7"/>
      <c r="H1445" s="7"/>
      <c r="I1445" s="7"/>
      <c r="K1445" s="9"/>
    </row>
    <row r="1446" spans="5:11" ht="12.75" customHeight="1">
      <c r="E1446" s="7"/>
      <c r="F1446" s="7"/>
      <c r="G1446" s="7"/>
      <c r="H1446" s="7"/>
      <c r="I1446" s="7"/>
      <c r="K1446" s="9"/>
    </row>
    <row r="1447" spans="5:11" ht="12.75" customHeight="1">
      <c r="E1447" s="7"/>
      <c r="F1447" s="7"/>
      <c r="G1447" s="7"/>
      <c r="H1447" s="7"/>
      <c r="I1447" s="7"/>
      <c r="K1447" s="9"/>
    </row>
    <row r="1448" spans="5:11" ht="12.75" customHeight="1">
      <c r="E1448" s="7"/>
      <c r="F1448" s="7"/>
      <c r="G1448" s="7"/>
      <c r="H1448" s="7"/>
      <c r="I1448" s="7"/>
      <c r="K1448" s="9"/>
    </row>
    <row r="1449" spans="5:11" ht="12.75" customHeight="1">
      <c r="E1449" s="7"/>
      <c r="F1449" s="7"/>
      <c r="G1449" s="7"/>
      <c r="H1449" s="7"/>
      <c r="I1449" s="7"/>
      <c r="K1449" s="9"/>
    </row>
    <row r="1450" spans="5:11" ht="12.75" customHeight="1">
      <c r="E1450" s="7"/>
      <c r="F1450" s="7"/>
      <c r="G1450" s="7"/>
      <c r="H1450" s="7"/>
      <c r="I1450" s="7"/>
      <c r="K1450" s="9"/>
    </row>
    <row r="1451" spans="5:11" ht="12.75" customHeight="1">
      <c r="E1451" s="7"/>
      <c r="F1451" s="7"/>
      <c r="G1451" s="7"/>
      <c r="H1451" s="7"/>
      <c r="I1451" s="7"/>
      <c r="K1451" s="9"/>
    </row>
    <row r="1452" spans="5:11" ht="12.75" customHeight="1">
      <c r="E1452" s="7"/>
      <c r="F1452" s="7"/>
      <c r="G1452" s="7"/>
      <c r="H1452" s="7"/>
      <c r="I1452" s="7"/>
      <c r="K1452" s="9"/>
    </row>
    <row r="1453" spans="5:11" ht="12.75" customHeight="1">
      <c r="E1453" s="7"/>
      <c r="F1453" s="7"/>
      <c r="G1453" s="7"/>
      <c r="H1453" s="7"/>
      <c r="I1453" s="7"/>
      <c r="K1453" s="9"/>
    </row>
    <row r="1454" spans="5:11" ht="12.75" customHeight="1">
      <c r="E1454" s="7"/>
      <c r="F1454" s="7"/>
      <c r="G1454" s="7"/>
      <c r="H1454" s="7"/>
      <c r="I1454" s="7"/>
      <c r="K1454" s="9"/>
    </row>
    <row r="1455" spans="5:11" ht="12.75" customHeight="1">
      <c r="E1455" s="7"/>
      <c r="F1455" s="7"/>
      <c r="G1455" s="7"/>
      <c r="H1455" s="7"/>
      <c r="I1455" s="7"/>
      <c r="K1455" s="9"/>
    </row>
    <row r="1456" spans="5:11" ht="12.75" customHeight="1">
      <c r="E1456" s="7"/>
      <c r="F1456" s="7"/>
      <c r="G1456" s="7"/>
      <c r="H1456" s="7"/>
      <c r="I1456" s="7"/>
      <c r="K1456" s="9"/>
    </row>
    <row r="1457" spans="5:11" ht="12.75" customHeight="1">
      <c r="E1457" s="7"/>
      <c r="F1457" s="7"/>
      <c r="G1457" s="7"/>
      <c r="H1457" s="7"/>
      <c r="I1457" s="7"/>
      <c r="K1457" s="9"/>
    </row>
    <row r="1458" spans="5:11" ht="12.75" customHeight="1">
      <c r="E1458" s="7"/>
      <c r="F1458" s="7"/>
      <c r="G1458" s="7"/>
      <c r="H1458" s="7"/>
      <c r="I1458" s="7"/>
      <c r="K1458" s="9"/>
    </row>
    <row r="1459" spans="5:11" ht="12.75" customHeight="1">
      <c r="E1459" s="7"/>
      <c r="F1459" s="7"/>
      <c r="G1459" s="7"/>
      <c r="H1459" s="7"/>
      <c r="I1459" s="7"/>
      <c r="K1459" s="9"/>
    </row>
    <row r="1460" spans="5:11" ht="12.75" customHeight="1">
      <c r="E1460" s="7"/>
      <c r="F1460" s="7"/>
      <c r="G1460" s="7"/>
      <c r="H1460" s="7"/>
      <c r="I1460" s="7"/>
      <c r="K1460" s="9"/>
    </row>
    <row r="1461" spans="5:11" ht="12.75" customHeight="1">
      <c r="E1461" s="7"/>
      <c r="F1461" s="7"/>
      <c r="G1461" s="7"/>
      <c r="H1461" s="7"/>
      <c r="I1461" s="7"/>
      <c r="K1461" s="9"/>
    </row>
    <row r="1462" spans="5:11" ht="12.75" customHeight="1">
      <c r="E1462" s="7"/>
      <c r="F1462" s="7"/>
      <c r="G1462" s="7"/>
      <c r="H1462" s="7"/>
      <c r="I1462" s="7"/>
      <c r="K1462" s="9"/>
    </row>
    <row r="1463" spans="5:11" ht="12.75" customHeight="1">
      <c r="E1463" s="7"/>
      <c r="F1463" s="7"/>
      <c r="G1463" s="7"/>
      <c r="H1463" s="7"/>
      <c r="I1463" s="7"/>
      <c r="K1463" s="9"/>
    </row>
    <row r="1464" spans="5:11" ht="12.75" customHeight="1">
      <c r="E1464" s="7"/>
      <c r="F1464" s="7"/>
      <c r="G1464" s="7"/>
      <c r="H1464" s="7"/>
      <c r="I1464" s="7"/>
      <c r="K1464" s="9"/>
    </row>
    <row r="1465" spans="5:11" ht="12.75" customHeight="1">
      <c r="E1465" s="7"/>
      <c r="F1465" s="7"/>
      <c r="G1465" s="7"/>
      <c r="H1465" s="7"/>
      <c r="I1465" s="7"/>
      <c r="K1465" s="9"/>
    </row>
    <row r="1466" spans="5:11" ht="12.75" customHeight="1">
      <c r="E1466" s="7"/>
      <c r="F1466" s="7"/>
      <c r="G1466" s="7"/>
      <c r="H1466" s="7"/>
      <c r="I1466" s="7"/>
      <c r="K1466" s="9"/>
    </row>
    <row r="1467" spans="5:11" ht="12.75" customHeight="1">
      <c r="E1467" s="7"/>
      <c r="F1467" s="7"/>
      <c r="G1467" s="7"/>
      <c r="H1467" s="7"/>
      <c r="I1467" s="7"/>
      <c r="K1467" s="9"/>
    </row>
    <row r="1468" spans="5:11" ht="12.75" customHeight="1">
      <c r="E1468" s="7"/>
      <c r="F1468" s="7"/>
      <c r="G1468" s="7"/>
      <c r="H1468" s="7"/>
      <c r="I1468" s="7"/>
      <c r="K1468" s="9"/>
    </row>
    <row r="1469" spans="5:11" ht="12.75" customHeight="1">
      <c r="E1469" s="7"/>
      <c r="F1469" s="7"/>
      <c r="G1469" s="7"/>
      <c r="H1469" s="7"/>
      <c r="I1469" s="7"/>
      <c r="K1469" s="9"/>
    </row>
    <row r="1470" spans="5:11" ht="12.75" customHeight="1">
      <c r="E1470" s="7"/>
      <c r="F1470" s="7"/>
      <c r="G1470" s="7"/>
      <c r="H1470" s="7"/>
      <c r="I1470" s="7"/>
      <c r="K1470" s="9"/>
    </row>
    <row r="1471" spans="5:11" ht="12.75" customHeight="1">
      <c r="E1471" s="7"/>
      <c r="F1471" s="7"/>
      <c r="G1471" s="7"/>
      <c r="H1471" s="7"/>
      <c r="I1471" s="7"/>
      <c r="K1471" s="9"/>
    </row>
    <row r="1472" spans="5:11" ht="12.75" customHeight="1">
      <c r="E1472" s="7"/>
      <c r="F1472" s="7"/>
      <c r="G1472" s="7"/>
      <c r="H1472" s="7"/>
      <c r="I1472" s="7"/>
      <c r="K1472" s="9"/>
    </row>
    <row r="1473" spans="5:11" ht="12.75" customHeight="1">
      <c r="E1473" s="7"/>
      <c r="F1473" s="7"/>
      <c r="G1473" s="7"/>
      <c r="H1473" s="7"/>
      <c r="I1473" s="7"/>
      <c r="K1473" s="9"/>
    </row>
    <row r="1474" spans="5:11" ht="12.75" customHeight="1">
      <c r="E1474" s="7"/>
      <c r="F1474" s="7"/>
      <c r="G1474" s="7"/>
      <c r="H1474" s="7"/>
      <c r="I1474" s="7"/>
      <c r="K1474" s="9"/>
    </row>
    <row r="1475" spans="5:11" ht="12.75" customHeight="1">
      <c r="E1475" s="7"/>
      <c r="F1475" s="7"/>
      <c r="G1475" s="7"/>
      <c r="H1475" s="7"/>
      <c r="I1475" s="7"/>
      <c r="K1475" s="9"/>
    </row>
    <row r="1476" spans="5:11" ht="12.75" customHeight="1">
      <c r="E1476" s="7"/>
      <c r="F1476" s="7"/>
      <c r="G1476" s="7"/>
      <c r="H1476" s="7"/>
      <c r="I1476" s="7"/>
      <c r="K1476" s="9"/>
    </row>
    <row r="1477" spans="5:11" ht="12.75" customHeight="1">
      <c r="E1477" s="7"/>
      <c r="F1477" s="7"/>
      <c r="G1477" s="7"/>
      <c r="H1477" s="7"/>
      <c r="I1477" s="7"/>
      <c r="K1477" s="9"/>
    </row>
    <row r="1478" spans="5:11" ht="12.75" customHeight="1">
      <c r="E1478" s="7"/>
      <c r="F1478" s="7"/>
      <c r="G1478" s="7"/>
      <c r="H1478" s="7"/>
      <c r="I1478" s="7"/>
      <c r="K1478" s="9"/>
    </row>
    <row r="1479" spans="5:11" ht="12.75" customHeight="1">
      <c r="E1479" s="7"/>
      <c r="F1479" s="7"/>
      <c r="G1479" s="7"/>
      <c r="H1479" s="7"/>
      <c r="I1479" s="7"/>
      <c r="K1479" s="9"/>
    </row>
    <row r="1480" spans="5:11" ht="12.75" customHeight="1">
      <c r="E1480" s="7"/>
      <c r="F1480" s="7"/>
      <c r="G1480" s="7"/>
      <c r="H1480" s="7"/>
      <c r="I1480" s="7"/>
      <c r="K1480" s="9"/>
    </row>
    <row r="1481" spans="5:11" ht="12.75" customHeight="1">
      <c r="E1481" s="7"/>
      <c r="F1481" s="7"/>
      <c r="G1481" s="7"/>
      <c r="H1481" s="7"/>
      <c r="I1481" s="7"/>
      <c r="K1481" s="9"/>
    </row>
    <row r="1482" spans="5:11" ht="12.75" customHeight="1">
      <c r="E1482" s="7"/>
      <c r="F1482" s="7"/>
      <c r="G1482" s="7"/>
      <c r="H1482" s="7"/>
      <c r="I1482" s="7"/>
      <c r="K1482" s="9"/>
    </row>
    <row r="1483" spans="5:11" ht="12.75" customHeight="1">
      <c r="E1483" s="7"/>
      <c r="F1483" s="7"/>
      <c r="G1483" s="7"/>
      <c r="H1483" s="7"/>
      <c r="I1483" s="7"/>
      <c r="K1483" s="9"/>
    </row>
    <row r="1484" spans="5:11" ht="12.75" customHeight="1">
      <c r="E1484" s="7"/>
      <c r="F1484" s="7"/>
      <c r="G1484" s="7"/>
      <c r="H1484" s="7"/>
      <c r="I1484" s="7"/>
      <c r="K1484" s="9"/>
    </row>
    <row r="1485" spans="5:11" ht="12.75" customHeight="1">
      <c r="E1485" s="7"/>
      <c r="F1485" s="7"/>
      <c r="G1485" s="7"/>
      <c r="H1485" s="7"/>
      <c r="I1485" s="7"/>
      <c r="K1485" s="9"/>
    </row>
    <row r="1486" spans="5:11" ht="12.75" customHeight="1">
      <c r="E1486" s="7"/>
      <c r="F1486" s="7"/>
      <c r="G1486" s="7"/>
      <c r="H1486" s="7"/>
      <c r="I1486" s="7"/>
      <c r="K1486" s="9"/>
    </row>
    <row r="1487" spans="5:11" ht="12.75" customHeight="1">
      <c r="E1487" s="7"/>
      <c r="F1487" s="7"/>
      <c r="G1487" s="7"/>
      <c r="H1487" s="7"/>
      <c r="I1487" s="7"/>
      <c r="K1487" s="9"/>
    </row>
    <row r="1488" spans="5:11" ht="12.75" customHeight="1">
      <c r="E1488" s="7"/>
      <c r="F1488" s="7"/>
      <c r="G1488" s="7"/>
      <c r="H1488" s="7"/>
      <c r="I1488" s="7"/>
      <c r="K1488" s="9"/>
    </row>
    <row r="1489" spans="5:11" ht="12.75" customHeight="1">
      <c r="E1489" s="7"/>
      <c r="F1489" s="7"/>
      <c r="G1489" s="7"/>
      <c r="H1489" s="7"/>
      <c r="I1489" s="7"/>
      <c r="K1489" s="9"/>
    </row>
    <row r="1490" spans="5:11" ht="12.75" customHeight="1">
      <c r="E1490" s="7"/>
      <c r="F1490" s="7"/>
      <c r="G1490" s="7"/>
      <c r="H1490" s="7"/>
      <c r="I1490" s="7"/>
      <c r="K1490" s="9"/>
    </row>
    <row r="1491" spans="5:11" ht="12.75" customHeight="1">
      <c r="E1491" s="7"/>
      <c r="F1491" s="7"/>
      <c r="G1491" s="7"/>
      <c r="H1491" s="7"/>
      <c r="I1491" s="7"/>
      <c r="K1491" s="9"/>
    </row>
    <row r="1492" spans="5:11" ht="12.75" customHeight="1">
      <c r="E1492" s="7"/>
      <c r="F1492" s="7"/>
      <c r="G1492" s="7"/>
      <c r="H1492" s="7"/>
      <c r="I1492" s="7"/>
      <c r="K1492" s="9"/>
    </row>
    <row r="1493" spans="5:11" ht="12.75" customHeight="1">
      <c r="E1493" s="7"/>
      <c r="F1493" s="7"/>
      <c r="G1493" s="7"/>
      <c r="H1493" s="7"/>
      <c r="I1493" s="7"/>
      <c r="K1493" s="9"/>
    </row>
    <row r="1494" spans="5:11" ht="12.75" customHeight="1">
      <c r="E1494" s="7"/>
      <c r="F1494" s="7"/>
      <c r="G1494" s="7"/>
      <c r="H1494" s="7"/>
      <c r="I1494" s="7"/>
      <c r="K1494" s="9"/>
    </row>
    <row r="1495" spans="5:11" ht="12.75" customHeight="1">
      <c r="E1495" s="7"/>
      <c r="F1495" s="7"/>
      <c r="G1495" s="7"/>
      <c r="H1495" s="7"/>
      <c r="I1495" s="7"/>
      <c r="K1495" s="9"/>
    </row>
    <row r="1496" spans="5:11" ht="12.75" customHeight="1">
      <c r="E1496" s="7"/>
      <c r="F1496" s="7"/>
      <c r="G1496" s="7"/>
      <c r="H1496" s="7"/>
      <c r="I1496" s="7"/>
      <c r="K1496" s="9"/>
    </row>
    <row r="1497" spans="5:11" ht="12.75" customHeight="1">
      <c r="E1497" s="7"/>
      <c r="F1497" s="7"/>
      <c r="G1497" s="7"/>
      <c r="H1497" s="7"/>
      <c r="I1497" s="7"/>
      <c r="K1497" s="9"/>
    </row>
    <row r="1498" spans="5:11" ht="12.75" customHeight="1">
      <c r="E1498" s="7"/>
      <c r="F1498" s="7"/>
      <c r="G1498" s="7"/>
      <c r="H1498" s="7"/>
      <c r="I1498" s="7"/>
      <c r="K1498" s="9"/>
    </row>
    <row r="1499" spans="5:11" ht="12.75" customHeight="1">
      <c r="E1499" s="7"/>
      <c r="F1499" s="7"/>
      <c r="G1499" s="7"/>
      <c r="H1499" s="7"/>
      <c r="I1499" s="7"/>
      <c r="K1499" s="9"/>
    </row>
    <row r="1500" spans="5:11" ht="12.75" customHeight="1">
      <c r="E1500" s="7"/>
      <c r="F1500" s="7"/>
      <c r="G1500" s="7"/>
      <c r="H1500" s="7"/>
      <c r="I1500" s="7"/>
      <c r="K1500" s="9"/>
    </row>
    <row r="1501" spans="5:11" ht="12.75" customHeight="1">
      <c r="E1501" s="7"/>
      <c r="F1501" s="7"/>
      <c r="G1501" s="7"/>
      <c r="H1501" s="7"/>
      <c r="I1501" s="7"/>
      <c r="K1501" s="9"/>
    </row>
    <row r="1502" spans="5:11" ht="12.75" customHeight="1">
      <c r="E1502" s="7"/>
      <c r="F1502" s="7"/>
      <c r="G1502" s="7"/>
      <c r="H1502" s="7"/>
      <c r="I1502" s="7"/>
      <c r="K1502" s="9"/>
    </row>
    <row r="1503" spans="5:11" ht="12.75" customHeight="1">
      <c r="E1503" s="7"/>
      <c r="F1503" s="7"/>
      <c r="G1503" s="7"/>
      <c r="H1503" s="7"/>
      <c r="I1503" s="7"/>
      <c r="K1503" s="9"/>
    </row>
    <row r="1504" spans="5:11" ht="12.75" customHeight="1">
      <c r="E1504" s="7"/>
      <c r="F1504" s="7"/>
      <c r="G1504" s="7"/>
      <c r="H1504" s="7"/>
      <c r="I1504" s="7"/>
      <c r="K1504" s="9"/>
    </row>
    <row r="1505" spans="5:11" ht="12.75" customHeight="1">
      <c r="E1505" s="7"/>
      <c r="F1505" s="7"/>
      <c r="G1505" s="7"/>
      <c r="H1505" s="7"/>
      <c r="I1505" s="7"/>
      <c r="K1505" s="9"/>
    </row>
    <row r="1506" spans="5:11" ht="12.75" customHeight="1">
      <c r="E1506" s="7"/>
      <c r="F1506" s="7"/>
      <c r="G1506" s="7"/>
      <c r="H1506" s="7"/>
      <c r="I1506" s="7"/>
      <c r="K1506" s="9"/>
    </row>
    <row r="1507" spans="5:11" ht="12.75" customHeight="1">
      <c r="E1507" s="7"/>
      <c r="F1507" s="7"/>
      <c r="G1507" s="7"/>
      <c r="H1507" s="7"/>
      <c r="I1507" s="7"/>
      <c r="K1507" s="9"/>
    </row>
    <row r="1508" spans="5:11" ht="12.75" customHeight="1">
      <c r="E1508" s="7"/>
      <c r="F1508" s="7"/>
      <c r="G1508" s="7"/>
      <c r="H1508" s="7"/>
      <c r="I1508" s="7"/>
      <c r="K1508" s="9"/>
    </row>
    <row r="1509" spans="5:11" ht="12.75" customHeight="1">
      <c r="E1509" s="7"/>
      <c r="F1509" s="7"/>
      <c r="G1509" s="7"/>
      <c r="H1509" s="7"/>
      <c r="I1509" s="7"/>
      <c r="K1509" s="9"/>
    </row>
    <row r="1510" spans="5:11" ht="12.75" customHeight="1">
      <c r="E1510" s="7"/>
      <c r="F1510" s="7"/>
      <c r="G1510" s="7"/>
      <c r="H1510" s="7"/>
      <c r="I1510" s="7"/>
      <c r="K1510" s="9"/>
    </row>
    <row r="1511" spans="5:11" ht="12.75" customHeight="1">
      <c r="E1511" s="7"/>
      <c r="F1511" s="7"/>
      <c r="G1511" s="7"/>
      <c r="H1511" s="7"/>
      <c r="I1511" s="7"/>
      <c r="K1511" s="9"/>
    </row>
    <row r="1512" spans="5:11" ht="12.75" customHeight="1">
      <c r="E1512" s="7"/>
      <c r="F1512" s="7"/>
      <c r="G1512" s="7"/>
      <c r="H1512" s="7"/>
      <c r="I1512" s="7"/>
      <c r="K1512" s="9"/>
    </row>
    <row r="1513" spans="5:11" ht="12.75" customHeight="1">
      <c r="E1513" s="7"/>
      <c r="F1513" s="7"/>
      <c r="G1513" s="7"/>
      <c r="H1513" s="7"/>
      <c r="I1513" s="7"/>
      <c r="K1513" s="9"/>
    </row>
    <row r="1514" spans="5:11" ht="12.75" customHeight="1">
      <c r="E1514" s="7"/>
      <c r="F1514" s="7"/>
      <c r="G1514" s="7"/>
      <c r="H1514" s="7"/>
      <c r="I1514" s="7"/>
      <c r="K1514" s="9"/>
    </row>
    <row r="1515" spans="5:11" ht="12.75" customHeight="1">
      <c r="E1515" s="7"/>
      <c r="F1515" s="7"/>
      <c r="G1515" s="7"/>
      <c r="H1515" s="7"/>
      <c r="I1515" s="7"/>
      <c r="K1515" s="9"/>
    </row>
    <row r="1516" spans="5:11" ht="12.75" customHeight="1">
      <c r="E1516" s="7"/>
      <c r="F1516" s="7"/>
      <c r="G1516" s="7"/>
      <c r="H1516" s="7"/>
      <c r="I1516" s="7"/>
      <c r="K1516" s="9"/>
    </row>
    <row r="1517" spans="5:11" ht="12.75" customHeight="1">
      <c r="E1517" s="7"/>
      <c r="F1517" s="7"/>
      <c r="G1517" s="7"/>
      <c r="H1517" s="7"/>
      <c r="I1517" s="7"/>
      <c r="K1517" s="9"/>
    </row>
    <row r="1518" spans="5:11" ht="12.75" customHeight="1">
      <c r="E1518" s="7"/>
      <c r="F1518" s="7"/>
      <c r="G1518" s="7"/>
      <c r="H1518" s="7"/>
      <c r="I1518" s="7"/>
      <c r="K1518" s="9"/>
    </row>
    <row r="1519" spans="5:11" ht="12.75" customHeight="1">
      <c r="E1519" s="7"/>
      <c r="F1519" s="7"/>
      <c r="G1519" s="7"/>
      <c r="H1519" s="7"/>
      <c r="I1519" s="7"/>
      <c r="K1519" s="9"/>
    </row>
    <row r="1520" spans="5:11" ht="12.75" customHeight="1">
      <c r="E1520" s="7"/>
      <c r="F1520" s="7"/>
      <c r="G1520" s="7"/>
      <c r="H1520" s="7"/>
      <c r="I1520" s="7"/>
      <c r="K1520" s="9"/>
    </row>
    <row r="1521" spans="5:11" ht="12.75" customHeight="1">
      <c r="E1521" s="7"/>
      <c r="F1521" s="7"/>
      <c r="G1521" s="7"/>
      <c r="H1521" s="7"/>
      <c r="I1521" s="7"/>
      <c r="K1521" s="9"/>
    </row>
    <row r="1522" spans="5:11" ht="12.75" customHeight="1">
      <c r="E1522" s="7"/>
      <c r="F1522" s="7"/>
      <c r="G1522" s="7"/>
      <c r="H1522" s="7"/>
      <c r="I1522" s="7"/>
      <c r="K1522" s="9"/>
    </row>
    <row r="1523" spans="5:11" ht="12.75" customHeight="1">
      <c r="E1523" s="7"/>
      <c r="F1523" s="7"/>
      <c r="G1523" s="7"/>
      <c r="H1523" s="7"/>
      <c r="I1523" s="7"/>
      <c r="K1523" s="9"/>
    </row>
    <row r="1524" spans="5:11" ht="12.75" customHeight="1">
      <c r="E1524" s="7"/>
      <c r="F1524" s="7"/>
      <c r="G1524" s="7"/>
      <c r="H1524" s="7"/>
      <c r="I1524" s="7"/>
      <c r="K1524" s="9"/>
    </row>
    <row r="1525" spans="5:11" ht="12.75" customHeight="1">
      <c r="E1525" s="7"/>
      <c r="F1525" s="7"/>
      <c r="G1525" s="7"/>
      <c r="H1525" s="7"/>
      <c r="I1525" s="7"/>
      <c r="K1525" s="9"/>
    </row>
    <row r="1526" spans="5:11" ht="12.75" customHeight="1">
      <c r="E1526" s="7"/>
      <c r="F1526" s="7"/>
      <c r="G1526" s="7"/>
      <c r="H1526" s="7"/>
      <c r="I1526" s="7"/>
      <c r="K1526" s="9"/>
    </row>
    <row r="1527" spans="5:11" ht="12.75" customHeight="1">
      <c r="E1527" s="7"/>
      <c r="F1527" s="7"/>
      <c r="G1527" s="7"/>
      <c r="H1527" s="7"/>
      <c r="I1527" s="7"/>
      <c r="K1527" s="9"/>
    </row>
    <row r="1528" spans="5:11" ht="12.75" customHeight="1">
      <c r="E1528" s="7"/>
      <c r="F1528" s="7"/>
      <c r="G1528" s="7"/>
      <c r="H1528" s="7"/>
      <c r="I1528" s="7"/>
      <c r="K1528" s="9"/>
    </row>
    <row r="1529" spans="5:11" ht="12.75" customHeight="1">
      <c r="E1529" s="7"/>
      <c r="F1529" s="7"/>
      <c r="G1529" s="7"/>
      <c r="H1529" s="7"/>
      <c r="I1529" s="7"/>
      <c r="K1529" s="9"/>
    </row>
    <row r="1530" spans="5:11" ht="12.75" customHeight="1">
      <c r="E1530" s="7"/>
      <c r="F1530" s="7"/>
      <c r="G1530" s="7"/>
      <c r="H1530" s="7"/>
      <c r="I1530" s="7"/>
      <c r="K1530" s="9"/>
    </row>
    <row r="1531" spans="5:11" ht="12.75" customHeight="1">
      <c r="E1531" s="7"/>
      <c r="F1531" s="7"/>
      <c r="G1531" s="7"/>
      <c r="H1531" s="7"/>
      <c r="I1531" s="7"/>
      <c r="K1531" s="9"/>
    </row>
    <row r="1532" spans="5:11" ht="12.75" customHeight="1">
      <c r="E1532" s="7"/>
      <c r="F1532" s="7"/>
      <c r="G1532" s="7"/>
      <c r="H1532" s="7"/>
      <c r="I1532" s="7"/>
      <c r="K1532" s="9"/>
    </row>
    <row r="1533" spans="5:11" ht="12.75" customHeight="1">
      <c r="E1533" s="7"/>
      <c r="F1533" s="7"/>
      <c r="G1533" s="7"/>
      <c r="H1533" s="7"/>
      <c r="I1533" s="7"/>
      <c r="K1533" s="9"/>
    </row>
    <row r="1534" spans="5:11" ht="12.75" customHeight="1">
      <c r="E1534" s="7"/>
      <c r="F1534" s="7"/>
      <c r="G1534" s="7"/>
      <c r="H1534" s="7"/>
      <c r="I1534" s="7"/>
      <c r="K1534" s="9"/>
    </row>
    <row r="1535" spans="5:11" ht="12.75" customHeight="1">
      <c r="E1535" s="7"/>
      <c r="F1535" s="7"/>
      <c r="G1535" s="7"/>
      <c r="H1535" s="7"/>
      <c r="I1535" s="7"/>
      <c r="K1535" s="9"/>
    </row>
    <row r="1536" spans="5:11" ht="12.75" customHeight="1">
      <c r="E1536" s="7"/>
      <c r="F1536" s="7"/>
      <c r="G1536" s="7"/>
      <c r="H1536" s="7"/>
      <c r="I1536" s="7"/>
      <c r="K1536" s="9"/>
    </row>
    <row r="1537" spans="5:11" ht="12.75" customHeight="1">
      <c r="E1537" s="7"/>
      <c r="F1537" s="7"/>
      <c r="G1537" s="7"/>
      <c r="H1537" s="7"/>
      <c r="I1537" s="7"/>
      <c r="K1537" s="9"/>
    </row>
    <row r="1538" spans="5:11" ht="12.75" customHeight="1">
      <c r="E1538" s="7"/>
      <c r="F1538" s="7"/>
      <c r="G1538" s="7"/>
      <c r="H1538" s="7"/>
      <c r="I1538" s="7"/>
      <c r="K1538" s="9"/>
    </row>
    <row r="1539" spans="5:11" ht="12.75" customHeight="1">
      <c r="E1539" s="7"/>
      <c r="F1539" s="7"/>
      <c r="G1539" s="7"/>
      <c r="H1539" s="7"/>
      <c r="I1539" s="7"/>
      <c r="K1539" s="9"/>
    </row>
    <row r="1540" spans="5:11" ht="12.75" customHeight="1">
      <c r="E1540" s="7"/>
      <c r="F1540" s="7"/>
      <c r="G1540" s="7"/>
      <c r="H1540" s="7"/>
      <c r="I1540" s="7"/>
      <c r="K1540" s="9"/>
    </row>
    <row r="1541" spans="5:11" ht="12.75" customHeight="1">
      <c r="E1541" s="7"/>
      <c r="F1541" s="7"/>
      <c r="G1541" s="7"/>
      <c r="H1541" s="7"/>
      <c r="I1541" s="7"/>
      <c r="K1541" s="9"/>
    </row>
    <row r="1542" spans="5:11" ht="12.75" customHeight="1">
      <c r="E1542" s="7"/>
      <c r="F1542" s="7"/>
      <c r="G1542" s="7"/>
      <c r="H1542" s="7"/>
      <c r="I1542" s="7"/>
      <c r="K1542" s="9"/>
    </row>
    <row r="1543" spans="5:11" ht="12.75" customHeight="1">
      <c r="E1543" s="7"/>
      <c r="F1543" s="7"/>
      <c r="G1543" s="7"/>
      <c r="H1543" s="7"/>
      <c r="I1543" s="7"/>
      <c r="K1543" s="9"/>
    </row>
    <row r="1544" spans="5:11" ht="12.75" customHeight="1">
      <c r="E1544" s="7"/>
      <c r="F1544" s="7"/>
      <c r="G1544" s="7"/>
      <c r="H1544" s="7"/>
      <c r="I1544" s="7"/>
      <c r="K1544" s="9"/>
    </row>
    <row r="1545" spans="5:11" ht="12.75" customHeight="1">
      <c r="E1545" s="7"/>
      <c r="F1545" s="7"/>
      <c r="G1545" s="7"/>
      <c r="H1545" s="7"/>
      <c r="I1545" s="7"/>
      <c r="K1545" s="9"/>
    </row>
    <row r="1546" spans="5:11" ht="12.75" customHeight="1">
      <c r="E1546" s="7"/>
      <c r="F1546" s="7"/>
      <c r="G1546" s="7"/>
      <c r="H1546" s="7"/>
      <c r="I1546" s="7"/>
      <c r="K1546" s="9"/>
    </row>
    <row r="1547" spans="5:11" ht="12.75" customHeight="1">
      <c r="E1547" s="7"/>
      <c r="F1547" s="7"/>
      <c r="G1547" s="7"/>
      <c r="H1547" s="7"/>
      <c r="I1547" s="7"/>
      <c r="K1547" s="9"/>
    </row>
    <row r="1548" spans="5:11" ht="12.75" customHeight="1">
      <c r="E1548" s="7"/>
      <c r="F1548" s="7"/>
      <c r="G1548" s="7"/>
      <c r="H1548" s="7"/>
      <c r="I1548" s="7"/>
      <c r="K1548" s="9"/>
    </row>
    <row r="1549" spans="5:11" ht="12.75" customHeight="1">
      <c r="E1549" s="7"/>
      <c r="F1549" s="7"/>
      <c r="G1549" s="7"/>
      <c r="H1549" s="7"/>
      <c r="I1549" s="7"/>
      <c r="K1549" s="9"/>
    </row>
    <row r="1550" spans="5:11" ht="12.75" customHeight="1">
      <c r="E1550" s="7"/>
      <c r="F1550" s="7"/>
      <c r="G1550" s="7"/>
      <c r="H1550" s="7"/>
      <c r="I1550" s="7"/>
      <c r="K1550" s="9"/>
    </row>
    <row r="1551" spans="5:11" ht="12.75" customHeight="1">
      <c r="E1551" s="7"/>
      <c r="F1551" s="7"/>
      <c r="G1551" s="7"/>
      <c r="H1551" s="7"/>
      <c r="I1551" s="7"/>
      <c r="K1551" s="9"/>
    </row>
    <row r="1552" spans="5:11" ht="12.75" customHeight="1">
      <c r="E1552" s="7"/>
      <c r="F1552" s="7"/>
      <c r="G1552" s="7"/>
      <c r="H1552" s="7"/>
      <c r="I1552" s="7"/>
      <c r="K1552" s="9"/>
    </row>
    <row r="1553" spans="5:11" ht="12.75" customHeight="1">
      <c r="E1553" s="7"/>
      <c r="F1553" s="7"/>
      <c r="G1553" s="7"/>
      <c r="H1553" s="7"/>
      <c r="I1553" s="7"/>
      <c r="K1553" s="9"/>
    </row>
    <row r="1554" spans="5:11" ht="12.75" customHeight="1">
      <c r="E1554" s="7"/>
      <c r="F1554" s="7"/>
      <c r="G1554" s="7"/>
      <c r="H1554" s="7"/>
      <c r="I1554" s="7"/>
      <c r="K1554" s="9"/>
    </row>
    <row r="1555" spans="5:11" ht="12.75" customHeight="1">
      <c r="E1555" s="7"/>
      <c r="F1555" s="7"/>
      <c r="G1555" s="7"/>
      <c r="H1555" s="7"/>
      <c r="I1555" s="7"/>
      <c r="K1555" s="9"/>
    </row>
    <row r="1556" spans="5:11" ht="12.75" customHeight="1">
      <c r="E1556" s="7"/>
      <c r="F1556" s="7"/>
      <c r="G1556" s="7"/>
      <c r="H1556" s="7"/>
      <c r="I1556" s="7"/>
      <c r="K1556" s="9"/>
    </row>
    <row r="1557" spans="5:11" ht="12.75" customHeight="1">
      <c r="E1557" s="7"/>
      <c r="F1557" s="7"/>
      <c r="G1557" s="7"/>
      <c r="H1557" s="7"/>
      <c r="I1557" s="7"/>
      <c r="K1557" s="9"/>
    </row>
    <row r="1558" spans="5:11" ht="12.75" customHeight="1">
      <c r="E1558" s="7"/>
      <c r="F1558" s="7"/>
      <c r="G1558" s="7"/>
      <c r="H1558" s="7"/>
      <c r="I1558" s="7"/>
      <c r="K1558" s="9"/>
    </row>
    <row r="1559" spans="5:11" ht="12.75" customHeight="1">
      <c r="E1559" s="7"/>
      <c r="F1559" s="7"/>
      <c r="G1559" s="7"/>
      <c r="H1559" s="7"/>
      <c r="I1559" s="7"/>
      <c r="K1559" s="9"/>
    </row>
    <row r="1560" spans="5:11" ht="12.75" customHeight="1">
      <c r="E1560" s="7"/>
      <c r="F1560" s="7"/>
      <c r="G1560" s="7"/>
      <c r="H1560" s="7"/>
      <c r="I1560" s="7"/>
      <c r="K1560" s="9"/>
    </row>
    <row r="1561" spans="5:11" ht="12.75" customHeight="1">
      <c r="E1561" s="7"/>
      <c r="F1561" s="7"/>
      <c r="G1561" s="7"/>
      <c r="H1561" s="7"/>
      <c r="I1561" s="7"/>
      <c r="K1561" s="9"/>
    </row>
    <row r="1562" spans="5:11" ht="12.75" customHeight="1">
      <c r="E1562" s="7"/>
      <c r="F1562" s="7"/>
      <c r="G1562" s="7"/>
      <c r="H1562" s="7"/>
      <c r="I1562" s="7"/>
      <c r="K1562" s="9"/>
    </row>
    <row r="1563" spans="5:11" ht="12.75" customHeight="1">
      <c r="E1563" s="7"/>
      <c r="F1563" s="7"/>
      <c r="G1563" s="7"/>
      <c r="H1563" s="7"/>
      <c r="I1563" s="7"/>
      <c r="K1563" s="9"/>
    </row>
    <row r="1564" spans="5:11" ht="12.75" customHeight="1">
      <c r="E1564" s="7"/>
      <c r="F1564" s="7"/>
      <c r="G1564" s="7"/>
      <c r="H1564" s="7"/>
      <c r="I1564" s="7"/>
      <c r="K1564" s="9"/>
    </row>
    <row r="1565" spans="5:11" ht="12.75" customHeight="1">
      <c r="E1565" s="7"/>
      <c r="F1565" s="7"/>
      <c r="G1565" s="7"/>
      <c r="H1565" s="7"/>
      <c r="I1565" s="7"/>
      <c r="K1565" s="9"/>
    </row>
    <row r="1566" spans="5:11" ht="12.75" customHeight="1">
      <c r="E1566" s="7"/>
      <c r="F1566" s="7"/>
      <c r="G1566" s="7"/>
      <c r="H1566" s="7"/>
      <c r="I1566" s="7"/>
      <c r="K1566" s="9"/>
    </row>
    <row r="1567" spans="5:11" ht="12.75" customHeight="1">
      <c r="E1567" s="7"/>
      <c r="F1567" s="7"/>
      <c r="G1567" s="7"/>
      <c r="H1567" s="7"/>
      <c r="I1567" s="7"/>
      <c r="K1567" s="9"/>
    </row>
    <row r="1568" spans="5:11" ht="12.75" customHeight="1">
      <c r="E1568" s="7"/>
      <c r="F1568" s="7"/>
      <c r="G1568" s="7"/>
      <c r="H1568" s="7"/>
      <c r="I1568" s="7"/>
      <c r="K1568" s="9"/>
    </row>
    <row r="1569" spans="5:11" ht="12.75" customHeight="1">
      <c r="E1569" s="7"/>
      <c r="F1569" s="7"/>
      <c r="G1569" s="7"/>
      <c r="H1569" s="7"/>
      <c r="I1569" s="7"/>
      <c r="K1569" s="9"/>
    </row>
    <row r="1570" spans="5:11" ht="12.75" customHeight="1">
      <c r="E1570" s="7"/>
      <c r="F1570" s="7"/>
      <c r="G1570" s="7"/>
      <c r="H1570" s="7"/>
      <c r="I1570" s="7"/>
      <c r="K1570" s="9"/>
    </row>
    <row r="1571" spans="5:11" ht="12.75" customHeight="1">
      <c r="E1571" s="7"/>
      <c r="F1571" s="7"/>
      <c r="G1571" s="7"/>
      <c r="H1571" s="7"/>
      <c r="I1571" s="7"/>
      <c r="K1571" s="9"/>
    </row>
    <row r="1572" spans="5:11" ht="12.75" customHeight="1">
      <c r="E1572" s="7"/>
      <c r="F1572" s="7"/>
      <c r="G1572" s="7"/>
      <c r="H1572" s="7"/>
      <c r="I1572" s="7"/>
      <c r="K1572" s="9"/>
    </row>
    <row r="1573" spans="5:11" ht="12.75" customHeight="1">
      <c r="E1573" s="7"/>
      <c r="F1573" s="7"/>
      <c r="G1573" s="7"/>
      <c r="H1573" s="7"/>
      <c r="I1573" s="7"/>
      <c r="K1573" s="9"/>
    </row>
    <row r="1574" spans="5:11" ht="12.75" customHeight="1">
      <c r="E1574" s="7"/>
      <c r="F1574" s="7"/>
      <c r="G1574" s="7"/>
      <c r="H1574" s="7"/>
      <c r="I1574" s="7"/>
      <c r="K1574" s="9"/>
    </row>
    <row r="1575" spans="5:11" ht="12.75" customHeight="1">
      <c r="E1575" s="7"/>
      <c r="F1575" s="7"/>
      <c r="G1575" s="7"/>
      <c r="H1575" s="7"/>
      <c r="I1575" s="7"/>
      <c r="K1575" s="9"/>
    </row>
    <row r="1576" spans="5:11" ht="12.75" customHeight="1">
      <c r="E1576" s="7"/>
      <c r="F1576" s="7"/>
      <c r="G1576" s="7"/>
      <c r="H1576" s="7"/>
      <c r="I1576" s="7"/>
      <c r="K1576" s="9"/>
    </row>
    <row r="1577" spans="5:11" ht="12.75" customHeight="1">
      <c r="E1577" s="7"/>
      <c r="F1577" s="7"/>
      <c r="G1577" s="7"/>
      <c r="H1577" s="7"/>
      <c r="I1577" s="7"/>
      <c r="K1577" s="9"/>
    </row>
    <row r="1578" spans="5:11" ht="12.75" customHeight="1">
      <c r="E1578" s="7"/>
      <c r="F1578" s="7"/>
      <c r="G1578" s="7"/>
      <c r="H1578" s="7"/>
      <c r="I1578" s="7"/>
      <c r="K1578" s="9"/>
    </row>
    <row r="1579" spans="5:11" ht="12.75" customHeight="1">
      <c r="E1579" s="7"/>
      <c r="F1579" s="7"/>
      <c r="G1579" s="7"/>
      <c r="H1579" s="7"/>
      <c r="I1579" s="7"/>
      <c r="K1579" s="9"/>
    </row>
    <row r="1580" spans="5:11" ht="12.75" customHeight="1">
      <c r="E1580" s="7"/>
      <c r="F1580" s="7"/>
      <c r="G1580" s="7"/>
      <c r="H1580" s="7"/>
      <c r="I1580" s="7"/>
      <c r="K1580" s="9"/>
    </row>
    <row r="1581" spans="5:11" ht="12.75" customHeight="1">
      <c r="E1581" s="7"/>
      <c r="F1581" s="7"/>
      <c r="G1581" s="7"/>
      <c r="H1581" s="7"/>
      <c r="I1581" s="7"/>
      <c r="K1581" s="9"/>
    </row>
    <row r="1582" spans="5:11" ht="12.75" customHeight="1">
      <c r="E1582" s="7"/>
      <c r="F1582" s="7"/>
      <c r="G1582" s="7"/>
      <c r="H1582" s="7"/>
      <c r="I1582" s="7"/>
      <c r="K1582" s="9"/>
    </row>
    <row r="1583" spans="5:11" ht="12.75" customHeight="1">
      <c r="E1583" s="7"/>
      <c r="F1583" s="7"/>
      <c r="G1583" s="7"/>
      <c r="H1583" s="7"/>
      <c r="I1583" s="7"/>
      <c r="K1583" s="9"/>
    </row>
    <row r="1584" spans="5:11" ht="12.75" customHeight="1">
      <c r="E1584" s="7"/>
      <c r="F1584" s="7"/>
      <c r="G1584" s="7"/>
      <c r="H1584" s="7"/>
      <c r="I1584" s="7"/>
      <c r="K1584" s="9"/>
    </row>
    <row r="1585" spans="5:11" ht="12.75" customHeight="1">
      <c r="E1585" s="7"/>
      <c r="F1585" s="7"/>
      <c r="G1585" s="7"/>
      <c r="H1585" s="7"/>
      <c r="I1585" s="7"/>
      <c r="K1585" s="9"/>
    </row>
    <row r="1586" spans="5:11" ht="12.75" customHeight="1">
      <c r="E1586" s="7"/>
      <c r="F1586" s="7"/>
      <c r="G1586" s="7"/>
      <c r="H1586" s="7"/>
      <c r="I1586" s="7"/>
      <c r="K1586" s="9"/>
    </row>
    <row r="1587" spans="5:11" ht="12.75" customHeight="1">
      <c r="E1587" s="7"/>
      <c r="F1587" s="7"/>
      <c r="G1587" s="7"/>
      <c r="H1587" s="7"/>
      <c r="I1587" s="7"/>
      <c r="K1587" s="9"/>
    </row>
    <row r="1588" spans="5:11" ht="12.75" customHeight="1">
      <c r="E1588" s="7"/>
      <c r="F1588" s="7"/>
      <c r="G1588" s="7"/>
      <c r="H1588" s="7"/>
      <c r="I1588" s="7"/>
      <c r="K1588" s="9"/>
    </row>
    <row r="1589" spans="5:11" ht="12.75" customHeight="1">
      <c r="E1589" s="7"/>
      <c r="F1589" s="7"/>
      <c r="G1589" s="7"/>
      <c r="H1589" s="7"/>
      <c r="I1589" s="7"/>
      <c r="K1589" s="9"/>
    </row>
    <row r="1590" spans="5:11" ht="12.75" customHeight="1">
      <c r="E1590" s="7"/>
      <c r="F1590" s="7"/>
      <c r="G1590" s="7"/>
      <c r="H1590" s="7"/>
      <c r="I1590" s="7"/>
      <c r="K1590" s="9"/>
    </row>
    <row r="1591" spans="5:11" ht="12.75" customHeight="1">
      <c r="E1591" s="7"/>
      <c r="F1591" s="7"/>
      <c r="G1591" s="7"/>
      <c r="H1591" s="7"/>
      <c r="I1591" s="7"/>
      <c r="K1591" s="9"/>
    </row>
    <row r="1592" spans="5:11" ht="12.75" customHeight="1">
      <c r="E1592" s="7"/>
      <c r="F1592" s="7"/>
      <c r="G1592" s="7"/>
      <c r="H1592" s="7"/>
      <c r="I1592" s="7"/>
      <c r="K1592" s="9"/>
    </row>
    <row r="1593" spans="5:11" ht="12.75" customHeight="1">
      <c r="E1593" s="7"/>
      <c r="F1593" s="7"/>
      <c r="G1593" s="7"/>
      <c r="H1593" s="7"/>
      <c r="I1593" s="7"/>
      <c r="K1593" s="9"/>
    </row>
    <row r="1594" spans="5:11" ht="12.75" customHeight="1">
      <c r="E1594" s="7"/>
      <c r="F1594" s="7"/>
      <c r="G1594" s="7"/>
      <c r="H1594" s="7"/>
      <c r="I1594" s="7"/>
      <c r="K1594" s="9"/>
    </row>
    <row r="1595" spans="5:11" ht="12.75" customHeight="1">
      <c r="E1595" s="7"/>
      <c r="F1595" s="7"/>
      <c r="G1595" s="7"/>
      <c r="H1595" s="7"/>
      <c r="I1595" s="7"/>
      <c r="K1595" s="9"/>
    </row>
    <row r="1596" spans="5:11" ht="12.75" customHeight="1">
      <c r="E1596" s="7"/>
      <c r="F1596" s="7"/>
      <c r="G1596" s="7"/>
      <c r="H1596" s="7"/>
      <c r="I1596" s="7"/>
      <c r="K1596" s="9"/>
    </row>
    <row r="1597" spans="5:11" ht="12.75" customHeight="1">
      <c r="E1597" s="7"/>
      <c r="F1597" s="7"/>
      <c r="G1597" s="7"/>
      <c r="H1597" s="7"/>
      <c r="I1597" s="7"/>
      <c r="K1597" s="9"/>
    </row>
    <row r="1598" spans="5:11" ht="12.75" customHeight="1">
      <c r="E1598" s="7"/>
      <c r="F1598" s="7"/>
      <c r="G1598" s="7"/>
      <c r="H1598" s="7"/>
      <c r="I1598" s="7"/>
      <c r="K1598" s="9"/>
    </row>
    <row r="1599" spans="5:11" ht="12.75" customHeight="1">
      <c r="E1599" s="7"/>
      <c r="F1599" s="7"/>
      <c r="G1599" s="7"/>
      <c r="H1599" s="7"/>
      <c r="I1599" s="7"/>
      <c r="K1599" s="9"/>
    </row>
    <row r="1600" spans="5:11" ht="12.75" customHeight="1">
      <c r="E1600" s="7"/>
      <c r="F1600" s="7"/>
      <c r="G1600" s="7"/>
      <c r="H1600" s="7"/>
      <c r="I1600" s="7"/>
      <c r="K1600" s="9"/>
    </row>
    <row r="1601" spans="5:11" ht="12.75" customHeight="1">
      <c r="E1601" s="7"/>
      <c r="F1601" s="7"/>
      <c r="G1601" s="7"/>
      <c r="H1601" s="7"/>
      <c r="I1601" s="7"/>
      <c r="K1601" s="9"/>
    </row>
    <row r="1602" spans="5:11" ht="12.75" customHeight="1">
      <c r="E1602" s="7"/>
      <c r="F1602" s="7"/>
      <c r="G1602" s="7"/>
      <c r="H1602" s="7"/>
      <c r="I1602" s="7"/>
      <c r="K1602" s="9"/>
    </row>
    <row r="1603" spans="5:11" ht="12.75" customHeight="1">
      <c r="E1603" s="7"/>
      <c r="F1603" s="7"/>
      <c r="G1603" s="7"/>
      <c r="H1603" s="7"/>
      <c r="I1603" s="7"/>
      <c r="K1603" s="9"/>
    </row>
    <row r="1604" spans="5:11" ht="12.75" customHeight="1">
      <c r="E1604" s="7"/>
      <c r="F1604" s="7"/>
      <c r="G1604" s="7"/>
      <c r="H1604" s="7"/>
      <c r="I1604" s="7"/>
      <c r="K1604" s="9"/>
    </row>
    <row r="1605" spans="5:11" ht="12.75" customHeight="1">
      <c r="E1605" s="7"/>
      <c r="F1605" s="7"/>
      <c r="G1605" s="7"/>
      <c r="H1605" s="7"/>
      <c r="I1605" s="7"/>
      <c r="K1605" s="9"/>
    </row>
    <row r="1606" spans="5:11" ht="12.75" customHeight="1">
      <c r="E1606" s="7"/>
      <c r="F1606" s="7"/>
      <c r="G1606" s="7"/>
      <c r="H1606" s="7"/>
      <c r="I1606" s="7"/>
      <c r="K1606" s="9"/>
    </row>
    <row r="1607" spans="5:11" ht="12.75" customHeight="1">
      <c r="E1607" s="7"/>
      <c r="F1607" s="7"/>
      <c r="G1607" s="7"/>
      <c r="H1607" s="7"/>
      <c r="I1607" s="7"/>
      <c r="K1607" s="9"/>
    </row>
    <row r="1608" spans="5:11" ht="12.75" customHeight="1">
      <c r="E1608" s="7"/>
      <c r="F1608" s="7"/>
      <c r="G1608" s="7"/>
      <c r="H1608" s="7"/>
      <c r="I1608" s="7"/>
      <c r="K1608" s="9"/>
    </row>
    <row r="1609" spans="5:11" ht="12.75" customHeight="1">
      <c r="E1609" s="7"/>
      <c r="F1609" s="7"/>
      <c r="G1609" s="7"/>
      <c r="H1609" s="7"/>
      <c r="I1609" s="7"/>
      <c r="K1609" s="9"/>
    </row>
    <row r="1610" spans="5:11" ht="12.75" customHeight="1">
      <c r="E1610" s="7"/>
      <c r="F1610" s="7"/>
      <c r="G1610" s="7"/>
      <c r="H1610" s="7"/>
      <c r="I1610" s="7"/>
      <c r="K1610" s="9"/>
    </row>
    <row r="1611" spans="5:11" ht="12.75" customHeight="1">
      <c r="E1611" s="7"/>
      <c r="F1611" s="7"/>
      <c r="G1611" s="7"/>
      <c r="H1611" s="7"/>
      <c r="I1611" s="7"/>
      <c r="K1611" s="9"/>
    </row>
    <row r="1612" spans="5:11" ht="12.75" customHeight="1">
      <c r="E1612" s="7"/>
      <c r="F1612" s="7"/>
      <c r="G1612" s="7"/>
      <c r="H1612" s="7"/>
      <c r="I1612" s="7"/>
      <c r="K1612" s="9"/>
    </row>
    <row r="1613" spans="5:11" ht="12.75" customHeight="1">
      <c r="E1613" s="7"/>
      <c r="F1613" s="7"/>
      <c r="G1613" s="7"/>
      <c r="H1613" s="7"/>
      <c r="I1613" s="7"/>
      <c r="K1613" s="9"/>
    </row>
    <row r="1614" spans="5:11" ht="12.75" customHeight="1">
      <c r="E1614" s="7"/>
      <c r="F1614" s="7"/>
      <c r="G1614" s="7"/>
      <c r="H1614" s="7"/>
      <c r="I1614" s="7"/>
      <c r="K1614" s="9"/>
    </row>
    <row r="1615" spans="5:11" ht="12.75" customHeight="1">
      <c r="E1615" s="7"/>
      <c r="F1615" s="7"/>
      <c r="G1615" s="7"/>
      <c r="H1615" s="7"/>
      <c r="I1615" s="7"/>
      <c r="K1615" s="9"/>
    </row>
    <row r="1616" spans="5:11" ht="12.75" customHeight="1">
      <c r="E1616" s="7"/>
      <c r="F1616" s="7"/>
      <c r="G1616" s="7"/>
      <c r="H1616" s="7"/>
      <c r="I1616" s="7"/>
      <c r="K1616" s="9"/>
    </row>
    <row r="1617" spans="5:11" ht="12.75" customHeight="1">
      <c r="E1617" s="7"/>
      <c r="F1617" s="7"/>
      <c r="G1617" s="7"/>
      <c r="H1617" s="7"/>
      <c r="I1617" s="7"/>
      <c r="K1617" s="9"/>
    </row>
    <row r="1618" spans="5:11" ht="12.75" customHeight="1">
      <c r="E1618" s="7"/>
      <c r="F1618" s="7"/>
      <c r="G1618" s="7"/>
      <c r="H1618" s="7"/>
      <c r="I1618" s="7"/>
      <c r="K1618" s="9"/>
    </row>
    <row r="1619" spans="5:11" ht="12.75" customHeight="1">
      <c r="E1619" s="7"/>
      <c r="F1619" s="7"/>
      <c r="G1619" s="7"/>
      <c r="H1619" s="7"/>
      <c r="I1619" s="7"/>
      <c r="K1619" s="9"/>
    </row>
    <row r="1620" spans="5:11" ht="12.75" customHeight="1">
      <c r="E1620" s="7"/>
      <c r="F1620" s="7"/>
      <c r="G1620" s="7"/>
      <c r="H1620" s="7"/>
      <c r="I1620" s="7"/>
      <c r="K1620" s="9"/>
    </row>
    <row r="1621" spans="5:11" ht="12.75" customHeight="1">
      <c r="E1621" s="7"/>
      <c r="F1621" s="7"/>
      <c r="G1621" s="7"/>
      <c r="H1621" s="7"/>
      <c r="I1621" s="7"/>
      <c r="K1621" s="9"/>
    </row>
    <row r="1622" spans="5:11" ht="12.75" customHeight="1">
      <c r="E1622" s="7"/>
      <c r="F1622" s="7"/>
      <c r="G1622" s="7"/>
      <c r="H1622" s="7"/>
      <c r="I1622" s="7"/>
      <c r="K1622" s="9"/>
    </row>
    <row r="1623" spans="5:11" ht="12.75" customHeight="1">
      <c r="E1623" s="7"/>
      <c r="F1623" s="7"/>
      <c r="G1623" s="7"/>
      <c r="H1623" s="7"/>
      <c r="I1623" s="7"/>
      <c r="K1623" s="9"/>
    </row>
    <row r="1624" spans="5:11" ht="12.75" customHeight="1">
      <c r="E1624" s="7"/>
      <c r="F1624" s="7"/>
      <c r="G1624" s="7"/>
      <c r="H1624" s="7"/>
      <c r="I1624" s="7"/>
      <c r="K1624" s="9"/>
    </row>
    <row r="1625" spans="5:11" ht="12.75" customHeight="1">
      <c r="E1625" s="7"/>
      <c r="F1625" s="7"/>
      <c r="G1625" s="7"/>
      <c r="H1625" s="7"/>
      <c r="I1625" s="7"/>
      <c r="K1625" s="9"/>
    </row>
    <row r="1626" spans="5:11" ht="12.75" customHeight="1">
      <c r="E1626" s="7"/>
      <c r="F1626" s="7"/>
      <c r="G1626" s="7"/>
      <c r="H1626" s="7"/>
      <c r="I1626" s="7"/>
      <c r="K1626" s="9"/>
    </row>
    <row r="1627" spans="5:11" ht="12.75" customHeight="1">
      <c r="E1627" s="7"/>
      <c r="F1627" s="7"/>
      <c r="G1627" s="7"/>
      <c r="H1627" s="7"/>
      <c r="I1627" s="7"/>
      <c r="K1627" s="9"/>
    </row>
    <row r="1628" spans="5:11" ht="12.75" customHeight="1">
      <c r="E1628" s="7"/>
      <c r="F1628" s="7"/>
      <c r="G1628" s="7"/>
      <c r="H1628" s="7"/>
      <c r="I1628" s="7"/>
      <c r="K1628" s="9"/>
    </row>
    <row r="1629" spans="5:11" ht="12.75" customHeight="1">
      <c r="E1629" s="7"/>
      <c r="F1629" s="7"/>
      <c r="G1629" s="7"/>
      <c r="H1629" s="7"/>
      <c r="I1629" s="7"/>
      <c r="K1629" s="9"/>
    </row>
    <row r="1630" spans="5:11" ht="12.75" customHeight="1">
      <c r="E1630" s="7"/>
      <c r="F1630" s="7"/>
      <c r="G1630" s="7"/>
      <c r="H1630" s="7"/>
      <c r="I1630" s="7"/>
      <c r="K1630" s="9"/>
    </row>
    <row r="1631" spans="5:11" ht="12.75" customHeight="1">
      <c r="E1631" s="7"/>
      <c r="F1631" s="7"/>
      <c r="G1631" s="7"/>
      <c r="H1631" s="7"/>
      <c r="I1631" s="7"/>
      <c r="K1631" s="9"/>
    </row>
    <row r="1632" spans="5:11" ht="12.75" customHeight="1">
      <c r="E1632" s="7"/>
      <c r="F1632" s="7"/>
      <c r="G1632" s="7"/>
      <c r="H1632" s="7"/>
      <c r="I1632" s="7"/>
      <c r="K1632" s="9"/>
    </row>
    <row r="1633" spans="5:11" ht="12.75" customHeight="1">
      <c r="E1633" s="7"/>
      <c r="F1633" s="7"/>
      <c r="G1633" s="7"/>
      <c r="H1633" s="7"/>
      <c r="I1633" s="7"/>
      <c r="K1633" s="9"/>
    </row>
    <row r="1634" spans="5:11" ht="12.75" customHeight="1">
      <c r="E1634" s="7"/>
      <c r="F1634" s="7"/>
      <c r="G1634" s="7"/>
      <c r="H1634" s="7"/>
      <c r="I1634" s="7"/>
      <c r="K1634" s="9"/>
    </row>
    <row r="1635" spans="5:11" ht="12.75" customHeight="1">
      <c r="E1635" s="7"/>
      <c r="F1635" s="7"/>
      <c r="G1635" s="7"/>
      <c r="H1635" s="7"/>
      <c r="I1635" s="7"/>
      <c r="K1635" s="9"/>
    </row>
    <row r="1636" spans="5:11" ht="12.75" customHeight="1">
      <c r="E1636" s="7"/>
      <c r="F1636" s="7"/>
      <c r="G1636" s="7"/>
      <c r="H1636" s="7"/>
      <c r="I1636" s="7"/>
      <c r="K1636" s="9"/>
    </row>
    <row r="1637" spans="5:11" ht="12.75" customHeight="1">
      <c r="E1637" s="7"/>
      <c r="F1637" s="7"/>
      <c r="G1637" s="7"/>
      <c r="H1637" s="7"/>
      <c r="I1637" s="7"/>
      <c r="K1637" s="9"/>
    </row>
    <row r="1638" spans="5:11" ht="12.75" customHeight="1">
      <c r="E1638" s="7"/>
      <c r="F1638" s="7"/>
      <c r="G1638" s="7"/>
      <c r="H1638" s="7"/>
      <c r="I1638" s="7"/>
      <c r="K1638" s="9"/>
    </row>
    <row r="1639" spans="5:11" ht="12.75" customHeight="1">
      <c r="E1639" s="7"/>
      <c r="F1639" s="7"/>
      <c r="G1639" s="7"/>
      <c r="H1639" s="7"/>
      <c r="I1639" s="7"/>
      <c r="K1639" s="9"/>
    </row>
    <row r="1640" spans="5:11" ht="12.75" customHeight="1">
      <c r="E1640" s="7"/>
      <c r="F1640" s="7"/>
      <c r="G1640" s="7"/>
      <c r="H1640" s="7"/>
      <c r="I1640" s="7"/>
      <c r="K1640" s="9"/>
    </row>
    <row r="1641" spans="5:11" ht="12.75" customHeight="1">
      <c r="E1641" s="7"/>
      <c r="F1641" s="7"/>
      <c r="G1641" s="7"/>
      <c r="H1641" s="7"/>
      <c r="I1641" s="7"/>
      <c r="K1641" s="9"/>
    </row>
    <row r="1642" spans="5:11" ht="12.75" customHeight="1">
      <c r="E1642" s="7"/>
      <c r="F1642" s="7"/>
      <c r="G1642" s="7"/>
      <c r="H1642" s="7"/>
      <c r="I1642" s="7"/>
      <c r="K1642" s="9"/>
    </row>
    <row r="1643" spans="5:11" ht="12.75" customHeight="1">
      <c r="E1643" s="7"/>
      <c r="F1643" s="7"/>
      <c r="G1643" s="7"/>
      <c r="H1643" s="7"/>
      <c r="I1643" s="7"/>
      <c r="K1643" s="9"/>
    </row>
    <row r="1644" spans="5:11" ht="12.75" customHeight="1">
      <c r="E1644" s="7"/>
      <c r="F1644" s="7"/>
      <c r="G1644" s="7"/>
      <c r="H1644" s="7"/>
      <c r="I1644" s="7"/>
      <c r="K1644" s="9"/>
    </row>
    <row r="1645" spans="5:11" ht="12.75" customHeight="1">
      <c r="E1645" s="7"/>
      <c r="F1645" s="7"/>
      <c r="G1645" s="7"/>
      <c r="H1645" s="7"/>
      <c r="I1645" s="7"/>
      <c r="K1645" s="9"/>
    </row>
    <row r="1646" spans="5:11" ht="12.75" customHeight="1">
      <c r="E1646" s="7"/>
      <c r="F1646" s="7"/>
      <c r="G1646" s="7"/>
      <c r="H1646" s="7"/>
      <c r="I1646" s="7"/>
      <c r="K1646" s="9"/>
    </row>
    <row r="1647" spans="5:11" ht="12.75" customHeight="1">
      <c r="E1647" s="7"/>
      <c r="F1647" s="7"/>
      <c r="G1647" s="7"/>
      <c r="H1647" s="7"/>
      <c r="I1647" s="7"/>
      <c r="K1647" s="9"/>
    </row>
    <row r="1648" spans="5:11" ht="12.75" customHeight="1">
      <c r="E1648" s="7"/>
      <c r="F1648" s="7"/>
      <c r="G1648" s="7"/>
      <c r="H1648" s="7"/>
      <c r="I1648" s="7"/>
      <c r="K1648" s="9"/>
    </row>
    <row r="1649" spans="5:11" ht="12.75" customHeight="1">
      <c r="E1649" s="7"/>
      <c r="F1649" s="7"/>
      <c r="G1649" s="7"/>
      <c r="H1649" s="7"/>
      <c r="I1649" s="7"/>
      <c r="K1649" s="9"/>
    </row>
    <row r="1650" spans="5:11" ht="12.75" customHeight="1">
      <c r="E1650" s="7"/>
      <c r="F1650" s="7"/>
      <c r="G1650" s="7"/>
      <c r="H1650" s="7"/>
      <c r="I1650" s="7"/>
      <c r="K1650" s="9"/>
    </row>
    <row r="1651" spans="5:11" ht="12.75" customHeight="1">
      <c r="E1651" s="7"/>
      <c r="F1651" s="7"/>
      <c r="G1651" s="7"/>
      <c r="H1651" s="7"/>
      <c r="I1651" s="7"/>
      <c r="K1651" s="9"/>
    </row>
    <row r="1652" spans="5:11" ht="12.75" customHeight="1">
      <c r="E1652" s="7"/>
      <c r="F1652" s="7"/>
      <c r="G1652" s="7"/>
      <c r="H1652" s="7"/>
      <c r="I1652" s="7"/>
      <c r="K1652" s="9"/>
    </row>
    <row r="1653" spans="5:11" ht="12.75" customHeight="1">
      <c r="E1653" s="7"/>
      <c r="F1653" s="7"/>
      <c r="G1653" s="7"/>
      <c r="H1653" s="7"/>
      <c r="I1653" s="7"/>
      <c r="K1653" s="9"/>
    </row>
    <row r="1654" spans="5:11" ht="12.75" customHeight="1">
      <c r="E1654" s="7"/>
      <c r="F1654" s="7"/>
      <c r="G1654" s="7"/>
      <c r="H1654" s="7"/>
      <c r="I1654" s="7"/>
      <c r="K1654" s="9"/>
    </row>
    <row r="1655" spans="5:11" ht="12.75" customHeight="1">
      <c r="E1655" s="7"/>
      <c r="F1655" s="7"/>
      <c r="G1655" s="7"/>
      <c r="H1655" s="7"/>
      <c r="I1655" s="7"/>
      <c r="K1655" s="9"/>
    </row>
    <row r="1656" spans="5:11" ht="12.75" customHeight="1">
      <c r="E1656" s="7"/>
      <c r="F1656" s="7"/>
      <c r="G1656" s="7"/>
      <c r="H1656" s="7"/>
      <c r="I1656" s="7"/>
      <c r="K1656" s="9"/>
    </row>
    <row r="1657" spans="5:11" ht="12.75" customHeight="1">
      <c r="E1657" s="7"/>
      <c r="F1657" s="7"/>
      <c r="G1657" s="7"/>
      <c r="H1657" s="7"/>
      <c r="I1657" s="7"/>
      <c r="K1657" s="9"/>
    </row>
    <row r="1658" spans="5:11" ht="12.75" customHeight="1">
      <c r="E1658" s="7"/>
      <c r="F1658" s="7"/>
      <c r="G1658" s="7"/>
      <c r="H1658" s="7"/>
      <c r="I1658" s="7"/>
      <c r="K1658" s="9"/>
    </row>
    <row r="1659" spans="5:11" ht="12.75" customHeight="1">
      <c r="E1659" s="7"/>
      <c r="F1659" s="7"/>
      <c r="G1659" s="7"/>
      <c r="H1659" s="7"/>
      <c r="I1659" s="7"/>
      <c r="K1659" s="9"/>
    </row>
    <row r="1660" spans="5:11" ht="12.75" customHeight="1">
      <c r="E1660" s="7"/>
      <c r="F1660" s="7"/>
      <c r="G1660" s="7"/>
      <c r="H1660" s="7"/>
      <c r="I1660" s="7"/>
      <c r="K1660" s="9"/>
    </row>
    <row r="1661" spans="5:11" ht="12.75" customHeight="1">
      <c r="E1661" s="7"/>
      <c r="F1661" s="7"/>
      <c r="G1661" s="7"/>
      <c r="H1661" s="7"/>
      <c r="I1661" s="7"/>
      <c r="K1661" s="9"/>
    </row>
    <row r="1662" spans="5:11" ht="12.75" customHeight="1">
      <c r="E1662" s="7"/>
      <c r="F1662" s="7"/>
      <c r="G1662" s="7"/>
      <c r="H1662" s="7"/>
      <c r="I1662" s="7"/>
      <c r="K1662" s="9"/>
    </row>
    <row r="1663" spans="5:11" ht="12.75" customHeight="1">
      <c r="E1663" s="7"/>
      <c r="F1663" s="7"/>
      <c r="G1663" s="7"/>
      <c r="H1663" s="7"/>
      <c r="I1663" s="7"/>
      <c r="K1663" s="9"/>
    </row>
    <row r="1664" spans="5:11" ht="12.75" customHeight="1">
      <c r="E1664" s="7"/>
      <c r="F1664" s="7"/>
      <c r="G1664" s="7"/>
      <c r="H1664" s="7"/>
      <c r="I1664" s="7"/>
      <c r="K1664" s="9"/>
    </row>
    <row r="1665" spans="5:11" ht="12.75" customHeight="1">
      <c r="E1665" s="7"/>
      <c r="F1665" s="7"/>
      <c r="G1665" s="7"/>
      <c r="H1665" s="7"/>
      <c r="I1665" s="7"/>
      <c r="K1665" s="9"/>
    </row>
    <row r="1666" spans="5:11" ht="12.75" customHeight="1">
      <c r="E1666" s="7"/>
      <c r="F1666" s="7"/>
      <c r="G1666" s="7"/>
      <c r="H1666" s="7"/>
      <c r="I1666" s="7"/>
      <c r="K1666" s="9"/>
    </row>
    <row r="1667" spans="5:11" ht="12.75" customHeight="1">
      <c r="E1667" s="7"/>
      <c r="F1667" s="7"/>
      <c r="G1667" s="7"/>
      <c r="H1667" s="7"/>
      <c r="I1667" s="7"/>
      <c r="K1667" s="9"/>
    </row>
    <row r="1668" spans="5:11" ht="12.75" customHeight="1">
      <c r="E1668" s="7"/>
      <c r="F1668" s="7"/>
      <c r="G1668" s="7"/>
      <c r="H1668" s="7"/>
      <c r="I1668" s="7"/>
      <c r="K1668" s="9"/>
    </row>
    <row r="1669" spans="5:11" ht="12.75" customHeight="1">
      <c r="E1669" s="7"/>
      <c r="F1669" s="7"/>
      <c r="G1669" s="7"/>
      <c r="H1669" s="7"/>
      <c r="I1669" s="7"/>
      <c r="K1669" s="9"/>
    </row>
    <row r="1670" spans="5:11" ht="12.75" customHeight="1">
      <c r="E1670" s="7"/>
      <c r="F1670" s="7"/>
      <c r="G1670" s="7"/>
      <c r="H1670" s="7"/>
      <c r="I1670" s="7"/>
      <c r="K1670" s="9"/>
    </row>
    <row r="1671" spans="5:11" ht="12.75" customHeight="1">
      <c r="E1671" s="7"/>
      <c r="F1671" s="7"/>
      <c r="G1671" s="7"/>
      <c r="H1671" s="7"/>
      <c r="I1671" s="7"/>
      <c r="K1671" s="9"/>
    </row>
    <row r="1672" spans="5:11" ht="12.75" customHeight="1">
      <c r="E1672" s="7"/>
      <c r="F1672" s="7"/>
      <c r="G1672" s="7"/>
      <c r="H1672" s="7"/>
      <c r="I1672" s="7"/>
      <c r="K1672" s="9"/>
    </row>
    <row r="1673" spans="5:11" ht="12.75" customHeight="1">
      <c r="E1673" s="7"/>
      <c r="F1673" s="7"/>
      <c r="G1673" s="7"/>
      <c r="H1673" s="7"/>
      <c r="I1673" s="7"/>
      <c r="K1673" s="9"/>
    </row>
    <row r="1674" spans="5:11" ht="12.75" customHeight="1">
      <c r="E1674" s="7"/>
      <c r="F1674" s="7"/>
      <c r="G1674" s="7"/>
      <c r="H1674" s="7"/>
      <c r="I1674" s="7"/>
      <c r="K1674" s="9"/>
    </row>
    <row r="1675" spans="5:11" ht="12.75" customHeight="1">
      <c r="E1675" s="7"/>
      <c r="F1675" s="7"/>
      <c r="G1675" s="7"/>
      <c r="H1675" s="7"/>
      <c r="I1675" s="7"/>
      <c r="K1675" s="9"/>
    </row>
    <row r="1676" spans="5:11" ht="12.75" customHeight="1">
      <c r="E1676" s="7"/>
      <c r="F1676" s="7"/>
      <c r="G1676" s="7"/>
      <c r="H1676" s="7"/>
      <c r="I1676" s="7"/>
      <c r="K1676" s="9"/>
    </row>
    <row r="1677" spans="5:11" ht="12.75" customHeight="1">
      <c r="E1677" s="7"/>
      <c r="F1677" s="7"/>
      <c r="G1677" s="7"/>
      <c r="H1677" s="7"/>
      <c r="I1677" s="7"/>
      <c r="K1677" s="9"/>
    </row>
    <row r="1678" spans="5:11" ht="12.75" customHeight="1">
      <c r="E1678" s="7"/>
      <c r="F1678" s="7"/>
      <c r="G1678" s="7"/>
      <c r="H1678" s="7"/>
      <c r="I1678" s="7"/>
      <c r="K1678" s="9"/>
    </row>
    <row r="1679" spans="5:11" ht="12.75" customHeight="1">
      <c r="E1679" s="7"/>
      <c r="F1679" s="7"/>
      <c r="G1679" s="7"/>
      <c r="H1679" s="7"/>
      <c r="I1679" s="7"/>
      <c r="K1679" s="9"/>
    </row>
    <row r="1680" spans="5:11" ht="12.75" customHeight="1">
      <c r="E1680" s="7"/>
      <c r="F1680" s="7"/>
      <c r="G1680" s="7"/>
      <c r="H1680" s="7"/>
      <c r="I1680" s="7"/>
      <c r="K1680" s="9"/>
    </row>
    <row r="1681" spans="5:11" ht="12.75" customHeight="1">
      <c r="E1681" s="7"/>
      <c r="F1681" s="7"/>
      <c r="G1681" s="7"/>
      <c r="H1681" s="7"/>
      <c r="I1681" s="7"/>
      <c r="K1681" s="9"/>
    </row>
    <row r="1682" spans="5:11" ht="12.75" customHeight="1">
      <c r="E1682" s="7"/>
      <c r="F1682" s="7"/>
      <c r="G1682" s="7"/>
      <c r="H1682" s="7"/>
      <c r="I1682" s="7"/>
      <c r="K1682" s="9"/>
    </row>
    <row r="1683" spans="5:11" ht="12.75" customHeight="1">
      <c r="E1683" s="7"/>
      <c r="F1683" s="7"/>
      <c r="G1683" s="7"/>
      <c r="H1683" s="7"/>
      <c r="I1683" s="7"/>
      <c r="K1683" s="9"/>
    </row>
    <row r="1684" spans="5:11" ht="12.75" customHeight="1">
      <c r="E1684" s="7"/>
      <c r="F1684" s="7"/>
      <c r="G1684" s="7"/>
      <c r="H1684" s="7"/>
      <c r="I1684" s="7"/>
      <c r="K1684" s="9"/>
    </row>
    <row r="1685" spans="5:11" ht="12.75" customHeight="1">
      <c r="E1685" s="7"/>
      <c r="F1685" s="7"/>
      <c r="G1685" s="7"/>
      <c r="H1685" s="7"/>
      <c r="I1685" s="7"/>
      <c r="K1685" s="9"/>
    </row>
    <row r="1686" spans="5:11" ht="12.75" customHeight="1">
      <c r="E1686" s="7"/>
      <c r="F1686" s="7"/>
      <c r="G1686" s="7"/>
      <c r="H1686" s="7"/>
      <c r="I1686" s="7"/>
      <c r="K1686" s="9"/>
    </row>
    <row r="1687" spans="5:11" ht="12.75" customHeight="1">
      <c r="E1687" s="7"/>
      <c r="F1687" s="7"/>
      <c r="G1687" s="7"/>
      <c r="H1687" s="7"/>
      <c r="I1687" s="7"/>
      <c r="K1687" s="9"/>
    </row>
    <row r="1688" spans="5:11" ht="12.75" customHeight="1">
      <c r="E1688" s="7"/>
      <c r="F1688" s="7"/>
      <c r="G1688" s="7"/>
      <c r="H1688" s="7"/>
      <c r="I1688" s="7"/>
      <c r="K1688" s="9"/>
    </row>
    <row r="1689" spans="5:11" ht="12.75" customHeight="1">
      <c r="E1689" s="7"/>
      <c r="F1689" s="7"/>
      <c r="G1689" s="7"/>
      <c r="H1689" s="7"/>
      <c r="I1689" s="7"/>
      <c r="K1689" s="9"/>
    </row>
    <row r="1690" spans="5:11" ht="12.75" customHeight="1">
      <c r="E1690" s="7"/>
      <c r="F1690" s="7"/>
      <c r="G1690" s="7"/>
      <c r="H1690" s="7"/>
      <c r="I1690" s="7"/>
      <c r="K1690" s="9"/>
    </row>
    <row r="1691" spans="5:11" ht="12.75" customHeight="1">
      <c r="E1691" s="7"/>
      <c r="F1691" s="7"/>
      <c r="G1691" s="7"/>
      <c r="H1691" s="7"/>
      <c r="I1691" s="7"/>
      <c r="K1691" s="9"/>
    </row>
    <row r="1692" spans="5:11" ht="12.75" customHeight="1">
      <c r="E1692" s="7"/>
      <c r="F1692" s="7"/>
      <c r="G1692" s="7"/>
      <c r="H1692" s="7"/>
      <c r="I1692" s="7"/>
      <c r="K1692" s="9"/>
    </row>
    <row r="1693" spans="5:11" ht="12.75" customHeight="1">
      <c r="E1693" s="7"/>
      <c r="F1693" s="7"/>
      <c r="G1693" s="7"/>
      <c r="H1693" s="7"/>
      <c r="I1693" s="7"/>
      <c r="K1693" s="9"/>
    </row>
    <row r="1694" spans="5:11" ht="12.75" customHeight="1">
      <c r="E1694" s="7"/>
      <c r="F1694" s="7"/>
      <c r="G1694" s="7"/>
      <c r="H1694" s="7"/>
      <c r="I1694" s="7"/>
      <c r="K1694" s="9"/>
    </row>
    <row r="1695" spans="5:11" ht="12.75" customHeight="1">
      <c r="E1695" s="7"/>
      <c r="F1695" s="7"/>
      <c r="G1695" s="7"/>
      <c r="H1695" s="7"/>
      <c r="I1695" s="7"/>
      <c r="K1695" s="9"/>
    </row>
    <row r="1696" spans="5:11" ht="12.75" customHeight="1">
      <c r="E1696" s="7"/>
      <c r="F1696" s="7"/>
      <c r="G1696" s="7"/>
      <c r="H1696" s="7"/>
      <c r="I1696" s="7"/>
      <c r="K1696" s="9"/>
    </row>
    <row r="1697" spans="5:11" ht="12.75" customHeight="1">
      <c r="E1697" s="7"/>
      <c r="F1697" s="7"/>
      <c r="G1697" s="7"/>
      <c r="H1697" s="7"/>
      <c r="I1697" s="7"/>
      <c r="K1697" s="9"/>
    </row>
    <row r="1698" spans="5:11" ht="12.75" customHeight="1">
      <c r="E1698" s="7"/>
      <c r="F1698" s="7"/>
      <c r="G1698" s="7"/>
      <c r="H1698" s="7"/>
      <c r="I1698" s="7"/>
      <c r="K1698" s="9"/>
    </row>
    <row r="1699" spans="5:11" ht="12.75" customHeight="1">
      <c r="E1699" s="7"/>
      <c r="F1699" s="7"/>
      <c r="G1699" s="7"/>
      <c r="H1699" s="7"/>
      <c r="I1699" s="7"/>
      <c r="K1699" s="9"/>
    </row>
    <row r="1700" spans="5:11" ht="12.75" customHeight="1">
      <c r="E1700" s="7"/>
      <c r="F1700" s="7"/>
      <c r="G1700" s="7"/>
      <c r="H1700" s="7"/>
      <c r="I1700" s="7"/>
      <c r="K1700" s="9"/>
    </row>
    <row r="1701" spans="5:11" ht="12.75" customHeight="1">
      <c r="E1701" s="7"/>
      <c r="F1701" s="7"/>
      <c r="G1701" s="7"/>
      <c r="H1701" s="7"/>
      <c r="I1701" s="7"/>
      <c r="K1701" s="9"/>
    </row>
    <row r="1702" spans="5:11" ht="12.75" customHeight="1">
      <c r="E1702" s="7"/>
      <c r="F1702" s="7"/>
      <c r="G1702" s="7"/>
      <c r="H1702" s="7"/>
      <c r="I1702" s="7"/>
      <c r="K1702" s="9"/>
    </row>
    <row r="1703" spans="5:11" ht="12.75" customHeight="1">
      <c r="E1703" s="7"/>
      <c r="F1703" s="7"/>
      <c r="G1703" s="7"/>
      <c r="H1703" s="7"/>
      <c r="I1703" s="7"/>
      <c r="K1703" s="9"/>
    </row>
    <row r="1704" spans="5:11" ht="12.75" customHeight="1">
      <c r="E1704" s="7"/>
      <c r="F1704" s="7"/>
      <c r="G1704" s="7"/>
      <c r="H1704" s="7"/>
      <c r="I1704" s="7"/>
      <c r="K1704" s="9"/>
    </row>
    <row r="1705" spans="5:11" ht="12.75" customHeight="1">
      <c r="E1705" s="7"/>
      <c r="F1705" s="7"/>
      <c r="G1705" s="7"/>
      <c r="H1705" s="7"/>
      <c r="I1705" s="7"/>
      <c r="K1705" s="9"/>
    </row>
    <row r="1706" spans="5:11" ht="12.75" customHeight="1">
      <c r="E1706" s="7"/>
      <c r="F1706" s="7"/>
      <c r="G1706" s="7"/>
      <c r="H1706" s="7"/>
      <c r="I1706" s="7"/>
      <c r="K1706" s="9"/>
    </row>
    <row r="1707" spans="5:11" ht="12.75" customHeight="1">
      <c r="E1707" s="7"/>
      <c r="F1707" s="7"/>
      <c r="G1707" s="7"/>
      <c r="H1707" s="7"/>
      <c r="I1707" s="7"/>
      <c r="K1707" s="9"/>
    </row>
    <row r="1708" spans="5:11" ht="12.75" customHeight="1">
      <c r="E1708" s="7"/>
      <c r="F1708" s="7"/>
      <c r="G1708" s="7"/>
      <c r="H1708" s="7"/>
      <c r="I1708" s="7"/>
      <c r="K1708" s="9"/>
    </row>
    <row r="1709" spans="5:11" ht="12.75" customHeight="1">
      <c r="E1709" s="7"/>
      <c r="F1709" s="7"/>
      <c r="G1709" s="7"/>
      <c r="H1709" s="7"/>
      <c r="I1709" s="7"/>
      <c r="K1709" s="9"/>
    </row>
    <row r="1710" spans="5:11" ht="12.75" customHeight="1">
      <c r="E1710" s="7"/>
      <c r="F1710" s="7"/>
      <c r="G1710" s="7"/>
      <c r="H1710" s="7"/>
      <c r="I1710" s="7"/>
      <c r="K1710" s="9"/>
    </row>
    <row r="1711" spans="5:11" ht="12.75" customHeight="1">
      <c r="E1711" s="7"/>
      <c r="F1711" s="7"/>
      <c r="G1711" s="7"/>
      <c r="H1711" s="7"/>
      <c r="I1711" s="7"/>
      <c r="K1711" s="9"/>
    </row>
    <row r="1712" spans="5:11" ht="12.75" customHeight="1">
      <c r="E1712" s="7"/>
      <c r="F1712" s="7"/>
      <c r="G1712" s="7"/>
      <c r="H1712" s="7"/>
      <c r="I1712" s="7"/>
      <c r="K1712" s="9"/>
    </row>
    <row r="1713" spans="5:11" ht="12.75" customHeight="1">
      <c r="E1713" s="7"/>
      <c r="F1713" s="7"/>
      <c r="G1713" s="7"/>
      <c r="H1713" s="7"/>
      <c r="I1713" s="7"/>
      <c r="K1713" s="9"/>
    </row>
    <row r="1714" spans="5:11" ht="12.75" customHeight="1">
      <c r="E1714" s="7"/>
      <c r="F1714" s="7"/>
      <c r="G1714" s="7"/>
      <c r="H1714" s="7"/>
      <c r="I1714" s="7"/>
      <c r="K1714" s="9"/>
    </row>
    <row r="1715" spans="5:11" ht="12.75" customHeight="1">
      <c r="E1715" s="7"/>
      <c r="F1715" s="7"/>
      <c r="G1715" s="7"/>
      <c r="H1715" s="7"/>
      <c r="I1715" s="7"/>
      <c r="K1715" s="9"/>
    </row>
    <row r="1716" spans="5:11" ht="12.75" customHeight="1">
      <c r="E1716" s="7"/>
      <c r="F1716" s="7"/>
      <c r="G1716" s="7"/>
      <c r="H1716" s="7"/>
      <c r="I1716" s="7"/>
      <c r="K1716" s="9"/>
    </row>
    <row r="1717" spans="5:11" ht="12.75" customHeight="1">
      <c r="E1717" s="7"/>
      <c r="F1717" s="7"/>
      <c r="G1717" s="7"/>
      <c r="H1717" s="7"/>
      <c r="I1717" s="7"/>
      <c r="K1717" s="9"/>
    </row>
    <row r="1718" spans="5:11" ht="12.75" customHeight="1">
      <c r="E1718" s="7"/>
      <c r="F1718" s="7"/>
      <c r="G1718" s="7"/>
      <c r="H1718" s="7"/>
      <c r="I1718" s="7"/>
      <c r="K1718" s="9"/>
    </row>
    <row r="1719" spans="5:11" ht="12.75" customHeight="1">
      <c r="E1719" s="7"/>
      <c r="F1719" s="7"/>
      <c r="G1719" s="7"/>
      <c r="H1719" s="7"/>
      <c r="I1719" s="7"/>
      <c r="K1719" s="9"/>
    </row>
    <row r="1720" spans="5:11" ht="12.75" customHeight="1">
      <c r="E1720" s="7"/>
      <c r="F1720" s="7"/>
      <c r="G1720" s="7"/>
      <c r="H1720" s="7"/>
      <c r="I1720" s="7"/>
      <c r="K1720" s="9"/>
    </row>
    <row r="1721" spans="5:11" ht="12.75" customHeight="1">
      <c r="E1721" s="7"/>
      <c r="F1721" s="7"/>
      <c r="G1721" s="7"/>
      <c r="H1721" s="7"/>
      <c r="I1721" s="7"/>
      <c r="K1721" s="9"/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1:O32"/>
  <sheetViews>
    <sheetView showGridLines="0" tabSelected="1" zoomScaleNormal="100" workbookViewId="0">
      <selection activeCell="E3" sqref="E3:H25"/>
    </sheetView>
  </sheetViews>
  <sheetFormatPr defaultColWidth="9.140625" defaultRowHeight="12.95"/>
  <cols>
    <col min="1" max="4" width="9.140625" style="2"/>
    <col min="5" max="5" width="8.28515625" style="2" customWidth="1"/>
    <col min="6" max="6" width="45.85546875" style="2" customWidth="1"/>
    <col min="7" max="7" width="19.7109375" style="2" customWidth="1"/>
    <col min="8" max="8" width="73.28515625" style="2" customWidth="1"/>
    <col min="9" max="10" width="19.5703125" style="2" customWidth="1"/>
    <col min="11" max="16384" width="9.140625" style="2"/>
  </cols>
  <sheetData>
    <row r="1" spans="5:15" ht="14.25" customHeight="1">
      <c r="E1" s="10"/>
      <c r="F1" s="11" t="s">
        <v>11</v>
      </c>
      <c r="I1" s="12"/>
      <c r="J1" s="12"/>
      <c r="K1" s="12"/>
      <c r="L1" s="12"/>
      <c r="M1" s="12"/>
      <c r="N1" s="12"/>
      <c r="O1" s="12"/>
    </row>
    <row r="2" spans="5:15" ht="14.25" customHeight="1">
      <c r="E2" s="11"/>
      <c r="F2" s="13" t="s">
        <v>12</v>
      </c>
      <c r="G2" s="14"/>
      <c r="I2" s="12"/>
      <c r="J2" s="12"/>
      <c r="K2" s="12"/>
      <c r="L2" s="12"/>
      <c r="M2" s="12"/>
      <c r="N2" s="12"/>
      <c r="O2" s="12"/>
    </row>
    <row r="3" spans="5:15" ht="18.75" customHeight="1">
      <c r="E3" s="15" t="s">
        <v>13</v>
      </c>
      <c r="F3" s="16" t="s">
        <v>14</v>
      </c>
      <c r="G3" s="16" t="s">
        <v>15</v>
      </c>
      <c r="H3" s="17" t="s">
        <v>16</v>
      </c>
      <c r="I3" s="12"/>
      <c r="J3" s="12"/>
      <c r="K3" s="12"/>
      <c r="L3" s="12"/>
      <c r="M3" s="12"/>
      <c r="N3" s="12"/>
      <c r="O3" s="12"/>
    </row>
    <row r="4" spans="5:15" ht="18.75" customHeight="1">
      <c r="E4" s="18">
        <v>1</v>
      </c>
      <c r="F4" s="19" t="s">
        <v>17</v>
      </c>
      <c r="G4" s="20">
        <f>SUM(J!C2:C721)</f>
        <v>-3047.4641275009976</v>
      </c>
      <c r="H4" s="21" t="s">
        <v>18</v>
      </c>
      <c r="I4" s="12"/>
      <c r="J4" s="12"/>
      <c r="K4" s="12"/>
      <c r="L4" s="12"/>
      <c r="M4" s="12"/>
      <c r="N4" s="12"/>
      <c r="O4" s="12"/>
    </row>
    <row r="5" spans="5:15" ht="18.75" customHeight="1">
      <c r="E5" s="18">
        <v>2</v>
      </c>
      <c r="F5" s="19" t="s">
        <v>19</v>
      </c>
      <c r="G5" s="22">
        <f>SUM(J!D2:D721)</f>
        <v>-2889.7996199999993</v>
      </c>
      <c r="H5" s="21" t="s">
        <v>20</v>
      </c>
      <c r="I5" s="12"/>
      <c r="J5" s="12"/>
      <c r="K5" s="12"/>
      <c r="L5" s="12"/>
      <c r="M5" s="12"/>
      <c r="N5" s="12"/>
      <c r="O5" s="12"/>
    </row>
    <row r="6" spans="5:15" ht="18.75" customHeight="1">
      <c r="E6" s="18">
        <v>3</v>
      </c>
      <c r="F6" s="19" t="s">
        <v>21</v>
      </c>
      <c r="G6" s="20">
        <f>SUMIF(J!E2:E721,"&gt;0")</f>
        <v>195.58719559173528</v>
      </c>
      <c r="H6" s="23" t="s">
        <v>22</v>
      </c>
      <c r="I6" s="12"/>
      <c r="J6" s="12"/>
      <c r="K6" s="12"/>
      <c r="L6" s="12"/>
      <c r="M6" s="12"/>
      <c r="N6" s="12"/>
      <c r="O6" s="12"/>
    </row>
    <row r="7" spans="5:15" ht="18.75" customHeight="1">
      <c r="E7" s="18">
        <v>4</v>
      </c>
      <c r="F7" s="18" t="s">
        <v>23</v>
      </c>
      <c r="G7" s="20">
        <f>SUMIF(J!E2:E721,"&lt;0")</f>
        <v>-158.10441803853757</v>
      </c>
      <c r="H7" s="21" t="s">
        <v>24</v>
      </c>
      <c r="I7" s="12"/>
      <c r="J7" s="12"/>
      <c r="K7" s="12"/>
      <c r="L7" s="12"/>
      <c r="M7" s="12"/>
      <c r="N7" s="12"/>
      <c r="O7" s="12"/>
    </row>
    <row r="8" spans="5:15" ht="18.75" customHeight="1">
      <c r="E8" s="18">
        <v>5</v>
      </c>
      <c r="F8" s="18" t="s">
        <v>25</v>
      </c>
      <c r="G8" s="24">
        <f>SUMIF(J!K2:K721,"&gt;0")</f>
        <v>6632.0719075049719</v>
      </c>
      <c r="H8" s="21" t="s">
        <v>26</v>
      </c>
      <c r="I8" s="12"/>
      <c r="J8" s="12"/>
      <c r="K8" s="12"/>
      <c r="L8" s="12"/>
      <c r="M8" s="12"/>
      <c r="N8" s="12"/>
      <c r="O8" s="12"/>
    </row>
    <row r="9" spans="5:15" ht="18.75" customHeight="1">
      <c r="E9" s="18">
        <v>6</v>
      </c>
      <c r="F9" s="18" t="s">
        <v>27</v>
      </c>
      <c r="G9" s="24">
        <f>SUMIF(J!K2:K721,"&lt;0")</f>
        <v>-13615.670695849209</v>
      </c>
      <c r="H9" s="21" t="s">
        <v>28</v>
      </c>
      <c r="I9" s="12"/>
      <c r="J9" s="12"/>
      <c r="K9" s="12"/>
      <c r="L9" s="12"/>
      <c r="M9" s="12"/>
      <c r="N9" s="12"/>
      <c r="O9" s="12"/>
    </row>
    <row r="10" spans="5:15" ht="18.75" customHeight="1">
      <c r="E10" s="18">
        <v>7</v>
      </c>
      <c r="F10" s="19" t="s">
        <v>29</v>
      </c>
      <c r="G10" s="20">
        <v>377913.74699999997</v>
      </c>
      <c r="H10" s="25" t="s">
        <v>30</v>
      </c>
      <c r="I10" s="12"/>
      <c r="J10" s="12"/>
      <c r="K10" s="12"/>
      <c r="L10" s="12"/>
      <c r="M10" s="12"/>
      <c r="N10" s="12"/>
      <c r="O10" s="12"/>
    </row>
    <row r="11" spans="5:15" ht="18.75" customHeight="1">
      <c r="E11" s="18">
        <v>8</v>
      </c>
      <c r="F11" s="19" t="s">
        <v>31</v>
      </c>
      <c r="G11" s="20">
        <v>-408027.70400000003</v>
      </c>
      <c r="H11" s="21" t="s">
        <v>32</v>
      </c>
      <c r="I11" s="12"/>
      <c r="J11" s="12"/>
      <c r="K11" s="12"/>
      <c r="L11" s="12"/>
      <c r="M11" s="12"/>
      <c r="N11" s="12"/>
      <c r="O11" s="12"/>
    </row>
    <row r="12" spans="5:15" ht="18.75" customHeight="1">
      <c r="E12" s="18">
        <v>9</v>
      </c>
      <c r="F12" s="18" t="s">
        <v>33</v>
      </c>
      <c r="G12" s="20">
        <f>G10-G11</f>
        <v>785941.451</v>
      </c>
      <c r="H12" s="21" t="s">
        <v>34</v>
      </c>
      <c r="I12" s="12"/>
      <c r="J12" s="12"/>
      <c r="K12" s="12"/>
      <c r="L12" s="12"/>
      <c r="M12" s="12"/>
      <c r="N12" s="12"/>
      <c r="O12" s="12"/>
    </row>
    <row r="13" spans="5:15" ht="18.75" customHeight="1">
      <c r="E13" s="18">
        <v>10</v>
      </c>
      <c r="F13" s="18" t="s">
        <v>35</v>
      </c>
      <c r="G13" s="26">
        <v>65618.540285299794</v>
      </c>
      <c r="H13" s="21" t="s">
        <v>36</v>
      </c>
      <c r="I13" s="12"/>
      <c r="J13" s="12"/>
      <c r="K13" s="12"/>
      <c r="L13" s="12"/>
      <c r="M13" s="12"/>
      <c r="N13" s="12"/>
      <c r="O13" s="12"/>
    </row>
    <row r="14" spans="5:15" ht="18.75" customHeight="1">
      <c r="E14" s="18">
        <v>11</v>
      </c>
      <c r="F14" s="18" t="s">
        <v>37</v>
      </c>
      <c r="G14" s="27">
        <f>G13/G12</f>
        <v>8.3490367128250365E-2</v>
      </c>
      <c r="H14" s="25" t="s">
        <v>38</v>
      </c>
      <c r="I14" s="12"/>
      <c r="J14" s="12"/>
      <c r="K14" s="12"/>
      <c r="L14" s="12"/>
      <c r="M14" s="12"/>
      <c r="N14" s="12"/>
      <c r="O14" s="12"/>
    </row>
    <row r="15" spans="5:15" ht="18.75" customHeight="1">
      <c r="E15" s="18">
        <v>12</v>
      </c>
      <c r="F15" s="18" t="s">
        <v>39</v>
      </c>
      <c r="G15" s="24">
        <f>-G14*G4</f>
        <v>254.43389881523146</v>
      </c>
      <c r="H15" s="25" t="s">
        <v>40</v>
      </c>
    </row>
    <row r="16" spans="5:15" ht="14.25" customHeight="1">
      <c r="E16" s="18">
        <v>13</v>
      </c>
      <c r="F16" s="28" t="s">
        <v>41</v>
      </c>
      <c r="G16" s="29">
        <f>G8+G9+G15</f>
        <v>-6729.1648895290054</v>
      </c>
      <c r="H16" s="21" t="s">
        <v>42</v>
      </c>
    </row>
    <row r="17" spans="5:8" ht="14.25" customHeight="1">
      <c r="E17" s="18">
        <v>14</v>
      </c>
      <c r="F17" s="19" t="s">
        <v>43</v>
      </c>
      <c r="G17" s="30">
        <v>0.2</v>
      </c>
      <c r="H17" s="21" t="s">
        <v>44</v>
      </c>
    </row>
    <row r="18" spans="5:8" ht="14.25" customHeight="1">
      <c r="E18" s="18">
        <v>15</v>
      </c>
      <c r="F18" s="19" t="s">
        <v>45</v>
      </c>
      <c r="G18" s="31">
        <v>4.2789999999999999</v>
      </c>
      <c r="H18" s="23" t="s">
        <v>46</v>
      </c>
    </row>
    <row r="19" spans="5:8" ht="14.25" customHeight="1">
      <c r="E19" s="18">
        <v>16</v>
      </c>
      <c r="F19" s="18" t="s">
        <v>47</v>
      </c>
      <c r="G19" s="30">
        <v>2.1999999999999999E-2</v>
      </c>
      <c r="H19" s="21" t="s">
        <v>48</v>
      </c>
    </row>
    <row r="20" spans="5:8" ht="14.25" customHeight="1">
      <c r="E20" s="18">
        <v>17</v>
      </c>
      <c r="F20" s="32" t="s">
        <v>49</v>
      </c>
      <c r="G20" s="33">
        <v>88.58</v>
      </c>
      <c r="H20" s="21" t="s">
        <v>50</v>
      </c>
    </row>
    <row r="21" spans="5:8" ht="14.25" customHeight="1">
      <c r="E21" s="18">
        <v>18</v>
      </c>
      <c r="F21" s="32" t="s">
        <v>51</v>
      </c>
      <c r="G21" s="34">
        <f>G17*G4</f>
        <v>-609.4928255001995</v>
      </c>
      <c r="H21" s="21" t="s">
        <v>52</v>
      </c>
    </row>
    <row r="22" spans="5:8" ht="14.25" customHeight="1">
      <c r="E22" s="18">
        <v>19</v>
      </c>
      <c r="F22" s="32" t="s">
        <v>53</v>
      </c>
      <c r="G22" s="34">
        <f>G18*G4</f>
        <v>-13040.099001576769</v>
      </c>
      <c r="H22" s="21" t="s">
        <v>54</v>
      </c>
    </row>
    <row r="23" spans="5:8" ht="14.25" customHeight="1">
      <c r="E23" s="18">
        <v>20</v>
      </c>
      <c r="F23" s="32" t="s">
        <v>55</v>
      </c>
      <c r="G23" s="34">
        <f>G19*G4</f>
        <v>-67.044210805021947</v>
      </c>
      <c r="H23" s="21" t="s">
        <v>56</v>
      </c>
    </row>
    <row r="24" spans="5:8" ht="14.25" customHeight="1">
      <c r="E24" s="18">
        <v>21</v>
      </c>
      <c r="F24" s="32" t="s">
        <v>57</v>
      </c>
      <c r="G24" s="35">
        <v>297.82056999999998</v>
      </c>
      <c r="H24" s="21" t="s">
        <v>58</v>
      </c>
    </row>
    <row r="25" spans="5:8" ht="14.25" customHeight="1">
      <c r="E25" s="18">
        <v>22</v>
      </c>
      <c r="F25" s="36" t="s">
        <v>59</v>
      </c>
      <c r="G25" s="34">
        <f>-G20*G24</f>
        <v>-26380.946090599999</v>
      </c>
      <c r="H25" s="21" t="s">
        <v>60</v>
      </c>
    </row>
    <row r="26" spans="5:8" ht="14.25" customHeight="1">
      <c r="E26" s="18"/>
      <c r="F26" s="32"/>
      <c r="G26" s="34"/>
      <c r="H26" s="37"/>
    </row>
    <row r="27" spans="5:8" ht="14.25" customHeight="1">
      <c r="E27" s="11"/>
      <c r="F27" s="11"/>
    </row>
    <row r="28" spans="5:8" ht="14.25" customHeight="1">
      <c r="E28" s="11"/>
      <c r="F28" s="11"/>
    </row>
    <row r="29" spans="5:8" ht="14.25" customHeight="1">
      <c r="E29" s="11"/>
      <c r="F29" s="11"/>
    </row>
    <row r="30" spans="5:8" ht="14.25" customHeight="1">
      <c r="E30" s="11"/>
      <c r="F30" s="11"/>
    </row>
    <row r="31" spans="5:8" ht="14.25" customHeight="1">
      <c r="E31" s="11"/>
      <c r="F31" s="11"/>
    </row>
    <row r="32" spans="5:8" ht="14.25" customHeight="1">
      <c r="E32" s="11"/>
      <c r="F32" s="1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721"/>
  <sheetViews>
    <sheetView zoomScaleNormal="100" workbookViewId="0"/>
  </sheetViews>
  <sheetFormatPr defaultColWidth="9.140625" defaultRowHeight="12.95"/>
  <cols>
    <col min="1" max="1" width="16.140625" style="1" customWidth="1"/>
    <col min="2" max="2" width="9.140625" style="2"/>
    <col min="3" max="3" width="19" style="2" customWidth="1"/>
    <col min="4" max="4" width="20.28515625" style="2" customWidth="1"/>
    <col min="5" max="5" width="23.85546875" style="2" customWidth="1"/>
    <col min="6" max="9" width="11.5703125" style="2" customWidth="1"/>
    <col min="10" max="10" width="10.7109375" style="2" customWidth="1"/>
    <col min="11" max="16" width="9.140625" style="2"/>
    <col min="17" max="19" width="11.7109375" style="2" customWidth="1"/>
    <col min="20" max="16384" width="9.140625" style="2"/>
  </cols>
  <sheetData>
    <row r="1" spans="1:19" ht="66" customHeight="1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61</v>
      </c>
      <c r="N1" s="6"/>
      <c r="O1" s="6"/>
      <c r="P1" s="6"/>
      <c r="Q1" s="5"/>
      <c r="R1" s="5"/>
      <c r="S1" s="5"/>
    </row>
    <row r="2" spans="1:19" ht="12.75" customHeight="1">
      <c r="A2" s="1">
        <v>46198</v>
      </c>
      <c r="B2" s="2">
        <v>21</v>
      </c>
      <c r="C2" s="7">
        <v>-6.6562676038978701</v>
      </c>
      <c r="D2" s="7">
        <v>-3.696958</v>
      </c>
      <c r="E2" s="7">
        <v>-2.9592746658978699</v>
      </c>
      <c r="F2" s="7">
        <f t="shared" ref="F2:F65" si="0">ABS(C2)</f>
        <v>6.6562676038978701</v>
      </c>
      <c r="G2" s="7">
        <f t="shared" ref="G2:G65" si="1">ABS(D2)</f>
        <v>3.696958</v>
      </c>
      <c r="H2" s="7">
        <f t="shared" ref="H2:H65" si="2">ABS(G2-F2)</f>
        <v>2.9593096038978701</v>
      </c>
      <c r="I2" s="8">
        <v>0.80047152385768805</v>
      </c>
      <c r="J2" s="2" t="s">
        <v>62</v>
      </c>
      <c r="Q2" s="9"/>
      <c r="R2" s="9"/>
      <c r="S2" s="9"/>
    </row>
    <row r="3" spans="1:19" ht="12.75" customHeight="1">
      <c r="A3" s="1">
        <v>46201</v>
      </c>
      <c r="B3" s="2">
        <v>9</v>
      </c>
      <c r="C3" s="7">
        <v>-2.4931662345972501</v>
      </c>
      <c r="D3" s="7">
        <v>-1.4557500000000001</v>
      </c>
      <c r="E3" s="7">
        <v>-0.15494977199724899</v>
      </c>
      <c r="F3" s="7">
        <f t="shared" si="0"/>
        <v>2.4931662345972501</v>
      </c>
      <c r="G3" s="7">
        <f t="shared" si="1"/>
        <v>1.4557500000000001</v>
      </c>
      <c r="H3" s="7">
        <f t="shared" si="2"/>
        <v>1.03741623459725</v>
      </c>
      <c r="I3" s="8">
        <v>0.71263351165876598</v>
      </c>
      <c r="J3" s="2" t="s">
        <v>62</v>
      </c>
      <c r="Q3" s="9"/>
      <c r="R3" s="9"/>
      <c r="S3" s="9"/>
    </row>
    <row r="4" spans="1:19" ht="12.75" customHeight="1">
      <c r="A4" s="1">
        <v>46194</v>
      </c>
      <c r="B4" s="2">
        <v>17</v>
      </c>
      <c r="C4" s="7">
        <v>-3.6453123831224001</v>
      </c>
      <c r="D4" s="7">
        <v>-2.1758609999999998</v>
      </c>
      <c r="E4" s="7">
        <v>-0.961972015922399</v>
      </c>
      <c r="F4" s="7">
        <f t="shared" si="0"/>
        <v>3.6453123831224001</v>
      </c>
      <c r="G4" s="7">
        <f t="shared" si="1"/>
        <v>2.1758609999999998</v>
      </c>
      <c r="H4" s="7">
        <f t="shared" si="2"/>
        <v>1.4694513831224003</v>
      </c>
      <c r="I4" s="8">
        <v>0.67534248884574799</v>
      </c>
      <c r="J4" s="2" t="s">
        <v>62</v>
      </c>
      <c r="Q4" s="9"/>
      <c r="R4" s="9"/>
      <c r="S4" s="9"/>
    </row>
    <row r="5" spans="1:19" ht="12.75" customHeight="1">
      <c r="A5" s="1">
        <v>46203</v>
      </c>
      <c r="B5" s="2">
        <v>17</v>
      </c>
      <c r="C5" s="7">
        <v>-7.7917168150490799</v>
      </c>
      <c r="D5" s="7">
        <v>-4.6926909999999999</v>
      </c>
      <c r="E5" s="7">
        <v>-3.0683308410490802</v>
      </c>
      <c r="F5" s="7">
        <f t="shared" si="0"/>
        <v>7.7917168150490799</v>
      </c>
      <c r="G5" s="7">
        <f t="shared" si="1"/>
        <v>4.6926909999999999</v>
      </c>
      <c r="H5" s="7">
        <f t="shared" si="2"/>
        <v>3.0990258150490799</v>
      </c>
      <c r="I5" s="8">
        <v>0.66039417789261601</v>
      </c>
      <c r="J5" s="2" t="s">
        <v>62</v>
      </c>
      <c r="Q5" s="9"/>
      <c r="R5" s="9"/>
      <c r="S5" s="9"/>
    </row>
    <row r="6" spans="1:19" ht="12.75" customHeight="1">
      <c r="A6" s="1">
        <v>46197</v>
      </c>
      <c r="B6" s="2">
        <v>14</v>
      </c>
      <c r="C6" s="7">
        <v>-5.5930760024595401</v>
      </c>
      <c r="D6" s="7">
        <v>-3.3896329999999999</v>
      </c>
      <c r="E6" s="7">
        <v>-1.76757721845954</v>
      </c>
      <c r="F6" s="7">
        <f t="shared" si="0"/>
        <v>5.5930760024595401</v>
      </c>
      <c r="G6" s="7">
        <f t="shared" si="1"/>
        <v>3.3896329999999999</v>
      </c>
      <c r="H6" s="7">
        <f t="shared" si="2"/>
        <v>2.2034430024595402</v>
      </c>
      <c r="I6" s="8">
        <v>0.65005356109630297</v>
      </c>
      <c r="J6" s="2" t="s">
        <v>62</v>
      </c>
      <c r="Q6" s="9"/>
      <c r="R6" s="9"/>
      <c r="S6" s="9"/>
    </row>
    <row r="7" spans="1:19" ht="12.75" customHeight="1">
      <c r="A7" s="1">
        <v>46203</v>
      </c>
      <c r="B7" s="2">
        <v>16</v>
      </c>
      <c r="C7" s="7">
        <v>-6.8153428434401899</v>
      </c>
      <c r="D7" s="7">
        <v>-4.1886780000000003</v>
      </c>
      <c r="E7" s="7">
        <v>-2.42336126844019</v>
      </c>
      <c r="F7" s="7">
        <f t="shared" si="0"/>
        <v>6.8153428434401899</v>
      </c>
      <c r="G7" s="7">
        <f t="shared" si="1"/>
        <v>4.1886780000000003</v>
      </c>
      <c r="H7" s="7">
        <f t="shared" si="2"/>
        <v>2.6266648434401896</v>
      </c>
      <c r="I7" s="8">
        <v>0.62708683824352096</v>
      </c>
      <c r="J7" s="2" t="s">
        <v>62</v>
      </c>
      <c r="Q7" s="9"/>
      <c r="R7" s="9"/>
      <c r="S7" s="9"/>
    </row>
    <row r="8" spans="1:19" ht="12.75" customHeight="1">
      <c r="A8" s="1">
        <v>46203</v>
      </c>
      <c r="B8" s="2">
        <v>15</v>
      </c>
      <c r="C8" s="7">
        <v>-6.6662500680353398</v>
      </c>
      <c r="D8" s="7">
        <v>-4.2184400000000002</v>
      </c>
      <c r="E8" s="7">
        <v>-2.1171393670353398</v>
      </c>
      <c r="F8" s="7">
        <f t="shared" si="0"/>
        <v>6.6662500680353398</v>
      </c>
      <c r="G8" s="7">
        <f t="shared" si="1"/>
        <v>4.2184400000000002</v>
      </c>
      <c r="H8" s="7">
        <f t="shared" si="2"/>
        <v>2.4478100680353396</v>
      </c>
      <c r="I8" s="8">
        <v>0.58026428443579603</v>
      </c>
      <c r="J8" s="2" t="s">
        <v>62</v>
      </c>
      <c r="Q8" s="9"/>
      <c r="R8" s="9"/>
      <c r="S8" s="9"/>
    </row>
    <row r="9" spans="1:19" ht="12.75" customHeight="1">
      <c r="A9" s="1">
        <v>46195</v>
      </c>
      <c r="B9" s="2">
        <v>13</v>
      </c>
      <c r="C9" s="7">
        <v>-5.2899335585380296</v>
      </c>
      <c r="D9" s="7">
        <v>-3.356636</v>
      </c>
      <c r="E9" s="7">
        <v>-1.5987675025380299</v>
      </c>
      <c r="F9" s="7">
        <f t="shared" si="0"/>
        <v>5.2899335585380296</v>
      </c>
      <c r="G9" s="7">
        <f t="shared" si="1"/>
        <v>3.356636</v>
      </c>
      <c r="H9" s="7">
        <f t="shared" si="2"/>
        <v>1.9332975585380296</v>
      </c>
      <c r="I9" s="8">
        <v>0.57596282663298404</v>
      </c>
      <c r="J9" s="2" t="s">
        <v>62</v>
      </c>
      <c r="Q9" s="9"/>
      <c r="R9" s="9"/>
      <c r="S9" s="9"/>
    </row>
    <row r="10" spans="1:19" ht="12.75" customHeight="1">
      <c r="A10" s="1">
        <v>46195</v>
      </c>
      <c r="B10" s="2">
        <v>12</v>
      </c>
      <c r="C10" s="7">
        <v>-5.1463878075234097</v>
      </c>
      <c r="D10" s="7">
        <v>-3.2718790000000002</v>
      </c>
      <c r="E10" s="7">
        <v>-1.4410129845234101</v>
      </c>
      <c r="F10" s="7">
        <f t="shared" si="0"/>
        <v>5.1463878075234097</v>
      </c>
      <c r="G10" s="7">
        <f t="shared" si="1"/>
        <v>3.2718790000000002</v>
      </c>
      <c r="H10" s="7">
        <f t="shared" si="2"/>
        <v>1.8745088075234095</v>
      </c>
      <c r="I10" s="8">
        <v>0.57291507648156004</v>
      </c>
      <c r="J10" s="2" t="s">
        <v>62</v>
      </c>
      <c r="Q10" s="9"/>
      <c r="R10" s="9"/>
      <c r="S10" s="9"/>
    </row>
    <row r="11" spans="1:19" ht="12.75" customHeight="1">
      <c r="A11" s="1">
        <v>46194</v>
      </c>
      <c r="B11" s="2">
        <v>9</v>
      </c>
      <c r="C11" s="7">
        <v>-2.2497987317130499</v>
      </c>
      <c r="D11" s="7">
        <v>-1.4337519999999999</v>
      </c>
      <c r="E11" s="7">
        <v>0.115685804686951</v>
      </c>
      <c r="F11" s="7">
        <f t="shared" si="0"/>
        <v>2.2497987317130499</v>
      </c>
      <c r="G11" s="7">
        <f t="shared" si="1"/>
        <v>1.4337519999999999</v>
      </c>
      <c r="H11" s="7">
        <f t="shared" si="2"/>
        <v>0.81604673171304998</v>
      </c>
      <c r="I11" s="8">
        <v>0.56916867890196399</v>
      </c>
      <c r="J11" s="2" t="s">
        <v>62</v>
      </c>
      <c r="Q11" s="9"/>
      <c r="R11" s="9"/>
      <c r="S11" s="9"/>
    </row>
    <row r="12" spans="1:19" ht="12.75" customHeight="1">
      <c r="A12" s="1">
        <v>46177</v>
      </c>
      <c r="B12" s="2">
        <v>8</v>
      </c>
      <c r="C12" s="7">
        <v>-4.2691853589403301</v>
      </c>
      <c r="D12" s="7">
        <v>-2.799569</v>
      </c>
      <c r="E12" s="7">
        <v>-1.44185100094033</v>
      </c>
      <c r="F12" s="7">
        <f t="shared" si="0"/>
        <v>4.2691853589403301</v>
      </c>
      <c r="G12" s="7">
        <f t="shared" si="1"/>
        <v>2.799569</v>
      </c>
      <c r="H12" s="7">
        <f t="shared" si="2"/>
        <v>1.4696163589403302</v>
      </c>
      <c r="I12" s="8">
        <v>0.52494378918338103</v>
      </c>
      <c r="J12" s="2" t="s">
        <v>62</v>
      </c>
      <c r="Q12" s="9"/>
      <c r="R12" s="9"/>
      <c r="S12" s="9"/>
    </row>
    <row r="13" spans="1:19" ht="12.75" customHeight="1">
      <c r="A13" s="1">
        <v>46194</v>
      </c>
      <c r="B13" s="2">
        <v>18</v>
      </c>
      <c r="C13" s="7">
        <v>-4.0074304837918602</v>
      </c>
      <c r="D13" s="7">
        <v>-2.6436419999999998</v>
      </c>
      <c r="E13" s="7">
        <v>-1.04228939599186</v>
      </c>
      <c r="F13" s="7">
        <f t="shared" si="0"/>
        <v>4.0074304837918602</v>
      </c>
      <c r="G13" s="7">
        <f t="shared" si="1"/>
        <v>2.6436419999999998</v>
      </c>
      <c r="H13" s="7">
        <f t="shared" si="2"/>
        <v>1.3637884837918604</v>
      </c>
      <c r="I13" s="8">
        <v>0.51587487405323995</v>
      </c>
      <c r="J13" s="2" t="s">
        <v>62</v>
      </c>
      <c r="Q13" s="9"/>
      <c r="R13" s="9"/>
      <c r="S13" s="9"/>
    </row>
    <row r="14" spans="1:19" ht="12.75" customHeight="1">
      <c r="A14" s="1">
        <v>46203</v>
      </c>
      <c r="B14" s="2">
        <v>14</v>
      </c>
      <c r="C14" s="7">
        <v>-6.3207941269044401</v>
      </c>
      <c r="D14" s="7">
        <v>-4.189972</v>
      </c>
      <c r="E14" s="7">
        <v>-1.8076398039044399</v>
      </c>
      <c r="F14" s="7">
        <f t="shared" si="0"/>
        <v>6.3207941269044401</v>
      </c>
      <c r="G14" s="7">
        <f t="shared" si="1"/>
        <v>4.189972</v>
      </c>
      <c r="H14" s="7">
        <f t="shared" si="2"/>
        <v>2.1308221269044401</v>
      </c>
      <c r="I14" s="8">
        <v>0.50855283207249102</v>
      </c>
      <c r="J14" s="2" t="s">
        <v>62</v>
      </c>
      <c r="Q14" s="9"/>
      <c r="R14" s="9"/>
      <c r="S14" s="9"/>
    </row>
    <row r="15" spans="1:19" ht="12.75" customHeight="1">
      <c r="A15" s="1">
        <v>46175</v>
      </c>
      <c r="B15" s="2">
        <v>15</v>
      </c>
      <c r="C15" s="7">
        <v>-4.1689445616990604</v>
      </c>
      <c r="D15" s="7">
        <v>-2.8526229999999999</v>
      </c>
      <c r="E15" s="7">
        <v>-0.71575739869905897</v>
      </c>
      <c r="F15" s="7">
        <f t="shared" si="0"/>
        <v>4.1689445616990604</v>
      </c>
      <c r="G15" s="7">
        <f t="shared" si="1"/>
        <v>2.8526229999999999</v>
      </c>
      <c r="H15" s="7">
        <f t="shared" si="2"/>
        <v>1.3163215616990604</v>
      </c>
      <c r="I15" s="8">
        <v>0.461442525598041</v>
      </c>
      <c r="J15" s="2" t="s">
        <v>63</v>
      </c>
      <c r="Q15" s="9"/>
      <c r="R15" s="9"/>
      <c r="S15" s="9"/>
    </row>
    <row r="16" spans="1:19" ht="12.75" customHeight="1">
      <c r="A16" s="1">
        <v>46176</v>
      </c>
      <c r="B16" s="2">
        <v>17</v>
      </c>
      <c r="C16" s="7">
        <v>-4.5079064327360996</v>
      </c>
      <c r="D16" s="7">
        <v>-3.0868370000000001</v>
      </c>
      <c r="E16" s="7">
        <v>-1.2394112427360999</v>
      </c>
      <c r="F16" s="7">
        <f t="shared" si="0"/>
        <v>4.5079064327360996</v>
      </c>
      <c r="G16" s="7">
        <f t="shared" si="1"/>
        <v>3.0868370000000001</v>
      </c>
      <c r="H16" s="7">
        <f t="shared" si="2"/>
        <v>1.4210694327360995</v>
      </c>
      <c r="I16" s="8">
        <v>0.46036426048285001</v>
      </c>
      <c r="J16" s="2" t="s">
        <v>63</v>
      </c>
      <c r="Q16" s="9"/>
      <c r="R16" s="9"/>
      <c r="S16" s="9"/>
    </row>
    <row r="17" spans="1:19" ht="12.75" customHeight="1">
      <c r="A17" s="1">
        <v>46195</v>
      </c>
      <c r="B17" s="2">
        <v>15</v>
      </c>
      <c r="C17" s="7">
        <v>-5.4955724361291498</v>
      </c>
      <c r="D17" s="7">
        <v>-3.7991839999999999</v>
      </c>
      <c r="E17" s="7">
        <v>-1.30358050212915</v>
      </c>
      <c r="F17" s="7">
        <f t="shared" si="0"/>
        <v>5.4955724361291498</v>
      </c>
      <c r="G17" s="7">
        <f t="shared" si="1"/>
        <v>3.7991839999999999</v>
      </c>
      <c r="H17" s="7">
        <f t="shared" si="2"/>
        <v>1.6963884361291499</v>
      </c>
      <c r="I17" s="8">
        <v>0.44651389249090201</v>
      </c>
      <c r="J17" s="2" t="s">
        <v>63</v>
      </c>
      <c r="Q17" s="9"/>
      <c r="R17" s="9"/>
      <c r="S17" s="9"/>
    </row>
    <row r="18" spans="1:19" ht="12.75" customHeight="1">
      <c r="A18" s="1">
        <v>46197</v>
      </c>
      <c r="B18" s="2">
        <v>11</v>
      </c>
      <c r="C18" s="7">
        <v>-4.4085074952771404</v>
      </c>
      <c r="D18" s="7">
        <v>-3.0557810000000001</v>
      </c>
      <c r="E18" s="7">
        <v>-0.57436867327713503</v>
      </c>
      <c r="F18" s="7">
        <f t="shared" si="0"/>
        <v>4.4085074952771404</v>
      </c>
      <c r="G18" s="7">
        <f t="shared" si="1"/>
        <v>3.0557810000000001</v>
      </c>
      <c r="H18" s="7">
        <f t="shared" si="2"/>
        <v>1.3527264952771403</v>
      </c>
      <c r="I18" s="8">
        <v>0.44267782778842302</v>
      </c>
      <c r="J18" s="2" t="s">
        <v>63</v>
      </c>
      <c r="Q18" s="9"/>
      <c r="R18" s="9"/>
      <c r="S18" s="9"/>
    </row>
    <row r="19" spans="1:19" ht="12.75" customHeight="1">
      <c r="A19" s="1">
        <v>46195</v>
      </c>
      <c r="B19" s="2">
        <v>14</v>
      </c>
      <c r="C19" s="7">
        <v>-5.1054963569037</v>
      </c>
      <c r="D19" s="7">
        <v>-3.5397370000000001</v>
      </c>
      <c r="E19" s="7">
        <v>-0.99407986190369402</v>
      </c>
      <c r="F19" s="7">
        <f t="shared" si="0"/>
        <v>5.1054963569037</v>
      </c>
      <c r="G19" s="7">
        <f t="shared" si="1"/>
        <v>3.5397370000000001</v>
      </c>
      <c r="H19" s="7">
        <f t="shared" si="2"/>
        <v>1.5657593569036998</v>
      </c>
      <c r="I19" s="8">
        <v>0.44233776602716401</v>
      </c>
      <c r="J19" s="2" t="s">
        <v>63</v>
      </c>
      <c r="Q19" s="9"/>
      <c r="R19" s="9"/>
      <c r="S19" s="9"/>
    </row>
    <row r="20" spans="1:19" ht="12.75" customHeight="1">
      <c r="A20" s="1">
        <v>46203</v>
      </c>
      <c r="B20" s="2">
        <v>18</v>
      </c>
      <c r="C20" s="7">
        <v>-7.1865813250790298</v>
      </c>
      <c r="D20" s="7">
        <v>-5.0058389999999999</v>
      </c>
      <c r="E20" s="7">
        <v>-2.1758950010790299</v>
      </c>
      <c r="F20" s="7">
        <f t="shared" si="0"/>
        <v>7.1865813250790298</v>
      </c>
      <c r="G20" s="7">
        <f t="shared" si="1"/>
        <v>5.0058389999999999</v>
      </c>
      <c r="H20" s="7">
        <f t="shared" si="2"/>
        <v>2.1807423250790299</v>
      </c>
      <c r="I20" s="8">
        <v>0.43563972494501402</v>
      </c>
      <c r="J20" s="2" t="s">
        <v>63</v>
      </c>
      <c r="Q20" s="9"/>
      <c r="R20" s="9"/>
      <c r="S20" s="9"/>
    </row>
    <row r="21" spans="1:19" ht="12.75" customHeight="1">
      <c r="A21" s="1">
        <v>46197</v>
      </c>
      <c r="B21" s="2">
        <v>15</v>
      </c>
      <c r="C21" s="7">
        <v>-5.58878815050074</v>
      </c>
      <c r="D21" s="7">
        <v>-3.898822</v>
      </c>
      <c r="E21" s="7">
        <v>-1.4701550175007401</v>
      </c>
      <c r="F21" s="7">
        <f t="shared" si="0"/>
        <v>5.58878815050074</v>
      </c>
      <c r="G21" s="7">
        <f t="shared" si="1"/>
        <v>3.898822</v>
      </c>
      <c r="H21" s="7">
        <f t="shared" si="2"/>
        <v>1.6899661505007399</v>
      </c>
      <c r="I21" s="8">
        <v>0.43345557978813598</v>
      </c>
      <c r="J21" s="2" t="s">
        <v>63</v>
      </c>
      <c r="Q21" s="9"/>
      <c r="R21" s="9"/>
      <c r="S21" s="9"/>
    </row>
    <row r="22" spans="1:19" ht="12.75" customHeight="1">
      <c r="A22" s="1">
        <v>46198</v>
      </c>
      <c r="B22" s="2">
        <v>13</v>
      </c>
      <c r="C22" s="7">
        <v>-5.08310838229621</v>
      </c>
      <c r="D22" s="7">
        <v>-3.5462069999999999</v>
      </c>
      <c r="E22" s="7">
        <v>-0.86245486589620601</v>
      </c>
      <c r="F22" s="7">
        <f t="shared" si="0"/>
        <v>5.08310838229621</v>
      </c>
      <c r="G22" s="7">
        <f t="shared" si="1"/>
        <v>3.5462069999999999</v>
      </c>
      <c r="H22" s="7">
        <f t="shared" si="2"/>
        <v>1.5369013822962101</v>
      </c>
      <c r="I22" s="8">
        <v>0.43339302592776002</v>
      </c>
      <c r="J22" s="2" t="s">
        <v>63</v>
      </c>
      <c r="Q22" s="9"/>
      <c r="R22" s="9"/>
      <c r="S22" s="9"/>
    </row>
    <row r="23" spans="1:19" ht="12.75" customHeight="1">
      <c r="A23" s="1">
        <v>46187</v>
      </c>
      <c r="B23" s="2">
        <v>8</v>
      </c>
      <c r="C23" s="7">
        <v>-2.0954641893155501</v>
      </c>
      <c r="D23" s="7">
        <v>-3.6244939999999999</v>
      </c>
      <c r="E23" s="7">
        <v>2.1112978488844498</v>
      </c>
      <c r="F23" s="7">
        <f t="shared" si="0"/>
        <v>2.0954641893155501</v>
      </c>
      <c r="G23" s="7">
        <f t="shared" si="1"/>
        <v>3.6244939999999999</v>
      </c>
      <c r="H23" s="7">
        <f t="shared" si="2"/>
        <v>1.5290298106844498</v>
      </c>
      <c r="I23" s="8">
        <v>0.421860212952332</v>
      </c>
      <c r="J23" s="2" t="s">
        <v>63</v>
      </c>
      <c r="Q23" s="9"/>
      <c r="R23" s="9"/>
      <c r="S23" s="9"/>
    </row>
    <row r="24" spans="1:19" ht="12.75" customHeight="1">
      <c r="A24" s="1">
        <v>46199</v>
      </c>
      <c r="B24" s="2">
        <v>14</v>
      </c>
      <c r="C24" s="7">
        <v>-5.1772871800807501</v>
      </c>
      <c r="D24" s="7">
        <v>-3.6756069999999998</v>
      </c>
      <c r="E24" s="7">
        <v>-0.68728187008074904</v>
      </c>
      <c r="F24" s="7">
        <f t="shared" si="0"/>
        <v>5.1772871800807501</v>
      </c>
      <c r="G24" s="7">
        <f t="shared" si="1"/>
        <v>3.6756069999999998</v>
      </c>
      <c r="H24" s="7">
        <f t="shared" si="2"/>
        <v>1.5016801800807502</v>
      </c>
      <c r="I24" s="8">
        <v>0.40855297644191801</v>
      </c>
      <c r="J24" s="2" t="s">
        <v>63</v>
      </c>
      <c r="Q24" s="9"/>
      <c r="R24" s="9"/>
      <c r="S24" s="9"/>
    </row>
    <row r="25" spans="1:19" ht="12.75" customHeight="1">
      <c r="A25" s="1">
        <v>46195</v>
      </c>
      <c r="B25" s="2">
        <v>11</v>
      </c>
      <c r="C25" s="7">
        <v>-4.5086478405766099</v>
      </c>
      <c r="D25" s="7">
        <v>-3.2026500000000002</v>
      </c>
      <c r="E25" s="7">
        <v>-0.56269124357660405</v>
      </c>
      <c r="F25" s="7">
        <f t="shared" si="0"/>
        <v>4.5086478405766099</v>
      </c>
      <c r="G25" s="7">
        <f t="shared" si="1"/>
        <v>3.2026500000000002</v>
      </c>
      <c r="H25" s="7">
        <f t="shared" si="2"/>
        <v>1.3059978405766097</v>
      </c>
      <c r="I25" s="8">
        <v>0.40778662687980399</v>
      </c>
      <c r="J25" s="2" t="s">
        <v>63</v>
      </c>
      <c r="Q25" s="9"/>
      <c r="R25" s="9"/>
      <c r="S25" s="9"/>
    </row>
    <row r="26" spans="1:19" ht="12.75" customHeight="1">
      <c r="A26" s="1">
        <v>46175</v>
      </c>
      <c r="B26" s="2">
        <v>14</v>
      </c>
      <c r="C26" s="7">
        <v>-3.9052555039678598</v>
      </c>
      <c r="D26" s="7">
        <v>-2.777571</v>
      </c>
      <c r="E26" s="7">
        <v>-0.56219032896785803</v>
      </c>
      <c r="F26" s="7">
        <f t="shared" si="0"/>
        <v>3.9052555039678598</v>
      </c>
      <c r="G26" s="7">
        <f t="shared" si="1"/>
        <v>2.777571</v>
      </c>
      <c r="H26" s="7">
        <f t="shared" si="2"/>
        <v>1.1276845039678598</v>
      </c>
      <c r="I26" s="8">
        <v>0.40599664381859502</v>
      </c>
      <c r="J26" s="2" t="s">
        <v>63</v>
      </c>
    </row>
    <row r="27" spans="1:19" ht="12.75" customHeight="1">
      <c r="A27" s="1">
        <v>46175</v>
      </c>
      <c r="B27" s="2">
        <v>13</v>
      </c>
      <c r="C27" s="7">
        <v>-3.7952426095609999</v>
      </c>
      <c r="D27" s="7">
        <v>-2.7025190000000001</v>
      </c>
      <c r="E27" s="7">
        <v>-0.50673441556100096</v>
      </c>
      <c r="F27" s="7">
        <f t="shared" si="0"/>
        <v>3.7952426095609999</v>
      </c>
      <c r="G27" s="7">
        <f t="shared" si="1"/>
        <v>2.7025190000000001</v>
      </c>
      <c r="H27" s="7">
        <f t="shared" si="2"/>
        <v>1.0927236095609998</v>
      </c>
      <c r="I27" s="8">
        <v>0.40433521820235202</v>
      </c>
      <c r="J27" s="2" t="s">
        <v>63</v>
      </c>
    </row>
    <row r="28" spans="1:19" ht="12.75" customHeight="1">
      <c r="A28" s="1">
        <v>46187</v>
      </c>
      <c r="B28" s="2">
        <v>9</v>
      </c>
      <c r="C28" s="7">
        <v>-2.1920957095812601</v>
      </c>
      <c r="D28" s="7">
        <v>-3.5940850000000002</v>
      </c>
      <c r="E28" s="7">
        <v>2.25121509281874</v>
      </c>
      <c r="F28" s="7">
        <f t="shared" si="0"/>
        <v>2.1920957095812601</v>
      </c>
      <c r="G28" s="7">
        <f t="shared" si="1"/>
        <v>3.5940850000000002</v>
      </c>
      <c r="H28" s="7">
        <f t="shared" si="2"/>
        <v>1.4019892904187401</v>
      </c>
      <c r="I28" s="8">
        <v>0.39008239660963601</v>
      </c>
      <c r="J28" s="2" t="s">
        <v>64</v>
      </c>
    </row>
    <row r="29" spans="1:19" ht="12.75" customHeight="1">
      <c r="A29" s="1">
        <v>46199</v>
      </c>
      <c r="B29" s="2">
        <v>13</v>
      </c>
      <c r="C29" s="7">
        <v>-5.0926242328910396</v>
      </c>
      <c r="D29" s="7">
        <v>-3.673019</v>
      </c>
      <c r="E29" s="7">
        <v>-0.75419031889104404</v>
      </c>
      <c r="F29" s="7">
        <f t="shared" si="0"/>
        <v>5.0926242328910396</v>
      </c>
      <c r="G29" s="7">
        <f t="shared" si="1"/>
        <v>3.673019</v>
      </c>
      <c r="H29" s="7">
        <f t="shared" si="2"/>
        <v>1.4196052328910396</v>
      </c>
      <c r="I29" s="8">
        <v>0.386495477668655</v>
      </c>
      <c r="J29" s="2" t="s">
        <v>64</v>
      </c>
    </row>
    <row r="30" spans="1:19" ht="12.75" customHeight="1">
      <c r="A30" s="1">
        <v>46194</v>
      </c>
      <c r="B30" s="2">
        <v>8</v>
      </c>
      <c r="C30" s="7">
        <v>-2.2118811775095102</v>
      </c>
      <c r="D30" s="7">
        <v>-1.595502</v>
      </c>
      <c r="E30" s="7">
        <v>7.8860754290490803E-2</v>
      </c>
      <c r="F30" s="7">
        <f t="shared" si="0"/>
        <v>2.2118811775095102</v>
      </c>
      <c r="G30" s="7">
        <f t="shared" si="1"/>
        <v>1.595502</v>
      </c>
      <c r="H30" s="7">
        <f t="shared" si="2"/>
        <v>0.61637917750951021</v>
      </c>
      <c r="I30" s="8">
        <v>0.38632303658002898</v>
      </c>
      <c r="J30" s="2" t="s">
        <v>64</v>
      </c>
    </row>
    <row r="31" spans="1:19" ht="12.75" customHeight="1">
      <c r="A31" s="1">
        <v>46185</v>
      </c>
      <c r="B31" s="2">
        <v>8</v>
      </c>
      <c r="C31" s="7">
        <v>-4.7752894213639401</v>
      </c>
      <c r="D31" s="7">
        <v>-3.4614500000000001</v>
      </c>
      <c r="E31" s="7">
        <v>-1.31331017536394</v>
      </c>
      <c r="F31" s="7">
        <f t="shared" si="0"/>
        <v>4.7752894213639401</v>
      </c>
      <c r="G31" s="7">
        <f t="shared" si="1"/>
        <v>3.4614500000000001</v>
      </c>
      <c r="H31" s="7">
        <f t="shared" si="2"/>
        <v>1.3138394213639399</v>
      </c>
      <c r="I31" s="8">
        <v>0.37956331056752002</v>
      </c>
      <c r="J31" s="2" t="s">
        <v>64</v>
      </c>
    </row>
    <row r="32" spans="1:19" ht="12.75" customHeight="1">
      <c r="A32" s="1">
        <v>46201</v>
      </c>
      <c r="B32" s="2">
        <v>8</v>
      </c>
      <c r="C32" s="7">
        <v>-2.2437723531479499</v>
      </c>
      <c r="D32" s="7">
        <v>-3.596673</v>
      </c>
      <c r="E32" s="7">
        <v>1.9422288784520501</v>
      </c>
      <c r="F32" s="7">
        <f t="shared" si="0"/>
        <v>2.2437723531479499</v>
      </c>
      <c r="G32" s="7">
        <f t="shared" si="1"/>
        <v>3.596673</v>
      </c>
      <c r="H32" s="7">
        <f t="shared" si="2"/>
        <v>1.3529006468520501</v>
      </c>
      <c r="I32" s="8">
        <v>0.37615336363690899</v>
      </c>
      <c r="J32" s="2" t="s">
        <v>64</v>
      </c>
    </row>
    <row r="33" spans="1:10" ht="12.75" customHeight="1">
      <c r="A33" s="1">
        <v>46197</v>
      </c>
      <c r="B33" s="2">
        <v>13</v>
      </c>
      <c r="C33" s="7">
        <v>-4.9135463574929199</v>
      </c>
      <c r="D33" s="7">
        <v>-3.5759690000000002</v>
      </c>
      <c r="E33" s="7">
        <v>-0.69080768949292204</v>
      </c>
      <c r="F33" s="7">
        <f t="shared" si="0"/>
        <v>4.9135463574929199</v>
      </c>
      <c r="G33" s="7">
        <f t="shared" si="1"/>
        <v>3.5759690000000002</v>
      </c>
      <c r="H33" s="7">
        <f t="shared" si="2"/>
        <v>1.3375773574929197</v>
      </c>
      <c r="I33" s="8">
        <v>0.37404612777485602</v>
      </c>
      <c r="J33" s="2" t="s">
        <v>64</v>
      </c>
    </row>
    <row r="34" spans="1:10" ht="12.75" customHeight="1">
      <c r="A34" s="1">
        <v>46198</v>
      </c>
      <c r="B34" s="2">
        <v>12</v>
      </c>
      <c r="C34" s="7">
        <v>-4.8637563889209803</v>
      </c>
      <c r="D34" s="7">
        <v>-3.5462069999999999</v>
      </c>
      <c r="E34" s="7">
        <v>-0.642484858120979</v>
      </c>
      <c r="F34" s="7">
        <f t="shared" si="0"/>
        <v>4.8637563889209803</v>
      </c>
      <c r="G34" s="7">
        <f t="shared" si="1"/>
        <v>3.5462069999999999</v>
      </c>
      <c r="H34" s="7">
        <f t="shared" si="2"/>
        <v>1.3175493889209804</v>
      </c>
      <c r="I34" s="8">
        <v>0.37153764259136002</v>
      </c>
      <c r="J34" s="2" t="s">
        <v>64</v>
      </c>
    </row>
    <row r="35" spans="1:10" ht="12.75" customHeight="1">
      <c r="A35" s="1">
        <v>46182</v>
      </c>
      <c r="B35" s="2">
        <v>17</v>
      </c>
      <c r="C35" s="7">
        <v>-4.8323795559630502</v>
      </c>
      <c r="D35" s="7">
        <v>-3.5332669999999999</v>
      </c>
      <c r="E35" s="7">
        <v>-0.99091539996304701</v>
      </c>
      <c r="F35" s="7">
        <f t="shared" si="0"/>
        <v>4.8323795559630502</v>
      </c>
      <c r="G35" s="7">
        <f t="shared" si="1"/>
        <v>3.5332669999999999</v>
      </c>
      <c r="H35" s="7">
        <f t="shared" si="2"/>
        <v>1.2991125559630503</v>
      </c>
      <c r="I35" s="8">
        <v>0.36768026757192301</v>
      </c>
      <c r="J35" s="2" t="s">
        <v>64</v>
      </c>
    </row>
    <row r="36" spans="1:10" ht="12.75" customHeight="1">
      <c r="A36" s="1">
        <v>46198</v>
      </c>
      <c r="B36" s="2">
        <v>11</v>
      </c>
      <c r="C36" s="7">
        <v>-4.8512185717843197</v>
      </c>
      <c r="D36" s="7">
        <v>-3.5487950000000001</v>
      </c>
      <c r="E36" s="7">
        <v>-0.70469326878431904</v>
      </c>
      <c r="F36" s="7">
        <f t="shared" si="0"/>
        <v>4.8512185717843197</v>
      </c>
      <c r="G36" s="7">
        <f t="shared" si="1"/>
        <v>3.5487950000000001</v>
      </c>
      <c r="H36" s="7">
        <f t="shared" si="2"/>
        <v>1.3024235717843196</v>
      </c>
      <c r="I36" s="8">
        <v>0.36700445412719501</v>
      </c>
      <c r="J36" s="2" t="s">
        <v>64</v>
      </c>
    </row>
    <row r="37" spans="1:10" ht="12.75" customHeight="1">
      <c r="A37" s="1">
        <v>46199</v>
      </c>
      <c r="B37" s="2">
        <v>12</v>
      </c>
      <c r="C37" s="7">
        <v>-4.9852287513059403</v>
      </c>
      <c r="D37" s="7">
        <v>-3.6555499999999999</v>
      </c>
      <c r="E37" s="7">
        <v>-0.728476646305939</v>
      </c>
      <c r="F37" s="7">
        <f t="shared" si="0"/>
        <v>4.9852287513059403</v>
      </c>
      <c r="G37" s="7">
        <f t="shared" si="1"/>
        <v>3.6555499999999999</v>
      </c>
      <c r="H37" s="7">
        <f t="shared" si="2"/>
        <v>1.3296787513059405</v>
      </c>
      <c r="I37" s="8">
        <v>0.36374246045217301</v>
      </c>
      <c r="J37" s="2" t="s">
        <v>64</v>
      </c>
    </row>
    <row r="38" spans="1:10" ht="12.75" customHeight="1">
      <c r="A38" s="1">
        <v>46185</v>
      </c>
      <c r="B38" s="2">
        <v>9</v>
      </c>
      <c r="C38" s="7">
        <v>-5.4746899126283299</v>
      </c>
      <c r="D38" s="7">
        <v>-4.0275749999999997</v>
      </c>
      <c r="E38" s="7">
        <v>-1.4398510436283301</v>
      </c>
      <c r="F38" s="7">
        <f t="shared" si="0"/>
        <v>5.4746899126283299</v>
      </c>
      <c r="G38" s="7">
        <f t="shared" si="1"/>
        <v>4.0275749999999997</v>
      </c>
      <c r="H38" s="7">
        <f t="shared" si="2"/>
        <v>1.4471149126283303</v>
      </c>
      <c r="I38" s="8">
        <v>0.35930179143239599</v>
      </c>
      <c r="J38" s="2" t="s">
        <v>64</v>
      </c>
    </row>
    <row r="39" spans="1:10" ht="12.75" customHeight="1">
      <c r="A39" s="1">
        <v>46200</v>
      </c>
      <c r="B39" s="2">
        <v>9</v>
      </c>
      <c r="C39" s="7">
        <v>-3.3882123025247801</v>
      </c>
      <c r="D39" s="7">
        <v>-2.4941849999999999</v>
      </c>
      <c r="E39" s="7">
        <v>-0.13072646452477599</v>
      </c>
      <c r="F39" s="7">
        <f t="shared" si="0"/>
        <v>3.3882123025247801</v>
      </c>
      <c r="G39" s="7">
        <f t="shared" si="1"/>
        <v>2.4941849999999999</v>
      </c>
      <c r="H39" s="7">
        <f t="shared" si="2"/>
        <v>0.89402730252478024</v>
      </c>
      <c r="I39" s="8">
        <v>0.35844466329673902</v>
      </c>
      <c r="J39" s="2" t="s">
        <v>64</v>
      </c>
    </row>
    <row r="40" spans="1:10" ht="12.75" customHeight="1">
      <c r="A40" s="1">
        <v>46181</v>
      </c>
      <c r="B40" s="2">
        <v>16</v>
      </c>
      <c r="C40" s="7">
        <v>-4.5744112459340904</v>
      </c>
      <c r="D40" s="7">
        <v>-3.37087</v>
      </c>
      <c r="E40" s="7">
        <v>-0.83308586793409201</v>
      </c>
      <c r="F40" s="7">
        <f t="shared" si="0"/>
        <v>4.5744112459340904</v>
      </c>
      <c r="G40" s="7">
        <f t="shared" si="1"/>
        <v>3.37087</v>
      </c>
      <c r="H40" s="7">
        <f t="shared" si="2"/>
        <v>1.2035412459340904</v>
      </c>
      <c r="I40" s="8">
        <v>0.35704172689367802</v>
      </c>
      <c r="J40" s="2" t="s">
        <v>64</v>
      </c>
    </row>
    <row r="41" spans="1:10" ht="12.75" customHeight="1">
      <c r="A41" s="1">
        <v>46180</v>
      </c>
      <c r="B41" s="2">
        <v>8</v>
      </c>
      <c r="C41" s="7">
        <v>-2.2917667274231102</v>
      </c>
      <c r="D41" s="7">
        <v>-3.5507360000000001</v>
      </c>
      <c r="E41" s="7">
        <v>1.80095496137689</v>
      </c>
      <c r="F41" s="7">
        <f t="shared" si="0"/>
        <v>2.2917667274231102</v>
      </c>
      <c r="G41" s="7">
        <f t="shared" si="1"/>
        <v>3.5507360000000001</v>
      </c>
      <c r="H41" s="7">
        <f t="shared" si="2"/>
        <v>1.25896927257689</v>
      </c>
      <c r="I41" s="8">
        <v>0.35456572174807999</v>
      </c>
      <c r="J41" s="2" t="s">
        <v>64</v>
      </c>
    </row>
    <row r="42" spans="1:10" ht="12.75" customHeight="1">
      <c r="A42" s="1">
        <v>46202</v>
      </c>
      <c r="B42" s="2">
        <v>17</v>
      </c>
      <c r="C42" s="7">
        <v>-5.9870447640174698</v>
      </c>
      <c r="D42" s="7">
        <v>-4.4429489999999996</v>
      </c>
      <c r="E42" s="7">
        <v>-1.2536335250174699</v>
      </c>
      <c r="F42" s="7">
        <f t="shared" si="0"/>
        <v>5.9870447640174698</v>
      </c>
      <c r="G42" s="7">
        <f t="shared" si="1"/>
        <v>4.4429489999999996</v>
      </c>
      <c r="H42" s="7">
        <f t="shared" si="2"/>
        <v>1.5440957640174702</v>
      </c>
      <c r="I42" s="8">
        <v>0.34753848491564299</v>
      </c>
      <c r="J42" s="2" t="s">
        <v>64</v>
      </c>
    </row>
    <row r="43" spans="1:10" ht="12.75" customHeight="1">
      <c r="A43" s="1">
        <v>46177</v>
      </c>
      <c r="B43" s="2">
        <v>7</v>
      </c>
      <c r="C43" s="7">
        <v>-3.56115620169275</v>
      </c>
      <c r="D43" s="7">
        <v>-2.6436419999999998</v>
      </c>
      <c r="E43" s="7">
        <v>-0.90558740369275204</v>
      </c>
      <c r="F43" s="7">
        <f t="shared" si="0"/>
        <v>3.56115620169275</v>
      </c>
      <c r="G43" s="7">
        <f t="shared" si="1"/>
        <v>2.6436419999999998</v>
      </c>
      <c r="H43" s="7">
        <f t="shared" si="2"/>
        <v>0.91751420169275022</v>
      </c>
      <c r="I43" s="8">
        <v>0.34706446700905502</v>
      </c>
      <c r="J43" s="2" t="s">
        <v>64</v>
      </c>
    </row>
    <row r="44" spans="1:10" ht="12.75" customHeight="1">
      <c r="A44" s="1">
        <v>46196</v>
      </c>
      <c r="B44" s="2">
        <v>13</v>
      </c>
      <c r="C44" s="7">
        <v>-4.7488712046402703</v>
      </c>
      <c r="D44" s="7">
        <v>-3.5397370000000001</v>
      </c>
      <c r="E44" s="7">
        <v>-0.68433930584027003</v>
      </c>
      <c r="F44" s="7">
        <f t="shared" si="0"/>
        <v>4.7488712046402703</v>
      </c>
      <c r="G44" s="7">
        <f t="shared" si="1"/>
        <v>3.5397370000000001</v>
      </c>
      <c r="H44" s="7">
        <f t="shared" si="2"/>
        <v>1.2091342046402702</v>
      </c>
      <c r="I44" s="8">
        <v>0.34158871256262002</v>
      </c>
      <c r="J44" s="2" t="s">
        <v>64</v>
      </c>
    </row>
    <row r="45" spans="1:10" ht="12.75" customHeight="1">
      <c r="A45" s="1">
        <v>46181</v>
      </c>
      <c r="B45" s="2">
        <v>11</v>
      </c>
      <c r="C45" s="7">
        <v>-4.2264795395522698</v>
      </c>
      <c r="D45" s="7">
        <v>-3.1547719999999999</v>
      </c>
      <c r="E45" s="7">
        <v>-0.53872964355226904</v>
      </c>
      <c r="F45" s="7">
        <f t="shared" si="0"/>
        <v>4.2264795395522698</v>
      </c>
      <c r="G45" s="7">
        <f t="shared" si="1"/>
        <v>3.1547719999999999</v>
      </c>
      <c r="H45" s="7">
        <f t="shared" si="2"/>
        <v>1.0717075395522699</v>
      </c>
      <c r="I45" s="8">
        <v>0.33970998206915398</v>
      </c>
      <c r="J45" s="2" t="s">
        <v>64</v>
      </c>
    </row>
    <row r="46" spans="1:10" ht="12.75" customHeight="1">
      <c r="A46" s="1">
        <v>46187</v>
      </c>
      <c r="B46" s="2">
        <v>7</v>
      </c>
      <c r="C46" s="7">
        <v>-2.4157013491194999</v>
      </c>
      <c r="D46" s="7">
        <v>-3.6574909999999998</v>
      </c>
      <c r="E46" s="7">
        <v>1.3836836090805</v>
      </c>
      <c r="F46" s="7">
        <f t="shared" si="0"/>
        <v>2.4157013491194999</v>
      </c>
      <c r="G46" s="7">
        <f t="shared" si="1"/>
        <v>3.6574909999999998</v>
      </c>
      <c r="H46" s="7">
        <f t="shared" si="2"/>
        <v>1.2417896508805</v>
      </c>
      <c r="I46" s="8">
        <v>0.339519536994212</v>
      </c>
      <c r="J46" s="2" t="s">
        <v>64</v>
      </c>
    </row>
    <row r="47" spans="1:10" ht="12.75" customHeight="1">
      <c r="A47" s="1">
        <v>46191</v>
      </c>
      <c r="B47" s="2">
        <v>12</v>
      </c>
      <c r="C47" s="7">
        <v>-5.0342773935313501</v>
      </c>
      <c r="D47" s="7">
        <v>-3.7590699999999999</v>
      </c>
      <c r="E47" s="7">
        <v>-0.90351624553134602</v>
      </c>
      <c r="F47" s="7">
        <f t="shared" si="0"/>
        <v>5.0342773935313501</v>
      </c>
      <c r="G47" s="7">
        <f t="shared" si="1"/>
        <v>3.7590699999999999</v>
      </c>
      <c r="H47" s="7">
        <f t="shared" si="2"/>
        <v>1.2752073935313502</v>
      </c>
      <c r="I47" s="8">
        <v>0.33923480901695002</v>
      </c>
      <c r="J47" s="2" t="s">
        <v>64</v>
      </c>
    </row>
    <row r="48" spans="1:10" ht="12.75" customHeight="1">
      <c r="A48" s="1">
        <v>46196</v>
      </c>
      <c r="B48" s="2">
        <v>11</v>
      </c>
      <c r="C48" s="7">
        <v>-4.7050927685891999</v>
      </c>
      <c r="D48" s="7">
        <v>-3.5157980000000002</v>
      </c>
      <c r="E48" s="7">
        <v>-0.61538118258919505</v>
      </c>
      <c r="F48" s="7">
        <f t="shared" si="0"/>
        <v>4.7050927685891999</v>
      </c>
      <c r="G48" s="7">
        <f t="shared" si="1"/>
        <v>3.5157980000000002</v>
      </c>
      <c r="H48" s="7">
        <f t="shared" si="2"/>
        <v>1.1892947685891997</v>
      </c>
      <c r="I48" s="8">
        <v>0.338271643760306</v>
      </c>
      <c r="J48" s="2" t="s">
        <v>64</v>
      </c>
    </row>
    <row r="49" spans="1:10" ht="12.75" customHeight="1">
      <c r="A49" s="1">
        <v>46203</v>
      </c>
      <c r="B49" s="2">
        <v>13</v>
      </c>
      <c r="C49" s="7">
        <v>-5.5159281487931304</v>
      </c>
      <c r="D49" s="7">
        <v>-4.1285069999999999</v>
      </c>
      <c r="E49" s="7">
        <v>-0.88091629299312502</v>
      </c>
      <c r="F49" s="7">
        <f t="shared" si="0"/>
        <v>5.5159281487931304</v>
      </c>
      <c r="G49" s="7">
        <f t="shared" si="1"/>
        <v>4.1285069999999999</v>
      </c>
      <c r="H49" s="7">
        <f t="shared" si="2"/>
        <v>1.3874211487931305</v>
      </c>
      <c r="I49" s="8">
        <v>0.33605880982958802</v>
      </c>
      <c r="J49" s="2" t="s">
        <v>64</v>
      </c>
    </row>
    <row r="50" spans="1:10" ht="12.75" customHeight="1">
      <c r="A50" s="1">
        <v>46188</v>
      </c>
      <c r="B50" s="2">
        <v>7</v>
      </c>
      <c r="C50" s="7">
        <v>-2.42042683508866</v>
      </c>
      <c r="D50" s="7">
        <v>-3.61673</v>
      </c>
      <c r="E50" s="7">
        <v>1.36043632471134</v>
      </c>
      <c r="F50" s="7">
        <f t="shared" si="0"/>
        <v>2.42042683508866</v>
      </c>
      <c r="G50" s="7">
        <f t="shared" si="1"/>
        <v>3.61673</v>
      </c>
      <c r="H50" s="7">
        <f t="shared" si="2"/>
        <v>1.19630316491134</v>
      </c>
      <c r="I50" s="8">
        <v>0.33076927636603798</v>
      </c>
      <c r="J50" s="2" t="s">
        <v>64</v>
      </c>
    </row>
    <row r="51" spans="1:10" ht="12.75" customHeight="1">
      <c r="A51" s="1">
        <v>46191</v>
      </c>
      <c r="B51" s="2">
        <v>14</v>
      </c>
      <c r="C51" s="7">
        <v>-5.0133318635548703</v>
      </c>
      <c r="D51" s="7">
        <v>-3.7674810000000001</v>
      </c>
      <c r="E51" s="7">
        <v>-0.92004948455486601</v>
      </c>
      <c r="F51" s="7">
        <f t="shared" si="0"/>
        <v>5.0133318635548703</v>
      </c>
      <c r="G51" s="7">
        <f t="shared" si="1"/>
        <v>3.7674810000000001</v>
      </c>
      <c r="H51" s="7">
        <f t="shared" si="2"/>
        <v>1.2458508635548702</v>
      </c>
      <c r="I51" s="8">
        <v>0.33068537400848602</v>
      </c>
      <c r="J51" s="2" t="s">
        <v>64</v>
      </c>
    </row>
    <row r="52" spans="1:10" ht="12.75" customHeight="1">
      <c r="A52" s="1">
        <v>46187</v>
      </c>
      <c r="B52" s="2">
        <v>10</v>
      </c>
      <c r="C52" s="7">
        <v>-2.4060517533618202</v>
      </c>
      <c r="D52" s="7">
        <v>-3.5798510000000001</v>
      </c>
      <c r="E52" s="7">
        <v>2.11046179363818</v>
      </c>
      <c r="F52" s="7">
        <f t="shared" si="0"/>
        <v>2.4060517533618202</v>
      </c>
      <c r="G52" s="7">
        <f t="shared" si="1"/>
        <v>3.5798510000000001</v>
      </c>
      <c r="H52" s="7">
        <f t="shared" si="2"/>
        <v>1.1737992466381799</v>
      </c>
      <c r="I52" s="8">
        <v>0.32789053137635699</v>
      </c>
      <c r="J52" s="2" t="s">
        <v>64</v>
      </c>
    </row>
    <row r="53" spans="1:10" ht="12.75" customHeight="1">
      <c r="A53" s="1">
        <v>46175</v>
      </c>
      <c r="B53" s="2">
        <v>16</v>
      </c>
      <c r="C53" s="7">
        <v>-3.9189815499387901</v>
      </c>
      <c r="D53" s="7">
        <v>-2.9535550000000002</v>
      </c>
      <c r="E53" s="7">
        <v>-0.50089090193878705</v>
      </c>
      <c r="F53" s="7">
        <f t="shared" si="0"/>
        <v>3.9189815499387901</v>
      </c>
      <c r="G53" s="7">
        <f t="shared" si="1"/>
        <v>2.9535550000000002</v>
      </c>
      <c r="H53" s="7">
        <f t="shared" si="2"/>
        <v>0.96542654993878996</v>
      </c>
      <c r="I53" s="8">
        <v>0.32686933202150897</v>
      </c>
      <c r="J53" s="2" t="s">
        <v>64</v>
      </c>
    </row>
    <row r="54" spans="1:10" ht="12.75" customHeight="1">
      <c r="A54" s="1">
        <v>46197</v>
      </c>
      <c r="B54" s="2">
        <v>12</v>
      </c>
      <c r="C54" s="7">
        <v>-4.7142699305430904</v>
      </c>
      <c r="D54" s="7">
        <v>-3.5559120000000002</v>
      </c>
      <c r="E54" s="7">
        <v>-0.47459150854308602</v>
      </c>
      <c r="F54" s="7">
        <f t="shared" si="0"/>
        <v>4.7142699305430904</v>
      </c>
      <c r="G54" s="7">
        <f t="shared" si="1"/>
        <v>3.5559120000000002</v>
      </c>
      <c r="H54" s="7">
        <f t="shared" si="2"/>
        <v>1.1583579305430902</v>
      </c>
      <c r="I54" s="8">
        <v>0.325755510975268</v>
      </c>
      <c r="J54" s="2" t="s">
        <v>64</v>
      </c>
    </row>
    <row r="55" spans="1:10" ht="12.75" customHeight="1">
      <c r="A55" s="1">
        <v>46193</v>
      </c>
      <c r="B55" s="2">
        <v>13</v>
      </c>
      <c r="C55" s="7">
        <v>-3.7121335311151902</v>
      </c>
      <c r="D55" s="7">
        <v>-2.8002159999999998</v>
      </c>
      <c r="E55" s="7">
        <v>-0.10698418411518699</v>
      </c>
      <c r="F55" s="7">
        <f t="shared" si="0"/>
        <v>3.7121335311151902</v>
      </c>
      <c r="G55" s="7">
        <f t="shared" si="1"/>
        <v>2.8002159999999998</v>
      </c>
      <c r="H55" s="7">
        <f t="shared" si="2"/>
        <v>0.91191753111519036</v>
      </c>
      <c r="I55" s="8">
        <v>0.325659710220635</v>
      </c>
      <c r="J55" s="2" t="s">
        <v>64</v>
      </c>
    </row>
    <row r="56" spans="1:10" ht="12.75" customHeight="1">
      <c r="A56" s="1">
        <v>46180</v>
      </c>
      <c r="B56" s="2">
        <v>9</v>
      </c>
      <c r="C56" s="7">
        <v>-2.4138495045789501</v>
      </c>
      <c r="D56" s="7">
        <v>-3.5649700000000002</v>
      </c>
      <c r="E56" s="7">
        <v>1.9220897068210501</v>
      </c>
      <c r="F56" s="7">
        <f t="shared" si="0"/>
        <v>2.4138495045789501</v>
      </c>
      <c r="G56" s="7">
        <f t="shared" si="1"/>
        <v>3.5649700000000002</v>
      </c>
      <c r="H56" s="7">
        <f t="shared" si="2"/>
        <v>1.1511204954210501</v>
      </c>
      <c r="I56" s="8">
        <v>0.32289766685864102</v>
      </c>
      <c r="J56" s="2" t="s">
        <v>64</v>
      </c>
    </row>
    <row r="57" spans="1:10" ht="12.75" customHeight="1">
      <c r="A57" s="1">
        <v>46198</v>
      </c>
      <c r="B57" s="2">
        <v>14</v>
      </c>
      <c r="C57" s="7">
        <v>-5.2016197871819996</v>
      </c>
      <c r="D57" s="7">
        <v>-3.9337599999999999</v>
      </c>
      <c r="E57" s="7">
        <v>-0.57394128818199996</v>
      </c>
      <c r="F57" s="7">
        <f t="shared" si="0"/>
        <v>5.2016197871819996</v>
      </c>
      <c r="G57" s="7">
        <f t="shared" si="1"/>
        <v>3.9337599999999999</v>
      </c>
      <c r="H57" s="7">
        <f t="shared" si="2"/>
        <v>1.2678597871819997</v>
      </c>
      <c r="I57" s="8">
        <v>0.32230227242688902</v>
      </c>
      <c r="J57" s="2" t="s">
        <v>64</v>
      </c>
    </row>
    <row r="58" spans="1:10" ht="12.75" customHeight="1">
      <c r="A58" s="1">
        <v>46200</v>
      </c>
      <c r="B58" s="2">
        <v>8</v>
      </c>
      <c r="C58" s="7">
        <v>-2.97008797415155</v>
      </c>
      <c r="D58" s="7">
        <v>-2.249619</v>
      </c>
      <c r="E58" s="7">
        <v>-0.210931888151553</v>
      </c>
      <c r="F58" s="7">
        <f t="shared" si="0"/>
        <v>2.97008797415155</v>
      </c>
      <c r="G58" s="7">
        <f t="shared" si="1"/>
        <v>2.249619</v>
      </c>
      <c r="H58" s="7">
        <f t="shared" si="2"/>
        <v>0.72046897415154998</v>
      </c>
      <c r="I58" s="8">
        <v>0.32026266410069998</v>
      </c>
      <c r="J58" s="2" t="s">
        <v>64</v>
      </c>
    </row>
    <row r="59" spans="1:10" ht="12.75" customHeight="1">
      <c r="A59" s="1">
        <v>46203</v>
      </c>
      <c r="B59" s="2">
        <v>12</v>
      </c>
      <c r="C59" s="7">
        <v>-5.2307958174414502</v>
      </c>
      <c r="D59" s="7">
        <v>-3.9648159999999999</v>
      </c>
      <c r="E59" s="7">
        <v>-0.61019963924145304</v>
      </c>
      <c r="F59" s="7">
        <f t="shared" si="0"/>
        <v>5.2307958174414502</v>
      </c>
      <c r="G59" s="7">
        <f t="shared" si="1"/>
        <v>3.9648159999999999</v>
      </c>
      <c r="H59" s="7">
        <f t="shared" si="2"/>
        <v>1.2659798174414503</v>
      </c>
      <c r="I59" s="8">
        <v>0.31930354837184199</v>
      </c>
      <c r="J59" s="2" t="s">
        <v>64</v>
      </c>
    </row>
    <row r="60" spans="1:10" ht="12.75" customHeight="1">
      <c r="A60" s="1">
        <v>46197</v>
      </c>
      <c r="B60" s="2">
        <v>18</v>
      </c>
      <c r="C60" s="7">
        <v>-5.4988036756404597</v>
      </c>
      <c r="D60" s="7">
        <v>-4.1679740000000001</v>
      </c>
      <c r="E60" s="7">
        <v>-1.1008095296404601</v>
      </c>
      <c r="F60" s="7">
        <f t="shared" si="0"/>
        <v>5.4988036756404597</v>
      </c>
      <c r="G60" s="7">
        <f t="shared" si="1"/>
        <v>4.1679740000000001</v>
      </c>
      <c r="H60" s="7">
        <f t="shared" si="2"/>
        <v>1.3308296756404596</v>
      </c>
      <c r="I60" s="8">
        <v>0.31929893891863598</v>
      </c>
      <c r="J60" s="2" t="s">
        <v>64</v>
      </c>
    </row>
    <row r="61" spans="1:10" ht="12.75" customHeight="1">
      <c r="A61" s="1">
        <v>46196</v>
      </c>
      <c r="B61" s="2">
        <v>14</v>
      </c>
      <c r="C61" s="7">
        <v>-4.6936419995990697</v>
      </c>
      <c r="D61" s="7">
        <v>-3.5585</v>
      </c>
      <c r="E61" s="7">
        <v>-0.61688128319906799</v>
      </c>
      <c r="F61" s="7">
        <f t="shared" si="0"/>
        <v>4.6936419995990697</v>
      </c>
      <c r="G61" s="7">
        <f t="shared" si="1"/>
        <v>3.5585</v>
      </c>
      <c r="H61" s="7">
        <f t="shared" si="2"/>
        <v>1.1351419995990697</v>
      </c>
      <c r="I61" s="8">
        <v>0.31899452005032097</v>
      </c>
      <c r="J61" s="2" t="s">
        <v>64</v>
      </c>
    </row>
    <row r="62" spans="1:10" ht="12.75" customHeight="1">
      <c r="A62" s="1">
        <v>46203</v>
      </c>
      <c r="B62" s="2">
        <v>11</v>
      </c>
      <c r="C62" s="7">
        <v>-5.0634605709267104</v>
      </c>
      <c r="D62" s="7">
        <v>-3.8412389999999998</v>
      </c>
      <c r="E62" s="7">
        <v>-0.64842250392670897</v>
      </c>
      <c r="F62" s="7">
        <f t="shared" si="0"/>
        <v>5.0634605709267104</v>
      </c>
      <c r="G62" s="7">
        <f t="shared" si="1"/>
        <v>3.8412389999999998</v>
      </c>
      <c r="H62" s="7">
        <f t="shared" si="2"/>
        <v>1.2222215709267106</v>
      </c>
      <c r="I62" s="8">
        <v>0.31818420330698199</v>
      </c>
      <c r="J62" s="2" t="s">
        <v>64</v>
      </c>
    </row>
    <row r="63" spans="1:10" ht="12.75" customHeight="1">
      <c r="A63" s="1">
        <v>46199</v>
      </c>
      <c r="B63" s="2">
        <v>11</v>
      </c>
      <c r="C63" s="7">
        <v>-4.7716111198562103</v>
      </c>
      <c r="D63" s="7">
        <v>-3.6212589999999998</v>
      </c>
      <c r="E63" s="7">
        <v>-0.39863711085621001</v>
      </c>
      <c r="F63" s="7">
        <f t="shared" si="0"/>
        <v>4.7716111198562103</v>
      </c>
      <c r="G63" s="7">
        <f t="shared" si="1"/>
        <v>3.6212589999999998</v>
      </c>
      <c r="H63" s="7">
        <f t="shared" si="2"/>
        <v>1.1503521198562106</v>
      </c>
      <c r="I63" s="8">
        <v>0.31766634749301498</v>
      </c>
      <c r="J63" s="2" t="s">
        <v>64</v>
      </c>
    </row>
    <row r="64" spans="1:10" ht="12.75" customHeight="1">
      <c r="A64" s="1">
        <v>46183</v>
      </c>
      <c r="B64" s="2">
        <v>12</v>
      </c>
      <c r="C64" s="7">
        <v>-4.3445038631503197</v>
      </c>
      <c r="D64" s="7">
        <v>-3.2984059999999999</v>
      </c>
      <c r="E64" s="7">
        <v>-0.43046144695032401</v>
      </c>
      <c r="F64" s="7">
        <f t="shared" si="0"/>
        <v>4.3445038631503197</v>
      </c>
      <c r="G64" s="7">
        <f t="shared" si="1"/>
        <v>3.2984059999999999</v>
      </c>
      <c r="H64" s="7">
        <f t="shared" si="2"/>
        <v>1.0460978631503197</v>
      </c>
      <c r="I64" s="8">
        <v>0.31715254676056398</v>
      </c>
      <c r="J64" s="2" t="s">
        <v>64</v>
      </c>
    </row>
    <row r="65" spans="1:10" ht="12.75" customHeight="1">
      <c r="A65" s="1">
        <v>46199</v>
      </c>
      <c r="B65" s="2">
        <v>15</v>
      </c>
      <c r="C65" s="7">
        <v>-5.1709729662176898</v>
      </c>
      <c r="D65" s="7">
        <v>-3.9324659999999998</v>
      </c>
      <c r="E65" s="7">
        <v>-0.46375358121768501</v>
      </c>
      <c r="F65" s="7">
        <f t="shared" si="0"/>
        <v>5.1709729662176898</v>
      </c>
      <c r="G65" s="7">
        <f t="shared" si="1"/>
        <v>3.9324659999999998</v>
      </c>
      <c r="H65" s="7">
        <f t="shared" si="2"/>
        <v>1.23850696621769</v>
      </c>
      <c r="I65" s="8">
        <v>0.314944100271353</v>
      </c>
      <c r="J65" s="2" t="s">
        <v>64</v>
      </c>
    </row>
    <row r="66" spans="1:10" ht="12.75" customHeight="1">
      <c r="A66" s="1">
        <v>46180</v>
      </c>
      <c r="B66" s="2">
        <v>7</v>
      </c>
      <c r="C66" s="7">
        <v>-2.4301786622363699</v>
      </c>
      <c r="D66" s="7">
        <v>-3.538443</v>
      </c>
      <c r="E66" s="7">
        <v>1.2702995353636299</v>
      </c>
      <c r="F66" s="7">
        <f t="shared" ref="F66:F129" si="3">ABS(C66)</f>
        <v>2.4301786622363699</v>
      </c>
      <c r="G66" s="7">
        <f t="shared" ref="G66:G129" si="4">ABS(D66)</f>
        <v>3.538443</v>
      </c>
      <c r="H66" s="7">
        <f t="shared" ref="H66:H129" si="5">ABS(G66-F66)</f>
        <v>1.1082643377636301</v>
      </c>
      <c r="I66" s="8">
        <v>0.31320677986437401</v>
      </c>
      <c r="J66" s="2" t="s">
        <v>64</v>
      </c>
    </row>
    <row r="67" spans="1:10" ht="12.75" customHeight="1">
      <c r="A67" s="1">
        <v>46175</v>
      </c>
      <c r="B67" s="2">
        <v>11</v>
      </c>
      <c r="C67" s="7">
        <v>-3.70222867724629</v>
      </c>
      <c r="D67" s="7">
        <v>-2.826743</v>
      </c>
      <c r="E67" s="7">
        <v>-0.22170641124629401</v>
      </c>
      <c r="F67" s="7">
        <f t="shared" si="3"/>
        <v>3.70222867724629</v>
      </c>
      <c r="G67" s="7">
        <f t="shared" si="4"/>
        <v>2.826743</v>
      </c>
      <c r="H67" s="7">
        <f t="shared" si="5"/>
        <v>0.87548567724629001</v>
      </c>
      <c r="I67" s="8">
        <v>0.30971534279780399</v>
      </c>
      <c r="J67" s="2" t="s">
        <v>64</v>
      </c>
    </row>
    <row r="68" spans="1:10" ht="12.75" customHeight="1">
      <c r="A68" s="1">
        <v>46181</v>
      </c>
      <c r="B68" s="2">
        <v>7</v>
      </c>
      <c r="C68" s="7">
        <v>-2.5565587877218299</v>
      </c>
      <c r="D68" s="7">
        <v>-3.7014870000000002</v>
      </c>
      <c r="E68" s="7">
        <v>1.2823943612781701</v>
      </c>
      <c r="F68" s="7">
        <f t="shared" si="3"/>
        <v>2.5565587877218299</v>
      </c>
      <c r="G68" s="7">
        <f t="shared" si="4"/>
        <v>3.7014870000000002</v>
      </c>
      <c r="H68" s="7">
        <f t="shared" si="5"/>
        <v>1.1449282122781703</v>
      </c>
      <c r="I68" s="8">
        <v>0.30931574588217298</v>
      </c>
      <c r="J68" s="2" t="s">
        <v>64</v>
      </c>
    </row>
    <row r="69" spans="1:10" ht="12.75" customHeight="1">
      <c r="A69" s="1">
        <v>46177</v>
      </c>
      <c r="B69" s="2">
        <v>9</v>
      </c>
      <c r="C69" s="7">
        <v>-4.6664408088615303</v>
      </c>
      <c r="D69" s="7">
        <v>-3.5707930000000001</v>
      </c>
      <c r="E69" s="7">
        <v>-1.0568543358615301</v>
      </c>
      <c r="F69" s="7">
        <f t="shared" si="3"/>
        <v>4.6664408088615303</v>
      </c>
      <c r="G69" s="7">
        <f t="shared" si="4"/>
        <v>3.5707930000000001</v>
      </c>
      <c r="H69" s="7">
        <f t="shared" si="5"/>
        <v>1.0956478088615302</v>
      </c>
      <c r="I69" s="8">
        <v>0.30683599101419001</v>
      </c>
      <c r="J69" s="2" t="s">
        <v>64</v>
      </c>
    </row>
    <row r="70" spans="1:10" ht="12.75" customHeight="1">
      <c r="A70" s="1">
        <v>46187</v>
      </c>
      <c r="B70" s="2">
        <v>11</v>
      </c>
      <c r="C70" s="7">
        <v>-2.49761942126255</v>
      </c>
      <c r="D70" s="7">
        <v>-3.576616</v>
      </c>
      <c r="E70" s="7">
        <v>2.0537291233374502</v>
      </c>
      <c r="F70" s="7">
        <f t="shared" si="3"/>
        <v>2.49761942126255</v>
      </c>
      <c r="G70" s="7">
        <f t="shared" si="4"/>
        <v>3.576616</v>
      </c>
      <c r="H70" s="7">
        <f t="shared" si="5"/>
        <v>1.07899657873745</v>
      </c>
      <c r="I70" s="8">
        <v>0.30168085663583999</v>
      </c>
      <c r="J70" s="2" t="s">
        <v>64</v>
      </c>
    </row>
    <row r="71" spans="1:10" ht="12.75" customHeight="1">
      <c r="A71" s="1">
        <v>46196</v>
      </c>
      <c r="B71" s="2">
        <v>10</v>
      </c>
      <c r="C71" s="7">
        <v>-4.6020564819435901</v>
      </c>
      <c r="D71" s="7">
        <v>-3.5377960000000002</v>
      </c>
      <c r="E71" s="7">
        <v>-0.40268033694358701</v>
      </c>
      <c r="F71" s="7">
        <f t="shared" si="3"/>
        <v>4.6020564819435901</v>
      </c>
      <c r="G71" s="7">
        <f t="shared" si="4"/>
        <v>3.5377960000000002</v>
      </c>
      <c r="H71" s="7">
        <f t="shared" si="5"/>
        <v>1.0642604819435899</v>
      </c>
      <c r="I71" s="8">
        <v>0.30082584805443502</v>
      </c>
      <c r="J71" s="2" t="s">
        <v>64</v>
      </c>
    </row>
    <row r="72" spans="1:10" ht="12.75" customHeight="1">
      <c r="A72" s="1">
        <v>46203</v>
      </c>
      <c r="B72" s="2">
        <v>10</v>
      </c>
      <c r="C72" s="7">
        <v>-4.9560634190226098</v>
      </c>
      <c r="D72" s="7">
        <v>-3.811477</v>
      </c>
      <c r="E72" s="7">
        <v>-0.72050781042260503</v>
      </c>
      <c r="F72" s="7">
        <f t="shared" si="3"/>
        <v>4.9560634190226098</v>
      </c>
      <c r="G72" s="7">
        <f t="shared" si="4"/>
        <v>3.811477</v>
      </c>
      <c r="H72" s="7">
        <f t="shared" si="5"/>
        <v>1.1445864190226098</v>
      </c>
      <c r="I72" s="8">
        <v>0.30029996744637399</v>
      </c>
      <c r="J72" s="2" t="s">
        <v>64</v>
      </c>
    </row>
    <row r="73" spans="1:10" ht="12.75" customHeight="1">
      <c r="A73" s="1">
        <v>46182</v>
      </c>
      <c r="B73" s="2">
        <v>14</v>
      </c>
      <c r="C73" s="7">
        <v>-4.58419741448962</v>
      </c>
      <c r="D73" s="7">
        <v>-3.5261499999999999</v>
      </c>
      <c r="E73" s="7">
        <v>-0.45877595748962002</v>
      </c>
      <c r="F73" s="7">
        <f t="shared" si="3"/>
        <v>4.58419741448962</v>
      </c>
      <c r="G73" s="7">
        <f t="shared" si="4"/>
        <v>3.5261499999999999</v>
      </c>
      <c r="H73" s="7">
        <f t="shared" si="5"/>
        <v>1.0580474144896201</v>
      </c>
      <c r="I73" s="8">
        <v>0.30005740382275797</v>
      </c>
      <c r="J73" s="2" t="s">
        <v>64</v>
      </c>
    </row>
    <row r="74" spans="1:10" ht="12.75" customHeight="1">
      <c r="A74" s="1">
        <v>46181</v>
      </c>
      <c r="B74" s="2">
        <v>17</v>
      </c>
      <c r="C74" s="7">
        <v>-4.69099752370097</v>
      </c>
      <c r="D74" s="7">
        <v>-3.6115539999999999</v>
      </c>
      <c r="E74" s="7">
        <v>-0.86338369670096804</v>
      </c>
      <c r="F74" s="7">
        <f t="shared" si="3"/>
        <v>4.69099752370097</v>
      </c>
      <c r="G74" s="7">
        <f t="shared" si="4"/>
        <v>3.6115539999999999</v>
      </c>
      <c r="H74" s="7">
        <f t="shared" si="5"/>
        <v>1.0794435237009701</v>
      </c>
      <c r="I74" s="8">
        <v>0.29888616470942098</v>
      </c>
      <c r="J74" s="2" t="s">
        <v>65</v>
      </c>
    </row>
    <row r="75" spans="1:10" ht="12.75" customHeight="1">
      <c r="A75" s="1">
        <v>46197</v>
      </c>
      <c r="B75" s="2">
        <v>10</v>
      </c>
      <c r="C75" s="7">
        <v>-4.2286278143612002</v>
      </c>
      <c r="D75" s="7">
        <v>-3.2576450000000001</v>
      </c>
      <c r="E75" s="7">
        <v>-0.36317678036120299</v>
      </c>
      <c r="F75" s="7">
        <f t="shared" si="3"/>
        <v>4.2286278143612002</v>
      </c>
      <c r="G75" s="7">
        <f t="shared" si="4"/>
        <v>3.2576450000000001</v>
      </c>
      <c r="H75" s="7">
        <f t="shared" si="5"/>
        <v>0.97098281436120004</v>
      </c>
      <c r="I75" s="8">
        <v>0.29806280744562502</v>
      </c>
      <c r="J75" s="2" t="s">
        <v>65</v>
      </c>
    </row>
    <row r="76" spans="1:10" ht="12.75" customHeight="1">
      <c r="A76" s="1">
        <v>46183</v>
      </c>
      <c r="B76" s="2">
        <v>14</v>
      </c>
      <c r="C76" s="7">
        <v>-4.9037173748537501</v>
      </c>
      <c r="D76" s="7">
        <v>-3.79142</v>
      </c>
      <c r="E76" s="7">
        <v>-0.63793120885374799</v>
      </c>
      <c r="F76" s="7">
        <f t="shared" si="3"/>
        <v>4.9037173748537501</v>
      </c>
      <c r="G76" s="7">
        <f t="shared" si="4"/>
        <v>3.79142</v>
      </c>
      <c r="H76" s="7">
        <f t="shared" si="5"/>
        <v>1.1122973748537501</v>
      </c>
      <c r="I76" s="8">
        <v>0.29337223912247901</v>
      </c>
      <c r="J76" s="2" t="s">
        <v>65</v>
      </c>
    </row>
    <row r="77" spans="1:10" ht="12.75" customHeight="1">
      <c r="A77" s="1">
        <v>46188</v>
      </c>
      <c r="B77" s="2">
        <v>6</v>
      </c>
      <c r="C77" s="7">
        <v>-2.5911756382748501</v>
      </c>
      <c r="D77" s="7">
        <v>-3.652962</v>
      </c>
      <c r="E77" s="7">
        <v>1.0848414303251499</v>
      </c>
      <c r="F77" s="7">
        <f t="shared" si="3"/>
        <v>2.5911756382748501</v>
      </c>
      <c r="G77" s="7">
        <f t="shared" si="4"/>
        <v>3.652962</v>
      </c>
      <c r="H77" s="7">
        <f t="shared" si="5"/>
        <v>1.06178636172515</v>
      </c>
      <c r="I77" s="8">
        <v>0.29066449684534001</v>
      </c>
      <c r="J77" s="2" t="s">
        <v>65</v>
      </c>
    </row>
    <row r="78" spans="1:10" ht="12.75" customHeight="1">
      <c r="A78" s="1">
        <v>46203</v>
      </c>
      <c r="B78" s="2">
        <v>9</v>
      </c>
      <c r="C78" s="7">
        <v>-4.5048544262859798</v>
      </c>
      <c r="D78" s="7">
        <v>-3.4925060000000001</v>
      </c>
      <c r="E78" s="7">
        <v>-0.66516175628597696</v>
      </c>
      <c r="F78" s="7">
        <f t="shared" si="3"/>
        <v>4.5048544262859798</v>
      </c>
      <c r="G78" s="7">
        <f t="shared" si="4"/>
        <v>3.4925060000000001</v>
      </c>
      <c r="H78" s="7">
        <f t="shared" si="5"/>
        <v>1.0123484262859797</v>
      </c>
      <c r="I78" s="8">
        <v>0.28986304570013</v>
      </c>
      <c r="J78" s="2" t="s">
        <v>65</v>
      </c>
    </row>
    <row r="79" spans="1:10" ht="12.75" customHeight="1">
      <c r="A79" s="1">
        <v>46193</v>
      </c>
      <c r="B79" s="2">
        <v>11</v>
      </c>
      <c r="C79" s="7">
        <v>-3.43208151760633</v>
      </c>
      <c r="D79" s="7">
        <v>-2.661111</v>
      </c>
      <c r="E79" s="7">
        <v>0.143695323393675</v>
      </c>
      <c r="F79" s="7">
        <f t="shared" si="3"/>
        <v>3.43208151760633</v>
      </c>
      <c r="G79" s="7">
        <f t="shared" si="4"/>
        <v>2.661111</v>
      </c>
      <c r="H79" s="7">
        <f t="shared" si="5"/>
        <v>0.77097051760632995</v>
      </c>
      <c r="I79" s="8">
        <v>0.28971753437054099</v>
      </c>
      <c r="J79" s="2" t="s">
        <v>65</v>
      </c>
    </row>
    <row r="80" spans="1:10" ht="12.75" customHeight="1">
      <c r="A80" s="1">
        <v>46185</v>
      </c>
      <c r="B80" s="2">
        <v>10</v>
      </c>
      <c r="C80" s="7">
        <v>-5.1065530128535404</v>
      </c>
      <c r="D80" s="7">
        <v>-3.968051</v>
      </c>
      <c r="E80" s="7">
        <v>-1.03111036485354</v>
      </c>
      <c r="F80" s="7">
        <f t="shared" si="3"/>
        <v>5.1065530128535404</v>
      </c>
      <c r="G80" s="7">
        <f t="shared" si="4"/>
        <v>3.968051</v>
      </c>
      <c r="H80" s="7">
        <f t="shared" si="5"/>
        <v>1.1385020128535404</v>
      </c>
      <c r="I80" s="8">
        <v>0.286917182479141</v>
      </c>
      <c r="J80" s="2" t="s">
        <v>65</v>
      </c>
    </row>
    <row r="81" spans="1:10" ht="12.75" customHeight="1">
      <c r="A81" s="1">
        <v>46193</v>
      </c>
      <c r="B81" s="2">
        <v>14</v>
      </c>
      <c r="C81" s="7">
        <v>-3.8129533733723702</v>
      </c>
      <c r="D81" s="7">
        <v>-2.9645540000000001</v>
      </c>
      <c r="E81" s="7">
        <v>-8.6916605372365299E-2</v>
      </c>
      <c r="F81" s="7">
        <f t="shared" si="3"/>
        <v>3.8129533733723702</v>
      </c>
      <c r="G81" s="7">
        <f t="shared" si="4"/>
        <v>2.9645540000000001</v>
      </c>
      <c r="H81" s="7">
        <f t="shared" si="5"/>
        <v>0.84839937337237004</v>
      </c>
      <c r="I81" s="8">
        <v>0.28618111640818999</v>
      </c>
      <c r="J81" s="2" t="s">
        <v>65</v>
      </c>
    </row>
    <row r="82" spans="1:10" ht="12.75" customHeight="1">
      <c r="A82" s="1">
        <v>46183</v>
      </c>
      <c r="B82" s="2">
        <v>15</v>
      </c>
      <c r="C82" s="7">
        <v>-5.1088937990768502</v>
      </c>
      <c r="D82" s="7">
        <v>-3.9725799999999998</v>
      </c>
      <c r="E82" s="7">
        <v>-0.858898315076848</v>
      </c>
      <c r="F82" s="7">
        <f t="shared" si="3"/>
        <v>5.1088937990768502</v>
      </c>
      <c r="G82" s="7">
        <f t="shared" si="4"/>
        <v>3.9725799999999998</v>
      </c>
      <c r="H82" s="7">
        <f t="shared" si="5"/>
        <v>1.1363137990768504</v>
      </c>
      <c r="I82" s="8">
        <v>0.28603924881987203</v>
      </c>
      <c r="J82" s="2" t="s">
        <v>65</v>
      </c>
    </row>
    <row r="83" spans="1:10" ht="12.75" customHeight="1">
      <c r="A83" s="1">
        <v>46176</v>
      </c>
      <c r="B83" s="2">
        <v>18</v>
      </c>
      <c r="C83" s="7">
        <v>-4.7488461893552101</v>
      </c>
      <c r="D83" s="7">
        <v>-3.7008399999999999</v>
      </c>
      <c r="E83" s="7">
        <v>-0.89200478435520802</v>
      </c>
      <c r="F83" s="7">
        <f t="shared" si="3"/>
        <v>4.7488461893552101</v>
      </c>
      <c r="G83" s="7">
        <f t="shared" si="4"/>
        <v>3.7008399999999999</v>
      </c>
      <c r="H83" s="7">
        <f t="shared" si="5"/>
        <v>1.0480061893552102</v>
      </c>
      <c r="I83" s="8">
        <v>0.28318062638622798</v>
      </c>
      <c r="J83" s="2" t="s">
        <v>65</v>
      </c>
    </row>
    <row r="84" spans="1:10" ht="12.75" customHeight="1">
      <c r="A84" s="1">
        <v>46194</v>
      </c>
      <c r="B84" s="2">
        <v>10</v>
      </c>
      <c r="C84" s="7">
        <v>-2.5243521011349102</v>
      </c>
      <c r="D84" s="7">
        <v>-3.5157980000000002</v>
      </c>
      <c r="E84" s="7">
        <v>2.0403635928650901</v>
      </c>
      <c r="F84" s="7">
        <f t="shared" si="3"/>
        <v>2.5243521011349102</v>
      </c>
      <c r="G84" s="7">
        <f t="shared" si="4"/>
        <v>3.5157980000000002</v>
      </c>
      <c r="H84" s="7">
        <f t="shared" si="5"/>
        <v>0.99144589886509005</v>
      </c>
      <c r="I84" s="8">
        <v>0.28199740112062499</v>
      </c>
      <c r="J84" s="2" t="s">
        <v>65</v>
      </c>
    </row>
    <row r="85" spans="1:10" ht="12.75" customHeight="1">
      <c r="A85" s="1">
        <v>46185</v>
      </c>
      <c r="B85" s="2">
        <v>12</v>
      </c>
      <c r="C85" s="7">
        <v>-4.6353547998142002</v>
      </c>
      <c r="D85" s="7">
        <v>-3.6199650000000001</v>
      </c>
      <c r="E85" s="7">
        <v>-0.81918924961419604</v>
      </c>
      <c r="F85" s="7">
        <f t="shared" si="3"/>
        <v>4.6353547998142002</v>
      </c>
      <c r="G85" s="7">
        <f t="shared" si="4"/>
        <v>3.6199650000000001</v>
      </c>
      <c r="H85" s="7">
        <f t="shared" si="5"/>
        <v>1.0153897998142001</v>
      </c>
      <c r="I85" s="8">
        <v>0.28049713182701902</v>
      </c>
      <c r="J85" s="2" t="s">
        <v>65</v>
      </c>
    </row>
    <row r="86" spans="1:10" ht="12.75" customHeight="1">
      <c r="A86" s="1">
        <v>46195</v>
      </c>
      <c r="B86" s="2">
        <v>10</v>
      </c>
      <c r="C86" s="7">
        <v>-4.5461814986074103</v>
      </c>
      <c r="D86" s="7">
        <v>-3.5526770000000001</v>
      </c>
      <c r="E86" s="7">
        <v>-0.33289873560741101</v>
      </c>
      <c r="F86" s="7">
        <f t="shared" si="3"/>
        <v>4.5461814986074103</v>
      </c>
      <c r="G86" s="7">
        <f t="shared" si="4"/>
        <v>3.5526770000000001</v>
      </c>
      <c r="H86" s="7">
        <f t="shared" si="5"/>
        <v>0.99350449860741019</v>
      </c>
      <c r="I86" s="8">
        <v>0.27964954275533899</v>
      </c>
      <c r="J86" s="2" t="s">
        <v>65</v>
      </c>
    </row>
    <row r="87" spans="1:10" ht="12.75" customHeight="1">
      <c r="A87" s="1">
        <v>46182</v>
      </c>
      <c r="B87" s="2">
        <v>16</v>
      </c>
      <c r="C87" s="7">
        <v>-4.50947858371606</v>
      </c>
      <c r="D87" s="7">
        <v>-3.5242089999999999</v>
      </c>
      <c r="E87" s="7">
        <v>-0.47221022971605597</v>
      </c>
      <c r="F87" s="7">
        <f t="shared" si="3"/>
        <v>4.50947858371606</v>
      </c>
      <c r="G87" s="7">
        <f t="shared" si="4"/>
        <v>3.5242089999999999</v>
      </c>
      <c r="H87" s="7">
        <f t="shared" si="5"/>
        <v>0.9852695837160601</v>
      </c>
      <c r="I87" s="8">
        <v>0.27957183689050702</v>
      </c>
      <c r="J87" s="2" t="s">
        <v>65</v>
      </c>
    </row>
    <row r="88" spans="1:10" ht="12.75" customHeight="1">
      <c r="A88" s="1">
        <v>46175</v>
      </c>
      <c r="B88" s="2">
        <v>12</v>
      </c>
      <c r="C88" s="7">
        <v>-3.6591334910331499</v>
      </c>
      <c r="D88" s="7">
        <v>-2.8603869999999998</v>
      </c>
      <c r="E88" s="7">
        <v>-9.7853332033144794E-2</v>
      </c>
      <c r="F88" s="7">
        <f t="shared" si="3"/>
        <v>3.6591334910331499</v>
      </c>
      <c r="G88" s="7">
        <f t="shared" si="4"/>
        <v>2.8603869999999998</v>
      </c>
      <c r="H88" s="7">
        <f t="shared" si="5"/>
        <v>0.7987464910331501</v>
      </c>
      <c r="I88" s="8">
        <v>0.279244204030135</v>
      </c>
      <c r="J88" s="2" t="s">
        <v>65</v>
      </c>
    </row>
    <row r="89" spans="1:10" ht="12.75" customHeight="1">
      <c r="A89" s="1">
        <v>46182</v>
      </c>
      <c r="B89" s="2">
        <v>24</v>
      </c>
      <c r="C89" s="7">
        <v>-4.69318442716839</v>
      </c>
      <c r="D89" s="7">
        <v>-3.6691370000000001</v>
      </c>
      <c r="E89" s="7">
        <v>-1.0240474271683899</v>
      </c>
      <c r="F89" s="7">
        <f t="shared" si="3"/>
        <v>4.69318442716839</v>
      </c>
      <c r="G89" s="7">
        <f t="shared" si="4"/>
        <v>3.6691370000000001</v>
      </c>
      <c r="H89" s="7">
        <f t="shared" si="5"/>
        <v>1.0240474271683899</v>
      </c>
      <c r="I89" s="8">
        <v>0.279097626272442</v>
      </c>
      <c r="J89" s="2" t="s">
        <v>65</v>
      </c>
    </row>
    <row r="90" spans="1:10" ht="12.75" customHeight="1">
      <c r="A90" s="1">
        <v>46175</v>
      </c>
      <c r="B90" s="2">
        <v>17</v>
      </c>
      <c r="C90" s="7">
        <v>-3.9990557377810698</v>
      </c>
      <c r="D90" s="7">
        <v>-3.1411850000000001</v>
      </c>
      <c r="E90" s="7">
        <v>-0.43541985178106501</v>
      </c>
      <c r="F90" s="7">
        <f t="shared" si="3"/>
        <v>3.9990557377810698</v>
      </c>
      <c r="G90" s="7">
        <f t="shared" si="4"/>
        <v>3.1411850000000001</v>
      </c>
      <c r="H90" s="7">
        <f t="shared" si="5"/>
        <v>0.8578707377810697</v>
      </c>
      <c r="I90" s="8">
        <v>0.27310417494705502</v>
      </c>
      <c r="J90" s="2" t="s">
        <v>65</v>
      </c>
    </row>
    <row r="91" spans="1:10" ht="12.75" customHeight="1">
      <c r="A91" s="1">
        <v>46185</v>
      </c>
      <c r="B91" s="2">
        <v>13</v>
      </c>
      <c r="C91" s="7">
        <v>-4.5439560575299902</v>
      </c>
      <c r="D91" s="7">
        <v>-3.5733809999999999</v>
      </c>
      <c r="E91" s="7">
        <v>-0.79837937192999098</v>
      </c>
      <c r="F91" s="7">
        <f t="shared" si="3"/>
        <v>4.5439560575299902</v>
      </c>
      <c r="G91" s="7">
        <f t="shared" si="4"/>
        <v>3.5733809999999999</v>
      </c>
      <c r="H91" s="7">
        <f t="shared" si="5"/>
        <v>0.97057505752999029</v>
      </c>
      <c r="I91" s="8">
        <v>0.27161253096996701</v>
      </c>
      <c r="J91" s="2" t="s">
        <v>65</v>
      </c>
    </row>
    <row r="92" spans="1:10" ht="12.75" customHeight="1">
      <c r="A92" s="1">
        <v>46187</v>
      </c>
      <c r="B92" s="2">
        <v>12</v>
      </c>
      <c r="C92" s="7">
        <v>-2.6077198581607899</v>
      </c>
      <c r="D92" s="7">
        <v>-3.5792039999999998</v>
      </c>
      <c r="E92" s="7">
        <v>2.0127084882392099</v>
      </c>
      <c r="F92" s="7">
        <f t="shared" si="3"/>
        <v>2.6077198581607899</v>
      </c>
      <c r="G92" s="7">
        <f t="shared" si="4"/>
        <v>3.5792039999999998</v>
      </c>
      <c r="H92" s="7">
        <f t="shared" si="5"/>
        <v>0.97148414183920995</v>
      </c>
      <c r="I92" s="8">
        <v>0.27142463571207798</v>
      </c>
      <c r="J92" s="2" t="s">
        <v>65</v>
      </c>
    </row>
    <row r="93" spans="1:10" ht="12.75" customHeight="1">
      <c r="A93" s="1">
        <v>46180</v>
      </c>
      <c r="B93" s="2">
        <v>10</v>
      </c>
      <c r="C93" s="7">
        <v>-2.6180355802078501</v>
      </c>
      <c r="D93" s="7">
        <v>-3.5837330000000001</v>
      </c>
      <c r="E93" s="7">
        <v>1.86202236359215</v>
      </c>
      <c r="F93" s="7">
        <f t="shared" si="3"/>
        <v>2.6180355802078501</v>
      </c>
      <c r="G93" s="7">
        <f t="shared" si="4"/>
        <v>3.5837330000000001</v>
      </c>
      <c r="H93" s="7">
        <f t="shared" si="5"/>
        <v>0.96569741979214996</v>
      </c>
      <c r="I93" s="8">
        <v>0.26946689940130902</v>
      </c>
      <c r="J93" s="2" t="s">
        <v>65</v>
      </c>
    </row>
    <row r="94" spans="1:10" ht="12.75" customHeight="1">
      <c r="A94" s="1">
        <v>46176</v>
      </c>
      <c r="B94" s="2">
        <v>10</v>
      </c>
      <c r="C94" s="7">
        <v>-3.8563248509422201</v>
      </c>
      <c r="D94" s="7">
        <v>-3.0467230000000001</v>
      </c>
      <c r="E94" s="7">
        <v>-0.25538553294222099</v>
      </c>
      <c r="F94" s="7">
        <f t="shared" si="3"/>
        <v>3.8563248509422201</v>
      </c>
      <c r="G94" s="7">
        <f t="shared" si="4"/>
        <v>3.0467230000000001</v>
      </c>
      <c r="H94" s="7">
        <f t="shared" si="5"/>
        <v>0.80960185094222004</v>
      </c>
      <c r="I94" s="8">
        <v>0.26572873574073602</v>
      </c>
      <c r="J94" s="2" t="s">
        <v>65</v>
      </c>
    </row>
    <row r="95" spans="1:10" ht="12.75" customHeight="1">
      <c r="A95" s="1">
        <v>46187</v>
      </c>
      <c r="B95" s="2">
        <v>13</v>
      </c>
      <c r="C95" s="7">
        <v>-2.6495659056392298</v>
      </c>
      <c r="D95" s="7">
        <v>-3.6018490000000001</v>
      </c>
      <c r="E95" s="7">
        <v>2.0747417845607701</v>
      </c>
      <c r="F95" s="7">
        <f t="shared" si="3"/>
        <v>2.6495659056392298</v>
      </c>
      <c r="G95" s="7">
        <f t="shared" si="4"/>
        <v>3.6018490000000001</v>
      </c>
      <c r="H95" s="7">
        <f t="shared" si="5"/>
        <v>0.9522830943607703</v>
      </c>
      <c r="I95" s="8">
        <v>0.26438728951734702</v>
      </c>
      <c r="J95" s="2" t="s">
        <v>65</v>
      </c>
    </row>
    <row r="96" spans="1:10" ht="12.75" customHeight="1">
      <c r="A96" s="1">
        <v>46184</v>
      </c>
      <c r="B96" s="2">
        <v>7</v>
      </c>
      <c r="C96" s="7">
        <v>-3.36284520402255</v>
      </c>
      <c r="D96" s="7">
        <v>-2.6636989999999998</v>
      </c>
      <c r="E96" s="7">
        <v>-0.65902392242255403</v>
      </c>
      <c r="F96" s="7">
        <f t="shared" si="3"/>
        <v>3.36284520402255</v>
      </c>
      <c r="G96" s="7">
        <f t="shared" si="4"/>
        <v>2.6636989999999998</v>
      </c>
      <c r="H96" s="7">
        <f t="shared" si="5"/>
        <v>0.69914620402255023</v>
      </c>
      <c r="I96" s="8">
        <v>0.262471924951939</v>
      </c>
      <c r="J96" s="2" t="s">
        <v>65</v>
      </c>
    </row>
    <row r="97" spans="1:10" ht="12.75" customHeight="1">
      <c r="A97" s="1">
        <v>46175</v>
      </c>
      <c r="B97" s="2">
        <v>10</v>
      </c>
      <c r="C97" s="7">
        <v>-3.6797285915616502</v>
      </c>
      <c r="D97" s="7">
        <v>-2.9147349999999999</v>
      </c>
      <c r="E97" s="7">
        <v>-0.24076701756164501</v>
      </c>
      <c r="F97" s="7">
        <f t="shared" si="3"/>
        <v>3.6797285915616502</v>
      </c>
      <c r="G97" s="7">
        <f t="shared" si="4"/>
        <v>2.9147349999999999</v>
      </c>
      <c r="H97" s="7">
        <f t="shared" si="5"/>
        <v>0.76499359156165037</v>
      </c>
      <c r="I97" s="8">
        <v>0.262457338852982</v>
      </c>
      <c r="J97" s="2" t="s">
        <v>65</v>
      </c>
    </row>
    <row r="98" spans="1:10" ht="12.75" customHeight="1">
      <c r="A98" s="1">
        <v>46202</v>
      </c>
      <c r="B98" s="2">
        <v>18</v>
      </c>
      <c r="C98" s="7">
        <v>-5.9162764825563796</v>
      </c>
      <c r="D98" s="7">
        <v>-4.6965729999999999</v>
      </c>
      <c r="E98" s="7">
        <v>-1.11728402955638</v>
      </c>
      <c r="F98" s="7">
        <f t="shared" si="3"/>
        <v>5.9162764825563796</v>
      </c>
      <c r="G98" s="7">
        <f t="shared" si="4"/>
        <v>4.6965729999999999</v>
      </c>
      <c r="H98" s="7">
        <f t="shared" si="5"/>
        <v>1.2197034825563797</v>
      </c>
      <c r="I98" s="8">
        <v>0.25970073978545299</v>
      </c>
      <c r="J98" s="2" t="s">
        <v>65</v>
      </c>
    </row>
    <row r="99" spans="1:10" ht="12.75" customHeight="1">
      <c r="A99" s="1">
        <v>46177</v>
      </c>
      <c r="B99" s="2">
        <v>6</v>
      </c>
      <c r="C99" s="7">
        <v>-3.6202013961991102</v>
      </c>
      <c r="D99" s="7">
        <v>-2.8746209999999999</v>
      </c>
      <c r="E99" s="7">
        <v>-0.745003272199113</v>
      </c>
      <c r="F99" s="7">
        <f t="shared" si="3"/>
        <v>3.6202013961991102</v>
      </c>
      <c r="G99" s="7">
        <f t="shared" si="4"/>
        <v>2.8746209999999999</v>
      </c>
      <c r="H99" s="7">
        <f t="shared" si="5"/>
        <v>0.74558039619911032</v>
      </c>
      <c r="I99" s="8">
        <v>0.25936650299260799</v>
      </c>
      <c r="J99" s="2" t="s">
        <v>65</v>
      </c>
    </row>
    <row r="100" spans="1:10" ht="12.75" customHeight="1">
      <c r="A100" s="1">
        <v>46186</v>
      </c>
      <c r="B100" s="2">
        <v>7</v>
      </c>
      <c r="C100" s="7">
        <v>-2.92610857891819</v>
      </c>
      <c r="D100" s="7">
        <v>-3.9441120000000001</v>
      </c>
      <c r="E100" s="7">
        <v>1.13052280288181</v>
      </c>
      <c r="F100" s="7">
        <f t="shared" si="3"/>
        <v>2.92610857891819</v>
      </c>
      <c r="G100" s="7">
        <f t="shared" si="4"/>
        <v>3.9441120000000001</v>
      </c>
      <c r="H100" s="7">
        <f t="shared" si="5"/>
        <v>1.0180034210818101</v>
      </c>
      <c r="I100" s="8">
        <v>0.25810712806376002</v>
      </c>
      <c r="J100" s="2" t="s">
        <v>65</v>
      </c>
    </row>
    <row r="101" spans="1:10" ht="12.75" customHeight="1">
      <c r="A101" s="1">
        <v>46186</v>
      </c>
      <c r="B101" s="2">
        <v>8</v>
      </c>
      <c r="C101" s="7">
        <v>-2.84212547426859</v>
      </c>
      <c r="D101" s="7">
        <v>-3.8263579999999999</v>
      </c>
      <c r="E101" s="7">
        <v>1.4721520477314101</v>
      </c>
      <c r="F101" s="7">
        <f t="shared" si="3"/>
        <v>2.84212547426859</v>
      </c>
      <c r="G101" s="7">
        <f t="shared" si="4"/>
        <v>3.8263579999999999</v>
      </c>
      <c r="H101" s="7">
        <f t="shared" si="5"/>
        <v>0.98423252573140996</v>
      </c>
      <c r="I101" s="8">
        <v>0.25722436994432002</v>
      </c>
      <c r="J101" s="2" t="s">
        <v>65</v>
      </c>
    </row>
    <row r="102" spans="1:10" ht="12.75" customHeight="1">
      <c r="A102" s="1">
        <v>46183</v>
      </c>
      <c r="B102" s="2">
        <v>13</v>
      </c>
      <c r="C102" s="7">
        <v>-4.2605110279070297</v>
      </c>
      <c r="D102" s="7">
        <v>-3.392868</v>
      </c>
      <c r="E102" s="7">
        <v>-0.223354993107033</v>
      </c>
      <c r="F102" s="7">
        <f t="shared" si="3"/>
        <v>4.2605110279070297</v>
      </c>
      <c r="G102" s="7">
        <f t="shared" si="4"/>
        <v>3.392868</v>
      </c>
      <c r="H102" s="7">
        <f t="shared" si="5"/>
        <v>0.86764302790702974</v>
      </c>
      <c r="I102" s="8">
        <v>0.25572554779821499</v>
      </c>
      <c r="J102" s="2" t="s">
        <v>65</v>
      </c>
    </row>
    <row r="103" spans="1:10" ht="12.75" customHeight="1">
      <c r="A103" s="1">
        <v>46187</v>
      </c>
      <c r="B103" s="2">
        <v>15</v>
      </c>
      <c r="C103" s="7">
        <v>-2.7404260300988001</v>
      </c>
      <c r="D103" s="7">
        <v>-3.676901</v>
      </c>
      <c r="E103" s="7">
        <v>2.0485112665012002</v>
      </c>
      <c r="F103" s="7">
        <f t="shared" si="3"/>
        <v>2.7404260300988001</v>
      </c>
      <c r="G103" s="7">
        <f t="shared" si="4"/>
        <v>3.676901</v>
      </c>
      <c r="H103" s="7">
        <f t="shared" si="5"/>
        <v>0.93647496990119983</v>
      </c>
      <c r="I103" s="8">
        <v>0.25469137458452101</v>
      </c>
      <c r="J103" s="2" t="s">
        <v>65</v>
      </c>
    </row>
    <row r="104" spans="1:10" ht="12.75" customHeight="1">
      <c r="A104" s="1">
        <v>46178</v>
      </c>
      <c r="B104" s="2">
        <v>11</v>
      </c>
      <c r="C104" s="7">
        <v>-3.6541103354103099</v>
      </c>
      <c r="D104" s="7">
        <v>-2.9134410000000002</v>
      </c>
      <c r="E104" s="7">
        <v>2.46197335896867E-2</v>
      </c>
      <c r="F104" s="7">
        <f t="shared" si="3"/>
        <v>3.6541103354103099</v>
      </c>
      <c r="G104" s="7">
        <f t="shared" si="4"/>
        <v>2.9134410000000002</v>
      </c>
      <c r="H104" s="7">
        <f t="shared" si="5"/>
        <v>0.74066933541030977</v>
      </c>
      <c r="I104" s="8">
        <v>0.25422493038654798</v>
      </c>
      <c r="J104" s="2" t="s">
        <v>65</v>
      </c>
    </row>
    <row r="105" spans="1:10" ht="12.75" customHeight="1">
      <c r="A105" s="1">
        <v>46191</v>
      </c>
      <c r="B105" s="2">
        <v>13</v>
      </c>
      <c r="C105" s="7">
        <v>-4.7176745712739203</v>
      </c>
      <c r="D105" s="7">
        <v>-3.7629519999999999</v>
      </c>
      <c r="E105" s="7">
        <v>-0.54067103927392102</v>
      </c>
      <c r="F105" s="7">
        <f t="shared" si="3"/>
        <v>4.7176745712739203</v>
      </c>
      <c r="G105" s="7">
        <f t="shared" si="4"/>
        <v>3.7629519999999999</v>
      </c>
      <c r="H105" s="7">
        <f t="shared" si="5"/>
        <v>0.95472257127392046</v>
      </c>
      <c r="I105" s="8">
        <v>0.25371638311461903</v>
      </c>
      <c r="J105" s="2" t="s">
        <v>65</v>
      </c>
    </row>
    <row r="106" spans="1:10" ht="12.75" customHeight="1">
      <c r="A106" s="1">
        <v>46199</v>
      </c>
      <c r="B106" s="2">
        <v>9</v>
      </c>
      <c r="C106" s="7">
        <v>-4.4540698222017898</v>
      </c>
      <c r="D106" s="7">
        <v>-3.5552649999999999</v>
      </c>
      <c r="E106" s="7">
        <v>-0.315741362201785</v>
      </c>
      <c r="F106" s="7">
        <f t="shared" si="3"/>
        <v>4.4540698222017898</v>
      </c>
      <c r="G106" s="7">
        <f t="shared" si="4"/>
        <v>3.5552649999999999</v>
      </c>
      <c r="H106" s="7">
        <f t="shared" si="5"/>
        <v>0.89880482220178992</v>
      </c>
      <c r="I106" s="8">
        <v>0.25280951552184899</v>
      </c>
      <c r="J106" s="2" t="s">
        <v>65</v>
      </c>
    </row>
    <row r="107" spans="1:10" ht="12.75" customHeight="1">
      <c r="A107" s="1">
        <v>46187</v>
      </c>
      <c r="B107" s="2">
        <v>16</v>
      </c>
      <c r="C107" s="7">
        <v>-2.8014104393813302</v>
      </c>
      <c r="D107" s="7">
        <v>-3.7254260000000001</v>
      </c>
      <c r="E107" s="7">
        <v>1.9419955262186701</v>
      </c>
      <c r="F107" s="7">
        <f t="shared" si="3"/>
        <v>2.8014104393813302</v>
      </c>
      <c r="G107" s="7">
        <f t="shared" si="4"/>
        <v>3.7254260000000001</v>
      </c>
      <c r="H107" s="7">
        <f t="shared" si="5"/>
        <v>0.92401556061866996</v>
      </c>
      <c r="I107" s="8">
        <v>0.24802950336919</v>
      </c>
      <c r="J107" s="2" t="s">
        <v>65</v>
      </c>
    </row>
    <row r="108" spans="1:10" ht="12.75" customHeight="1">
      <c r="A108" s="1">
        <v>46185</v>
      </c>
      <c r="B108" s="2">
        <v>7</v>
      </c>
      <c r="C108" s="7">
        <v>-4.04282971489822</v>
      </c>
      <c r="D108" s="7">
        <v>-3.2395290000000001</v>
      </c>
      <c r="E108" s="7">
        <v>-0.80050166349821505</v>
      </c>
      <c r="F108" s="7">
        <f t="shared" si="3"/>
        <v>4.04282971489822</v>
      </c>
      <c r="G108" s="7">
        <f t="shared" si="4"/>
        <v>3.2395290000000001</v>
      </c>
      <c r="H108" s="7">
        <f t="shared" si="5"/>
        <v>0.80330071489821986</v>
      </c>
      <c r="I108" s="8">
        <v>0.24796836666633201</v>
      </c>
      <c r="J108" s="2" t="s">
        <v>65</v>
      </c>
    </row>
    <row r="109" spans="1:10" ht="12.75" customHeight="1">
      <c r="A109" s="1">
        <v>46197</v>
      </c>
      <c r="B109" s="2">
        <v>9</v>
      </c>
      <c r="C109" s="7">
        <v>-3.9461377529242498</v>
      </c>
      <c r="D109" s="7">
        <v>-3.1657709999999999</v>
      </c>
      <c r="E109" s="7">
        <v>-0.30249384692424502</v>
      </c>
      <c r="F109" s="7">
        <f t="shared" si="3"/>
        <v>3.9461377529242498</v>
      </c>
      <c r="G109" s="7">
        <f t="shared" si="4"/>
        <v>3.1657709999999999</v>
      </c>
      <c r="H109" s="7">
        <f t="shared" si="5"/>
        <v>0.78036675292424995</v>
      </c>
      <c r="I109" s="8">
        <v>0.24650132714092199</v>
      </c>
      <c r="J109" s="2" t="s">
        <v>65</v>
      </c>
    </row>
    <row r="110" spans="1:10" ht="12.75" customHeight="1">
      <c r="A110" s="1">
        <v>46175</v>
      </c>
      <c r="B110" s="2">
        <v>8</v>
      </c>
      <c r="C110" s="7">
        <v>-3.3954151004018098</v>
      </c>
      <c r="D110" s="7">
        <v>-2.7258110000000002</v>
      </c>
      <c r="E110" s="7">
        <v>-0.62317538040180798</v>
      </c>
      <c r="F110" s="7">
        <f t="shared" si="3"/>
        <v>3.3954151004018098</v>
      </c>
      <c r="G110" s="7">
        <f t="shared" si="4"/>
        <v>2.7258110000000002</v>
      </c>
      <c r="H110" s="7">
        <f t="shared" si="5"/>
        <v>0.66960410040180962</v>
      </c>
      <c r="I110" s="8">
        <v>0.245653165388873</v>
      </c>
      <c r="J110" s="2" t="s">
        <v>65</v>
      </c>
    </row>
    <row r="111" spans="1:10" ht="12.75" customHeight="1">
      <c r="A111" s="1">
        <v>46177</v>
      </c>
      <c r="B111" s="2">
        <v>15</v>
      </c>
      <c r="C111" s="7">
        <v>-4.3961898468524998</v>
      </c>
      <c r="D111" s="7">
        <v>-3.5306790000000001</v>
      </c>
      <c r="E111" s="7">
        <v>-0.46132865285249902</v>
      </c>
      <c r="F111" s="7">
        <f t="shared" si="3"/>
        <v>4.3961898468524998</v>
      </c>
      <c r="G111" s="7">
        <f t="shared" si="4"/>
        <v>3.5306790000000001</v>
      </c>
      <c r="H111" s="7">
        <f t="shared" si="5"/>
        <v>0.86551084685249968</v>
      </c>
      <c r="I111" s="8">
        <v>0.24514005573786199</v>
      </c>
      <c r="J111" s="2" t="s">
        <v>65</v>
      </c>
    </row>
    <row r="112" spans="1:10" ht="12.75" customHeight="1">
      <c r="A112" s="1">
        <v>46202</v>
      </c>
      <c r="B112" s="2">
        <v>11</v>
      </c>
      <c r="C112" s="7">
        <v>-4.6884482429436796</v>
      </c>
      <c r="D112" s="7">
        <v>-3.7745980000000001</v>
      </c>
      <c r="E112" s="7">
        <v>-0.31268113494368399</v>
      </c>
      <c r="F112" s="7">
        <f t="shared" si="3"/>
        <v>4.6884482429436796</v>
      </c>
      <c r="G112" s="7">
        <f t="shared" si="4"/>
        <v>3.7745980000000001</v>
      </c>
      <c r="H112" s="7">
        <f t="shared" si="5"/>
        <v>0.91385024294367945</v>
      </c>
      <c r="I112" s="8">
        <v>0.24210531636579199</v>
      </c>
      <c r="J112" s="2" t="s">
        <v>65</v>
      </c>
    </row>
    <row r="113" spans="1:10" ht="12.75" customHeight="1">
      <c r="A113" s="1">
        <v>46181</v>
      </c>
      <c r="B113" s="2">
        <v>15</v>
      </c>
      <c r="C113" s="7">
        <v>-4.4761845481588303</v>
      </c>
      <c r="D113" s="7">
        <v>-3.6050840000000002</v>
      </c>
      <c r="E113" s="7">
        <v>-0.392759861158826</v>
      </c>
      <c r="F113" s="7">
        <f t="shared" si="3"/>
        <v>4.4761845481588303</v>
      </c>
      <c r="G113" s="7">
        <f t="shared" si="4"/>
        <v>3.6050840000000002</v>
      </c>
      <c r="H113" s="7">
        <f t="shared" si="5"/>
        <v>0.87110054815883009</v>
      </c>
      <c r="I113" s="8">
        <v>0.24163113762642599</v>
      </c>
      <c r="J113" s="2" t="s">
        <v>65</v>
      </c>
    </row>
    <row r="114" spans="1:10" ht="12.75" customHeight="1">
      <c r="A114" s="1">
        <v>46191</v>
      </c>
      <c r="B114" s="2">
        <v>8</v>
      </c>
      <c r="C114" s="7">
        <v>-3.08438218180184</v>
      </c>
      <c r="D114" s="7">
        <v>-4.066395</v>
      </c>
      <c r="E114" s="7">
        <v>1.2126663771981601</v>
      </c>
      <c r="F114" s="7">
        <f t="shared" si="3"/>
        <v>3.08438218180184</v>
      </c>
      <c r="G114" s="7">
        <f t="shared" si="4"/>
        <v>4.066395</v>
      </c>
      <c r="H114" s="7">
        <f t="shared" si="5"/>
        <v>0.98201281819816</v>
      </c>
      <c r="I114" s="8">
        <v>0.24149469448938399</v>
      </c>
      <c r="J114" s="2" t="s">
        <v>65</v>
      </c>
    </row>
    <row r="115" spans="1:10" ht="12.75" customHeight="1">
      <c r="A115" s="1">
        <v>46187</v>
      </c>
      <c r="B115" s="2">
        <v>14</v>
      </c>
      <c r="C115" s="7">
        <v>-2.7603000189501299</v>
      </c>
      <c r="D115" s="7">
        <v>-3.636787</v>
      </c>
      <c r="E115" s="7">
        <v>2.0305099544498799</v>
      </c>
      <c r="F115" s="7">
        <f t="shared" si="3"/>
        <v>2.7603000189501299</v>
      </c>
      <c r="G115" s="7">
        <f t="shared" si="4"/>
        <v>3.636787</v>
      </c>
      <c r="H115" s="7">
        <f t="shared" si="5"/>
        <v>0.87648698104987011</v>
      </c>
      <c r="I115" s="8">
        <v>0.24100586068138599</v>
      </c>
      <c r="J115" s="2" t="s">
        <v>65</v>
      </c>
    </row>
    <row r="116" spans="1:10" ht="12.75" customHeight="1">
      <c r="A116" s="1">
        <v>46177</v>
      </c>
      <c r="B116" s="2">
        <v>10</v>
      </c>
      <c r="C116" s="7">
        <v>-4.2306290721376296</v>
      </c>
      <c r="D116" s="7">
        <v>-3.4096899999999999</v>
      </c>
      <c r="E116" s="7">
        <v>-0.60092801613762903</v>
      </c>
      <c r="F116" s="7">
        <f t="shared" si="3"/>
        <v>4.2306290721376296</v>
      </c>
      <c r="G116" s="7">
        <f t="shared" si="4"/>
        <v>3.4096899999999999</v>
      </c>
      <c r="H116" s="7">
        <f t="shared" si="5"/>
        <v>0.82093907213762973</v>
      </c>
      <c r="I116" s="8">
        <v>0.24076648379695201</v>
      </c>
      <c r="J116" s="2" t="s">
        <v>65</v>
      </c>
    </row>
    <row r="117" spans="1:10" ht="12.75" customHeight="1">
      <c r="A117" s="1">
        <v>46196</v>
      </c>
      <c r="B117" s="2">
        <v>12</v>
      </c>
      <c r="C117" s="7">
        <v>-4.3605542047946999</v>
      </c>
      <c r="D117" s="7">
        <v>-3.5190329999999999</v>
      </c>
      <c r="E117" s="7">
        <v>-0.18738181859469599</v>
      </c>
      <c r="F117" s="7">
        <f t="shared" si="3"/>
        <v>4.3605542047946999</v>
      </c>
      <c r="G117" s="7">
        <f t="shared" si="4"/>
        <v>3.5190329999999999</v>
      </c>
      <c r="H117" s="7">
        <f t="shared" si="5"/>
        <v>0.84152120479470005</v>
      </c>
      <c r="I117" s="8">
        <v>0.23913421806351201</v>
      </c>
      <c r="J117" s="2" t="s">
        <v>65</v>
      </c>
    </row>
    <row r="118" spans="1:10" ht="12.75" customHeight="1">
      <c r="A118" s="1">
        <v>46177</v>
      </c>
      <c r="B118" s="2">
        <v>11</v>
      </c>
      <c r="C118" s="7">
        <v>-3.9654512289207702</v>
      </c>
      <c r="D118" s="7">
        <v>-3.2097669999999998</v>
      </c>
      <c r="E118" s="7">
        <v>-0.250295059920767</v>
      </c>
      <c r="F118" s="7">
        <f t="shared" si="3"/>
        <v>3.9654512289207702</v>
      </c>
      <c r="G118" s="7">
        <f t="shared" si="4"/>
        <v>3.2097669999999998</v>
      </c>
      <c r="H118" s="7">
        <f t="shared" si="5"/>
        <v>0.75568422892077036</v>
      </c>
      <c r="I118" s="8">
        <v>0.23543273668174899</v>
      </c>
      <c r="J118" s="2" t="s">
        <v>65</v>
      </c>
    </row>
    <row r="119" spans="1:10" ht="12.75" customHeight="1">
      <c r="A119" s="1">
        <v>46177</v>
      </c>
      <c r="B119" s="2">
        <v>16</v>
      </c>
      <c r="C119" s="7">
        <v>-4.1471432893218498</v>
      </c>
      <c r="D119" s="7">
        <v>-3.3579300000000001</v>
      </c>
      <c r="E119" s="7">
        <v>-0.44669666532184799</v>
      </c>
      <c r="F119" s="7">
        <f t="shared" si="3"/>
        <v>4.1471432893218498</v>
      </c>
      <c r="G119" s="7">
        <f t="shared" si="4"/>
        <v>3.3579300000000001</v>
      </c>
      <c r="H119" s="7">
        <f t="shared" si="5"/>
        <v>0.78921328932184975</v>
      </c>
      <c r="I119" s="8">
        <v>0.23502970262091499</v>
      </c>
      <c r="J119" s="2" t="s">
        <v>65</v>
      </c>
    </row>
    <row r="120" spans="1:10" ht="12.75" customHeight="1">
      <c r="A120" s="1">
        <v>46182</v>
      </c>
      <c r="B120" s="2">
        <v>15</v>
      </c>
      <c r="C120" s="7">
        <v>-4.5508133089724296</v>
      </c>
      <c r="D120" s="7">
        <v>-3.6879</v>
      </c>
      <c r="E120" s="7">
        <v>-0.305127491972429</v>
      </c>
      <c r="F120" s="7">
        <f t="shared" si="3"/>
        <v>4.5508133089724296</v>
      </c>
      <c r="G120" s="7">
        <f t="shared" si="4"/>
        <v>3.6879</v>
      </c>
      <c r="H120" s="7">
        <f t="shared" si="5"/>
        <v>0.86291330897242968</v>
      </c>
      <c r="I120" s="8">
        <v>0.233985007449342</v>
      </c>
      <c r="J120" s="2" t="s">
        <v>65</v>
      </c>
    </row>
    <row r="121" spans="1:10" ht="12.75" customHeight="1">
      <c r="A121" s="1">
        <v>46199</v>
      </c>
      <c r="B121" s="2">
        <v>10</v>
      </c>
      <c r="C121" s="7">
        <v>-4.6511654825948803</v>
      </c>
      <c r="D121" s="7">
        <v>-3.7739509999999998</v>
      </c>
      <c r="E121" s="7">
        <v>-0.182994481594876</v>
      </c>
      <c r="F121" s="7">
        <f t="shared" si="3"/>
        <v>4.6511654825948803</v>
      </c>
      <c r="G121" s="7">
        <f t="shared" si="4"/>
        <v>3.7739509999999998</v>
      </c>
      <c r="H121" s="7">
        <f t="shared" si="5"/>
        <v>0.87721448259488044</v>
      </c>
      <c r="I121" s="8">
        <v>0.23243928779013701</v>
      </c>
      <c r="J121" s="2" t="s">
        <v>65</v>
      </c>
    </row>
    <row r="122" spans="1:10" ht="12.75" customHeight="1">
      <c r="A122" s="1">
        <v>46177</v>
      </c>
      <c r="B122" s="2">
        <v>4</v>
      </c>
      <c r="C122" s="7">
        <v>-3.8080084420645299</v>
      </c>
      <c r="D122" s="7">
        <v>-3.09266</v>
      </c>
      <c r="E122" s="7">
        <v>-0.71534844206453096</v>
      </c>
      <c r="F122" s="7">
        <f t="shared" si="3"/>
        <v>3.8080084420645299</v>
      </c>
      <c r="G122" s="7">
        <f t="shared" si="4"/>
        <v>3.09266</v>
      </c>
      <c r="H122" s="7">
        <f t="shared" si="5"/>
        <v>0.71534844206452997</v>
      </c>
      <c r="I122" s="8">
        <v>0.23130523305650499</v>
      </c>
      <c r="J122" s="2" t="s">
        <v>65</v>
      </c>
    </row>
    <row r="123" spans="1:10" ht="12.75" customHeight="1">
      <c r="A123" s="1">
        <v>46184</v>
      </c>
      <c r="B123" s="2">
        <v>3</v>
      </c>
      <c r="C123" s="7">
        <v>-4.1768063440427703</v>
      </c>
      <c r="D123" s="7">
        <v>-3.3941620000000001</v>
      </c>
      <c r="E123" s="7">
        <v>-0.78264434404276695</v>
      </c>
      <c r="F123" s="7">
        <f t="shared" si="3"/>
        <v>4.1768063440427703</v>
      </c>
      <c r="G123" s="7">
        <f t="shared" si="4"/>
        <v>3.3941620000000001</v>
      </c>
      <c r="H123" s="7">
        <f t="shared" si="5"/>
        <v>0.78264434404277017</v>
      </c>
      <c r="I123" s="8">
        <v>0.23058544172103901</v>
      </c>
      <c r="J123" s="2" t="s">
        <v>65</v>
      </c>
    </row>
    <row r="124" spans="1:10" ht="12.75" customHeight="1">
      <c r="A124" s="1">
        <v>46193</v>
      </c>
      <c r="B124" s="2">
        <v>15</v>
      </c>
      <c r="C124" s="7">
        <v>-3.91300750173209</v>
      </c>
      <c r="D124" s="7">
        <v>-3.1825929999999998</v>
      </c>
      <c r="E124" s="7">
        <v>-4.9878550732094698E-2</v>
      </c>
      <c r="F124" s="7">
        <f t="shared" si="3"/>
        <v>3.91300750173209</v>
      </c>
      <c r="G124" s="7">
        <f t="shared" si="4"/>
        <v>3.1825929999999998</v>
      </c>
      <c r="H124" s="7">
        <f t="shared" si="5"/>
        <v>0.73041450173209022</v>
      </c>
      <c r="I124" s="8">
        <v>0.229502956153079</v>
      </c>
      <c r="J124" s="2" t="s">
        <v>65</v>
      </c>
    </row>
    <row r="125" spans="1:10" ht="12.75" customHeight="1">
      <c r="A125" s="1">
        <v>46179</v>
      </c>
      <c r="B125" s="2">
        <v>17</v>
      </c>
      <c r="C125" s="7">
        <v>-3.8032323748874299</v>
      </c>
      <c r="D125" s="7">
        <v>-3.0946009999999999</v>
      </c>
      <c r="E125" s="7">
        <v>-0.235117696087426</v>
      </c>
      <c r="F125" s="7">
        <f t="shared" si="3"/>
        <v>3.8032323748874299</v>
      </c>
      <c r="G125" s="7">
        <f t="shared" si="4"/>
        <v>3.0946009999999999</v>
      </c>
      <c r="H125" s="7">
        <f t="shared" si="5"/>
        <v>0.70863137488743</v>
      </c>
      <c r="I125" s="8">
        <v>0.22898957729524</v>
      </c>
      <c r="J125" s="2" t="s">
        <v>65</v>
      </c>
    </row>
    <row r="126" spans="1:10" ht="12.75" customHeight="1">
      <c r="A126" s="1">
        <v>46201</v>
      </c>
      <c r="B126" s="2">
        <v>10</v>
      </c>
      <c r="C126" s="7">
        <v>-2.7575051813149498</v>
      </c>
      <c r="D126" s="7">
        <v>-3.574675</v>
      </c>
      <c r="E126" s="7">
        <v>1.8457354806850499</v>
      </c>
      <c r="F126" s="7">
        <f t="shared" si="3"/>
        <v>2.7575051813149498</v>
      </c>
      <c r="G126" s="7">
        <f t="shared" si="4"/>
        <v>3.574675</v>
      </c>
      <c r="H126" s="7">
        <f t="shared" si="5"/>
        <v>0.81716981868505023</v>
      </c>
      <c r="I126" s="8">
        <v>0.22859975205719399</v>
      </c>
      <c r="J126" s="2" t="s">
        <v>65</v>
      </c>
    </row>
    <row r="127" spans="1:10" ht="12.75" customHeight="1">
      <c r="A127" s="1">
        <v>46193</v>
      </c>
      <c r="B127" s="2">
        <v>12</v>
      </c>
      <c r="C127" s="7">
        <v>-3.4381427756700802</v>
      </c>
      <c r="D127" s="7">
        <v>-2.8008630000000001</v>
      </c>
      <c r="E127" s="7">
        <v>0.33468373832992299</v>
      </c>
      <c r="F127" s="7">
        <f t="shared" si="3"/>
        <v>3.4381427756700802</v>
      </c>
      <c r="G127" s="7">
        <f t="shared" si="4"/>
        <v>2.8008630000000001</v>
      </c>
      <c r="H127" s="7">
        <f t="shared" si="5"/>
        <v>0.6372797756700801</v>
      </c>
      <c r="I127" s="8">
        <v>0.227529791949866</v>
      </c>
      <c r="J127" s="2" t="s">
        <v>65</v>
      </c>
    </row>
    <row r="128" spans="1:10" ht="12.75" customHeight="1">
      <c r="A128" s="1">
        <v>46182</v>
      </c>
      <c r="B128" s="2">
        <v>23</v>
      </c>
      <c r="C128" s="7">
        <v>-5.27892792333403</v>
      </c>
      <c r="D128" s="7">
        <v>-4.3012560000000004</v>
      </c>
      <c r="E128" s="7">
        <v>-0.97767192333402597</v>
      </c>
      <c r="F128" s="7">
        <f t="shared" si="3"/>
        <v>5.27892792333403</v>
      </c>
      <c r="G128" s="7">
        <f t="shared" si="4"/>
        <v>4.3012560000000004</v>
      </c>
      <c r="H128" s="7">
        <f t="shared" si="5"/>
        <v>0.97767192333402964</v>
      </c>
      <c r="I128" s="8">
        <v>0.227299171063993</v>
      </c>
      <c r="J128" s="2" t="s">
        <v>65</v>
      </c>
    </row>
    <row r="129" spans="1:10" ht="12.75" customHeight="1">
      <c r="A129" s="1">
        <v>46199</v>
      </c>
      <c r="B129" s="2">
        <v>16</v>
      </c>
      <c r="C129" s="7">
        <v>-5.1787949142855396</v>
      </c>
      <c r="D129" s="7">
        <v>-4.2210279999999996</v>
      </c>
      <c r="E129" s="7">
        <v>-0.23093099628553501</v>
      </c>
      <c r="F129" s="7">
        <f t="shared" si="3"/>
        <v>5.1787949142855396</v>
      </c>
      <c r="G129" s="7">
        <f t="shared" si="4"/>
        <v>4.2210279999999996</v>
      </c>
      <c r="H129" s="7">
        <f t="shared" si="5"/>
        <v>0.95776691428554006</v>
      </c>
      <c r="I129" s="8">
        <v>0.226903710253885</v>
      </c>
      <c r="J129" s="2" t="s">
        <v>65</v>
      </c>
    </row>
    <row r="130" spans="1:10" ht="12.75" customHeight="1">
      <c r="A130" s="1">
        <v>46184</v>
      </c>
      <c r="B130" s="2">
        <v>1</v>
      </c>
      <c r="C130" s="7">
        <v>-4.3801646753146501</v>
      </c>
      <c r="D130" s="7">
        <v>-3.5740280000000002</v>
      </c>
      <c r="E130" s="7">
        <v>-0.80613667531464706</v>
      </c>
      <c r="F130" s="7">
        <f t="shared" ref="F130:F193" si="6">ABS(C130)</f>
        <v>4.3801646753146501</v>
      </c>
      <c r="G130" s="7">
        <f t="shared" ref="G130:G193" si="7">ABS(D130)</f>
        <v>3.5740280000000002</v>
      </c>
      <c r="H130" s="7">
        <f t="shared" ref="H130:H193" si="8">ABS(G130-F130)</f>
        <v>0.80613667531464994</v>
      </c>
      <c r="I130" s="8">
        <v>0.22555410179065399</v>
      </c>
      <c r="J130" s="2" t="s">
        <v>65</v>
      </c>
    </row>
    <row r="131" spans="1:10" ht="12.75" customHeight="1">
      <c r="A131" s="1">
        <v>46193</v>
      </c>
      <c r="B131" s="2">
        <v>18</v>
      </c>
      <c r="C131" s="7">
        <v>-4.3585581000647799</v>
      </c>
      <c r="D131" s="7">
        <v>-3.5591469999999998</v>
      </c>
      <c r="E131" s="7">
        <v>-0.30273572706478202</v>
      </c>
      <c r="F131" s="7">
        <f t="shared" si="6"/>
        <v>4.3585581000647799</v>
      </c>
      <c r="G131" s="7">
        <f t="shared" si="7"/>
        <v>3.5591469999999998</v>
      </c>
      <c r="H131" s="7">
        <f t="shared" si="8"/>
        <v>0.79941110006478011</v>
      </c>
      <c r="I131" s="8">
        <v>0.22460749726403001</v>
      </c>
      <c r="J131" s="2" t="s">
        <v>65</v>
      </c>
    </row>
    <row r="132" spans="1:10" ht="12.75" customHeight="1">
      <c r="A132" s="1">
        <v>46200</v>
      </c>
      <c r="B132" s="2">
        <v>17</v>
      </c>
      <c r="C132" s="7">
        <v>-4.4268079934381799</v>
      </c>
      <c r="D132" s="7">
        <v>-3.618671</v>
      </c>
      <c r="E132" s="7">
        <v>-0.25090047943818</v>
      </c>
      <c r="F132" s="7">
        <f t="shared" si="6"/>
        <v>4.4268079934381799</v>
      </c>
      <c r="G132" s="7">
        <f t="shared" si="7"/>
        <v>3.618671</v>
      </c>
      <c r="H132" s="7">
        <f t="shared" si="8"/>
        <v>0.80813699343817991</v>
      </c>
      <c r="I132" s="8">
        <v>0.22332425175932799</v>
      </c>
      <c r="J132" s="2" t="s">
        <v>65</v>
      </c>
    </row>
    <row r="133" spans="1:10" ht="12.75" customHeight="1">
      <c r="A133" s="1">
        <v>46194</v>
      </c>
      <c r="B133" s="2">
        <v>11</v>
      </c>
      <c r="C133" s="7">
        <v>-2.7196273900611998</v>
      </c>
      <c r="D133" s="7">
        <v>-3.498329</v>
      </c>
      <c r="E133" s="7">
        <v>1.9019834135388101</v>
      </c>
      <c r="F133" s="7">
        <f t="shared" si="6"/>
        <v>2.7196273900611998</v>
      </c>
      <c r="G133" s="7">
        <f t="shared" si="7"/>
        <v>3.498329</v>
      </c>
      <c r="H133" s="7">
        <f t="shared" si="8"/>
        <v>0.77870160993880022</v>
      </c>
      <c r="I133" s="8">
        <v>0.22259244626185901</v>
      </c>
      <c r="J133" s="2" t="s">
        <v>65</v>
      </c>
    </row>
    <row r="134" spans="1:10" ht="12.75" customHeight="1">
      <c r="A134" s="1">
        <v>46178</v>
      </c>
      <c r="B134" s="2">
        <v>10</v>
      </c>
      <c r="C134" s="7">
        <v>-3.6385882846834701</v>
      </c>
      <c r="D134" s="7">
        <v>-2.9774940000000001</v>
      </c>
      <c r="E134" s="7">
        <v>-6.1435921683470902E-2</v>
      </c>
      <c r="F134" s="7">
        <f t="shared" si="6"/>
        <v>3.6385882846834701</v>
      </c>
      <c r="G134" s="7">
        <f t="shared" si="7"/>
        <v>2.9774940000000001</v>
      </c>
      <c r="H134" s="7">
        <f t="shared" si="8"/>
        <v>0.66109428468346998</v>
      </c>
      <c r="I134" s="8">
        <v>0.222030433876096</v>
      </c>
      <c r="J134" s="2" t="s">
        <v>65</v>
      </c>
    </row>
    <row r="135" spans="1:10" ht="12.75" customHeight="1">
      <c r="A135" s="1">
        <v>46187</v>
      </c>
      <c r="B135" s="2">
        <v>17</v>
      </c>
      <c r="C135" s="7">
        <v>-2.95821054413907</v>
      </c>
      <c r="D135" s="7">
        <v>-3.8017720000000002</v>
      </c>
      <c r="E135" s="7">
        <v>1.72194185466093</v>
      </c>
      <c r="F135" s="7">
        <f t="shared" si="6"/>
        <v>2.95821054413907</v>
      </c>
      <c r="G135" s="7">
        <f t="shared" si="7"/>
        <v>3.8017720000000002</v>
      </c>
      <c r="H135" s="7">
        <f t="shared" si="8"/>
        <v>0.84356145586093012</v>
      </c>
      <c r="I135" s="8">
        <v>0.221886387679463</v>
      </c>
      <c r="J135" s="2" t="s">
        <v>65</v>
      </c>
    </row>
    <row r="136" spans="1:10" ht="12.75" customHeight="1">
      <c r="A136" s="1">
        <v>46182</v>
      </c>
      <c r="B136" s="2">
        <v>12</v>
      </c>
      <c r="C136" s="7">
        <v>-4.3104155625786102</v>
      </c>
      <c r="D136" s="7">
        <v>-3.529385</v>
      </c>
      <c r="E136" s="7">
        <v>-0.105602676578608</v>
      </c>
      <c r="F136" s="7">
        <f t="shared" si="6"/>
        <v>4.3104155625786102</v>
      </c>
      <c r="G136" s="7">
        <f t="shared" si="7"/>
        <v>3.529385</v>
      </c>
      <c r="H136" s="7">
        <f t="shared" si="8"/>
        <v>0.78103056257861025</v>
      </c>
      <c r="I136" s="8">
        <v>0.22129367087427601</v>
      </c>
      <c r="J136" s="2" t="s">
        <v>65</v>
      </c>
    </row>
    <row r="137" spans="1:10" ht="12.75" customHeight="1">
      <c r="A137" s="1">
        <v>46180</v>
      </c>
      <c r="B137" s="2">
        <v>11</v>
      </c>
      <c r="C137" s="7">
        <v>-2.79672664298878</v>
      </c>
      <c r="D137" s="7">
        <v>-3.5908500000000001</v>
      </c>
      <c r="E137" s="7">
        <v>1.7692640292112201</v>
      </c>
      <c r="F137" s="7">
        <f t="shared" si="6"/>
        <v>2.79672664298878</v>
      </c>
      <c r="G137" s="7">
        <f t="shared" si="7"/>
        <v>3.5908500000000001</v>
      </c>
      <c r="H137" s="7">
        <f t="shared" si="8"/>
        <v>0.79412335701122005</v>
      </c>
      <c r="I137" s="8">
        <v>0.221151915844778</v>
      </c>
      <c r="J137" s="2" t="s">
        <v>65</v>
      </c>
    </row>
    <row r="138" spans="1:10" ht="12.75" customHeight="1">
      <c r="A138" s="1">
        <v>46184</v>
      </c>
      <c r="B138" s="2">
        <v>8</v>
      </c>
      <c r="C138" s="7">
        <v>-3.41974051415459</v>
      </c>
      <c r="D138" s="7">
        <v>-2.8008630000000001</v>
      </c>
      <c r="E138" s="7">
        <v>-0.39391884915458902</v>
      </c>
      <c r="F138" s="7">
        <f t="shared" si="6"/>
        <v>3.41974051415459</v>
      </c>
      <c r="G138" s="7">
        <f t="shared" si="7"/>
        <v>2.8008630000000001</v>
      </c>
      <c r="H138" s="7">
        <f t="shared" si="8"/>
        <v>0.61887751415458991</v>
      </c>
      <c r="I138" s="8">
        <v>0.22095958072729299</v>
      </c>
      <c r="J138" s="2" t="s">
        <v>65</v>
      </c>
    </row>
    <row r="139" spans="1:10" ht="12.75" customHeight="1">
      <c r="A139" s="1">
        <v>46203</v>
      </c>
      <c r="B139" s="2">
        <v>6</v>
      </c>
      <c r="C139" s="7">
        <v>-4.2702101831156902</v>
      </c>
      <c r="D139" s="7">
        <v>-3.4976820000000002</v>
      </c>
      <c r="E139" s="7">
        <v>-0.76811305511568895</v>
      </c>
      <c r="F139" s="7">
        <f t="shared" si="6"/>
        <v>4.2702101831156902</v>
      </c>
      <c r="G139" s="7">
        <f t="shared" si="7"/>
        <v>3.4976820000000002</v>
      </c>
      <c r="H139" s="7">
        <f t="shared" si="8"/>
        <v>0.77252818311569005</v>
      </c>
      <c r="I139" s="8">
        <v>0.22086861616227199</v>
      </c>
      <c r="J139" s="2" t="s">
        <v>65</v>
      </c>
    </row>
    <row r="140" spans="1:10" ht="12.75" customHeight="1">
      <c r="A140" s="1">
        <v>46203</v>
      </c>
      <c r="B140" s="2">
        <v>7</v>
      </c>
      <c r="C140" s="7">
        <v>-3.8412473915892602</v>
      </c>
      <c r="D140" s="7">
        <v>-3.1476549999999999</v>
      </c>
      <c r="E140" s="7">
        <v>-0.64722837158925794</v>
      </c>
      <c r="F140" s="7">
        <f t="shared" si="6"/>
        <v>3.8412473915892602</v>
      </c>
      <c r="G140" s="7">
        <f t="shared" si="7"/>
        <v>3.1476549999999999</v>
      </c>
      <c r="H140" s="7">
        <f t="shared" si="8"/>
        <v>0.69359239158926034</v>
      </c>
      <c r="I140" s="8">
        <v>0.22035210071918901</v>
      </c>
      <c r="J140" s="2" t="s">
        <v>65</v>
      </c>
    </row>
    <row r="141" spans="1:10" ht="12.75" customHeight="1">
      <c r="A141" s="1">
        <v>46191</v>
      </c>
      <c r="B141" s="2">
        <v>11</v>
      </c>
      <c r="C141" s="7">
        <v>-4.5704428324455302</v>
      </c>
      <c r="D141" s="7">
        <v>-3.74613</v>
      </c>
      <c r="E141" s="7">
        <v>-0.37209735844553199</v>
      </c>
      <c r="F141" s="7">
        <f t="shared" si="6"/>
        <v>4.5704428324455302</v>
      </c>
      <c r="G141" s="7">
        <f t="shared" si="7"/>
        <v>3.74613</v>
      </c>
      <c r="H141" s="7">
        <f t="shared" si="8"/>
        <v>0.82431283244553022</v>
      </c>
      <c r="I141" s="8">
        <v>0.220043840562269</v>
      </c>
      <c r="J141" s="2" t="s">
        <v>65</v>
      </c>
    </row>
    <row r="142" spans="1:10" ht="12.75" customHeight="1">
      <c r="A142" s="1">
        <v>46198</v>
      </c>
      <c r="B142" s="2">
        <v>10</v>
      </c>
      <c r="C142" s="7">
        <v>-4.5651702133851799</v>
      </c>
      <c r="D142" s="7">
        <v>-3.7474240000000001</v>
      </c>
      <c r="E142" s="7">
        <v>-0.264737844385183</v>
      </c>
      <c r="F142" s="7">
        <f t="shared" si="6"/>
        <v>4.5651702133851799</v>
      </c>
      <c r="G142" s="7">
        <f t="shared" si="7"/>
        <v>3.7474240000000001</v>
      </c>
      <c r="H142" s="7">
        <f t="shared" si="8"/>
        <v>0.81774621338517983</v>
      </c>
      <c r="I142" s="8">
        <v>0.21821555644228799</v>
      </c>
      <c r="J142" s="2" t="s">
        <v>65</v>
      </c>
    </row>
    <row r="143" spans="1:10" ht="12.75" customHeight="1">
      <c r="A143" s="1">
        <v>46184</v>
      </c>
      <c r="B143" s="2">
        <v>2</v>
      </c>
      <c r="C143" s="7">
        <v>-4.2717947705831998</v>
      </c>
      <c r="D143" s="7">
        <v>-3.5067400000000002</v>
      </c>
      <c r="E143" s="7">
        <v>-0.76505477058319704</v>
      </c>
      <c r="F143" s="7">
        <f t="shared" si="6"/>
        <v>4.2717947705831998</v>
      </c>
      <c r="G143" s="7">
        <f t="shared" si="7"/>
        <v>3.5067400000000002</v>
      </c>
      <c r="H143" s="7">
        <f t="shared" si="8"/>
        <v>0.76505477058319959</v>
      </c>
      <c r="I143" s="8">
        <v>0.21816695009701201</v>
      </c>
      <c r="J143" s="2" t="s">
        <v>65</v>
      </c>
    </row>
    <row r="144" spans="1:10" ht="12.75" customHeight="1">
      <c r="A144" s="1">
        <v>46190</v>
      </c>
      <c r="B144" s="2">
        <v>16</v>
      </c>
      <c r="C144" s="7">
        <v>-5.1765600549789701</v>
      </c>
      <c r="D144" s="7">
        <v>-4.2546720000000002</v>
      </c>
      <c r="E144" s="7">
        <v>-0.638943308978972</v>
      </c>
      <c r="F144" s="7">
        <f t="shared" si="6"/>
        <v>5.1765600549789701</v>
      </c>
      <c r="G144" s="7">
        <f t="shared" si="7"/>
        <v>4.2546720000000002</v>
      </c>
      <c r="H144" s="7">
        <f t="shared" si="8"/>
        <v>0.92188805497896986</v>
      </c>
      <c r="I144" s="8">
        <v>0.216676645104246</v>
      </c>
      <c r="J144" s="2" t="s">
        <v>65</v>
      </c>
    </row>
    <row r="145" spans="1:10" ht="12.75" customHeight="1">
      <c r="A145" s="1">
        <v>46184</v>
      </c>
      <c r="B145" s="2">
        <v>10</v>
      </c>
      <c r="C145" s="7">
        <v>-4.3073261520138697</v>
      </c>
      <c r="D145" s="7">
        <v>-3.5449130000000002</v>
      </c>
      <c r="E145" s="7">
        <v>-0.31674337701386901</v>
      </c>
      <c r="F145" s="7">
        <f t="shared" si="6"/>
        <v>4.3073261520138697</v>
      </c>
      <c r="G145" s="7">
        <f t="shared" si="7"/>
        <v>3.5449130000000002</v>
      </c>
      <c r="H145" s="7">
        <f t="shared" si="8"/>
        <v>0.7624131520138695</v>
      </c>
      <c r="I145" s="8">
        <v>0.215072457917548</v>
      </c>
      <c r="J145" s="2" t="s">
        <v>65</v>
      </c>
    </row>
    <row r="146" spans="1:10" ht="12.75" customHeight="1">
      <c r="A146" s="1">
        <v>46200</v>
      </c>
      <c r="B146" s="2">
        <v>14</v>
      </c>
      <c r="C146" s="7">
        <v>-4.3376671015998598</v>
      </c>
      <c r="D146" s="7">
        <v>-3.5714399999999999</v>
      </c>
      <c r="E146" s="7">
        <v>0.18730079440014499</v>
      </c>
      <c r="F146" s="7">
        <f t="shared" si="6"/>
        <v>4.3376671015998598</v>
      </c>
      <c r="G146" s="7">
        <f t="shared" si="7"/>
        <v>3.5714399999999999</v>
      </c>
      <c r="H146" s="7">
        <f t="shared" si="8"/>
        <v>0.76622710159985985</v>
      </c>
      <c r="I146" s="8">
        <v>0.21454290191067299</v>
      </c>
      <c r="J146" s="2" t="s">
        <v>65</v>
      </c>
    </row>
    <row r="147" spans="1:10" ht="12.75" customHeight="1">
      <c r="A147" s="1">
        <v>46188</v>
      </c>
      <c r="B147" s="2">
        <v>4</v>
      </c>
      <c r="C147" s="7">
        <v>-2.9668779012418298</v>
      </c>
      <c r="D147" s="7">
        <v>-3.7758919999999998</v>
      </c>
      <c r="E147" s="7">
        <v>0.80901409875817398</v>
      </c>
      <c r="F147" s="7">
        <f t="shared" si="6"/>
        <v>2.9668779012418298</v>
      </c>
      <c r="G147" s="7">
        <f t="shared" si="7"/>
        <v>3.7758919999999998</v>
      </c>
      <c r="H147" s="7">
        <f t="shared" si="8"/>
        <v>0.80901409875816999</v>
      </c>
      <c r="I147" s="8">
        <v>0.214257743271835</v>
      </c>
      <c r="J147" s="2" t="s">
        <v>65</v>
      </c>
    </row>
    <row r="148" spans="1:10" ht="12.75" customHeight="1">
      <c r="A148" s="1">
        <v>46196</v>
      </c>
      <c r="B148" s="2">
        <v>17</v>
      </c>
      <c r="C148" s="7">
        <v>-5.5280107039044299</v>
      </c>
      <c r="D148" s="7">
        <v>-4.5535860000000001</v>
      </c>
      <c r="E148" s="7">
        <v>-0.71496799890442397</v>
      </c>
      <c r="F148" s="7">
        <f t="shared" si="6"/>
        <v>5.5280107039044299</v>
      </c>
      <c r="G148" s="7">
        <f t="shared" si="7"/>
        <v>4.5535860000000001</v>
      </c>
      <c r="H148" s="7">
        <f t="shared" si="8"/>
        <v>0.97442470390442981</v>
      </c>
      <c r="I148" s="8">
        <v>0.21399062275411601</v>
      </c>
      <c r="J148" s="2" t="s">
        <v>65</v>
      </c>
    </row>
    <row r="149" spans="1:10" ht="12.75" customHeight="1">
      <c r="A149" s="1">
        <v>46188</v>
      </c>
      <c r="B149" s="2">
        <v>5</v>
      </c>
      <c r="C149" s="7">
        <v>-2.9207310635955301</v>
      </c>
      <c r="D149" s="7">
        <v>-3.7157209999999998</v>
      </c>
      <c r="E149" s="7">
        <v>0.79501322840447097</v>
      </c>
      <c r="F149" s="7">
        <f t="shared" si="6"/>
        <v>2.9207310635955301</v>
      </c>
      <c r="G149" s="7">
        <f t="shared" si="7"/>
        <v>3.7157209999999998</v>
      </c>
      <c r="H149" s="7">
        <f t="shared" si="8"/>
        <v>0.79498993640446969</v>
      </c>
      <c r="I149" s="8">
        <v>0.21395307570306599</v>
      </c>
      <c r="J149" s="2" t="s">
        <v>65</v>
      </c>
    </row>
    <row r="150" spans="1:10" ht="12.75" customHeight="1">
      <c r="A150" s="1">
        <v>46184</v>
      </c>
      <c r="B150" s="2">
        <v>6</v>
      </c>
      <c r="C150" s="7">
        <v>-3.7719749794132502</v>
      </c>
      <c r="D150" s="7">
        <v>-3.110776</v>
      </c>
      <c r="E150" s="7">
        <v>-0.65520827701325102</v>
      </c>
      <c r="F150" s="7">
        <f t="shared" si="6"/>
        <v>3.7719749794132502</v>
      </c>
      <c r="G150" s="7">
        <f t="shared" si="7"/>
        <v>3.110776</v>
      </c>
      <c r="H150" s="7">
        <f t="shared" si="8"/>
        <v>0.66119897941325023</v>
      </c>
      <c r="I150" s="8">
        <v>0.212551138176857</v>
      </c>
      <c r="J150" s="2" t="s">
        <v>65</v>
      </c>
    </row>
    <row r="151" spans="1:10" ht="12.75" customHeight="1">
      <c r="A151" s="1">
        <v>46202</v>
      </c>
      <c r="B151" s="2">
        <v>10</v>
      </c>
      <c r="C151" s="7">
        <v>-4.6199997377436102</v>
      </c>
      <c r="D151" s="7">
        <v>-3.8147120000000001</v>
      </c>
      <c r="E151" s="7">
        <v>-0.32577727474360602</v>
      </c>
      <c r="F151" s="7">
        <f t="shared" si="6"/>
        <v>4.6199997377436102</v>
      </c>
      <c r="G151" s="7">
        <f t="shared" si="7"/>
        <v>3.8147120000000001</v>
      </c>
      <c r="H151" s="7">
        <f t="shared" si="8"/>
        <v>0.80528773774361007</v>
      </c>
      <c r="I151" s="8">
        <v>0.21110053334133899</v>
      </c>
      <c r="J151" s="2" t="s">
        <v>65</v>
      </c>
    </row>
    <row r="152" spans="1:10" ht="12.75" customHeight="1">
      <c r="A152" s="1">
        <v>46195</v>
      </c>
      <c r="B152" s="2">
        <v>16</v>
      </c>
      <c r="C152" s="7">
        <v>-5.2180156315971002</v>
      </c>
      <c r="D152" s="7">
        <v>-4.3096670000000001</v>
      </c>
      <c r="E152" s="7">
        <v>-0.544968198597096</v>
      </c>
      <c r="F152" s="7">
        <f t="shared" si="6"/>
        <v>5.2180156315971002</v>
      </c>
      <c r="G152" s="7">
        <f t="shared" si="7"/>
        <v>4.3096670000000001</v>
      </c>
      <c r="H152" s="7">
        <f t="shared" si="8"/>
        <v>0.90834863159710011</v>
      </c>
      <c r="I152" s="8">
        <v>0.210770027381952</v>
      </c>
      <c r="J152" s="2" t="s">
        <v>65</v>
      </c>
    </row>
    <row r="153" spans="1:10" ht="12.75" customHeight="1">
      <c r="A153" s="1">
        <v>46178</v>
      </c>
      <c r="B153" s="2">
        <v>8</v>
      </c>
      <c r="C153" s="7">
        <v>-2.8168828720342001</v>
      </c>
      <c r="D153" s="7">
        <v>-3.5552649999999999</v>
      </c>
      <c r="E153" s="7">
        <v>1.1120932099658001</v>
      </c>
      <c r="F153" s="7">
        <f t="shared" si="6"/>
        <v>2.8168828720342001</v>
      </c>
      <c r="G153" s="7">
        <f t="shared" si="7"/>
        <v>3.5552649999999999</v>
      </c>
      <c r="H153" s="7">
        <f t="shared" si="8"/>
        <v>0.73838212796579983</v>
      </c>
      <c r="I153" s="8">
        <v>0.20768694540795099</v>
      </c>
      <c r="J153" s="2" t="s">
        <v>65</v>
      </c>
    </row>
    <row r="154" spans="1:10" ht="12.75" customHeight="1">
      <c r="A154" s="1">
        <v>46188</v>
      </c>
      <c r="B154" s="2">
        <v>3</v>
      </c>
      <c r="C154" s="7">
        <v>-3.02833738822439</v>
      </c>
      <c r="D154" s="7">
        <v>-3.8179470000000002</v>
      </c>
      <c r="E154" s="7">
        <v>0.78960961177561495</v>
      </c>
      <c r="F154" s="7">
        <f t="shared" si="6"/>
        <v>3.02833738822439</v>
      </c>
      <c r="G154" s="7">
        <f t="shared" si="7"/>
        <v>3.8179470000000002</v>
      </c>
      <c r="H154" s="7">
        <f t="shared" si="8"/>
        <v>0.78960961177561018</v>
      </c>
      <c r="I154" s="8">
        <v>0.20681523650684899</v>
      </c>
      <c r="J154" s="2" t="s">
        <v>65</v>
      </c>
    </row>
    <row r="155" spans="1:10" ht="12.75" customHeight="1">
      <c r="A155" s="1">
        <v>46180</v>
      </c>
      <c r="B155" s="2">
        <v>12</v>
      </c>
      <c r="C155" s="7">
        <v>-2.8604493037471399</v>
      </c>
      <c r="D155" s="7">
        <v>-3.6044369999999999</v>
      </c>
      <c r="E155" s="7">
        <v>1.71718659205286</v>
      </c>
      <c r="F155" s="7">
        <f t="shared" si="6"/>
        <v>2.8604493037471399</v>
      </c>
      <c r="G155" s="7">
        <f t="shared" si="7"/>
        <v>3.6044369999999999</v>
      </c>
      <c r="H155" s="7">
        <f t="shared" si="8"/>
        <v>0.74398769625285999</v>
      </c>
      <c r="I155" s="8">
        <v>0.206408850051439</v>
      </c>
      <c r="J155" s="2" t="s">
        <v>65</v>
      </c>
    </row>
    <row r="156" spans="1:10" ht="12.75" customHeight="1">
      <c r="A156" s="1">
        <v>46200</v>
      </c>
      <c r="B156" s="2">
        <v>16</v>
      </c>
      <c r="C156" s="7">
        <v>-4.3481185902512003</v>
      </c>
      <c r="D156" s="7">
        <v>-3.6050840000000002</v>
      </c>
      <c r="E156" s="7">
        <v>1.7396155748799901E-2</v>
      </c>
      <c r="F156" s="7">
        <f t="shared" si="6"/>
        <v>4.3481185902512003</v>
      </c>
      <c r="G156" s="7">
        <f t="shared" si="7"/>
        <v>3.6050840000000002</v>
      </c>
      <c r="H156" s="7">
        <f t="shared" si="8"/>
        <v>0.74303459025120011</v>
      </c>
      <c r="I156" s="8">
        <v>0.20610742780229299</v>
      </c>
      <c r="J156" s="2" t="s">
        <v>65</v>
      </c>
    </row>
    <row r="157" spans="1:10" ht="12.75" customHeight="1">
      <c r="A157" s="1">
        <v>46193</v>
      </c>
      <c r="B157" s="2">
        <v>10</v>
      </c>
      <c r="C157" s="7">
        <v>-3.2626371046437201</v>
      </c>
      <c r="D157" s="7">
        <v>-2.7076950000000002</v>
      </c>
      <c r="E157" s="7">
        <v>0.39623006435628499</v>
      </c>
      <c r="F157" s="7">
        <f t="shared" si="6"/>
        <v>3.2626371046437201</v>
      </c>
      <c r="G157" s="7">
        <f t="shared" si="7"/>
        <v>2.7076950000000002</v>
      </c>
      <c r="H157" s="7">
        <f t="shared" si="8"/>
        <v>0.55494210464371996</v>
      </c>
      <c r="I157" s="8">
        <v>0.204950005315856</v>
      </c>
      <c r="J157" s="2" t="s">
        <v>65</v>
      </c>
    </row>
    <row r="158" spans="1:10" ht="12.75" customHeight="1">
      <c r="A158" s="1">
        <v>46188</v>
      </c>
      <c r="B158" s="2">
        <v>2</v>
      </c>
      <c r="C158" s="7">
        <v>-3.06445142207789</v>
      </c>
      <c r="D158" s="7">
        <v>-3.8522379999999998</v>
      </c>
      <c r="E158" s="7">
        <v>0.78778657792211104</v>
      </c>
      <c r="F158" s="7">
        <f t="shared" si="6"/>
        <v>3.06445142207789</v>
      </c>
      <c r="G158" s="7">
        <f t="shared" si="7"/>
        <v>3.8522379999999998</v>
      </c>
      <c r="H158" s="7">
        <f t="shared" si="8"/>
        <v>0.78778657792210982</v>
      </c>
      <c r="I158" s="8">
        <v>0.204501014195413</v>
      </c>
      <c r="J158" s="2" t="s">
        <v>65</v>
      </c>
    </row>
    <row r="159" spans="1:10" ht="12.75" customHeight="1">
      <c r="A159" s="1">
        <v>46182</v>
      </c>
      <c r="B159" s="2">
        <v>11</v>
      </c>
      <c r="C159" s="7">
        <v>-4.2399262014461803</v>
      </c>
      <c r="D159" s="7">
        <v>-3.5229149999999998</v>
      </c>
      <c r="E159" s="7">
        <v>-8.8580101446183404E-2</v>
      </c>
      <c r="F159" s="7">
        <f t="shared" si="6"/>
        <v>4.2399262014461803</v>
      </c>
      <c r="G159" s="7">
        <f t="shared" si="7"/>
        <v>3.5229149999999998</v>
      </c>
      <c r="H159" s="7">
        <f t="shared" si="8"/>
        <v>0.71701120144618047</v>
      </c>
      <c r="I159" s="8">
        <v>0.203527817573283</v>
      </c>
      <c r="J159" s="2" t="s">
        <v>65</v>
      </c>
    </row>
    <row r="160" spans="1:10" ht="12.75" customHeight="1">
      <c r="A160" s="1">
        <v>46187</v>
      </c>
      <c r="B160" s="2">
        <v>6</v>
      </c>
      <c r="C160" s="7">
        <v>-2.9327262755208401</v>
      </c>
      <c r="D160" s="7">
        <v>-3.6775479999999998</v>
      </c>
      <c r="E160" s="7">
        <v>0.75438153767916205</v>
      </c>
      <c r="F160" s="7">
        <f t="shared" si="6"/>
        <v>2.9327262755208401</v>
      </c>
      <c r="G160" s="7">
        <f t="shared" si="7"/>
        <v>3.6775479999999998</v>
      </c>
      <c r="H160" s="7">
        <f t="shared" si="8"/>
        <v>0.74482172447915973</v>
      </c>
      <c r="I160" s="8">
        <v>0.20253215579488401</v>
      </c>
      <c r="J160" s="2" t="s">
        <v>65</v>
      </c>
    </row>
    <row r="161" spans="1:10" ht="12.75" customHeight="1">
      <c r="A161" s="1">
        <v>46177</v>
      </c>
      <c r="B161" s="2">
        <v>3</v>
      </c>
      <c r="C161" s="7">
        <v>-3.7381228950182499</v>
      </c>
      <c r="D161" s="7">
        <v>-3.1094819999999999</v>
      </c>
      <c r="E161" s="7">
        <v>-0.62864089501824505</v>
      </c>
      <c r="F161" s="7">
        <f t="shared" si="6"/>
        <v>3.7381228950182499</v>
      </c>
      <c r="G161" s="7">
        <f t="shared" si="7"/>
        <v>3.1094819999999999</v>
      </c>
      <c r="H161" s="7">
        <f t="shared" si="8"/>
        <v>0.62864089501825005</v>
      </c>
      <c r="I161" s="8">
        <v>0.202169009184888</v>
      </c>
      <c r="J161" s="2" t="s">
        <v>65</v>
      </c>
    </row>
    <row r="162" spans="1:10" ht="12.75" customHeight="1">
      <c r="A162" s="1">
        <v>46197</v>
      </c>
      <c r="B162" s="2">
        <v>17</v>
      </c>
      <c r="C162" s="7">
        <v>-5.2224591962864704</v>
      </c>
      <c r="D162" s="7">
        <v>-4.346546</v>
      </c>
      <c r="E162" s="7">
        <v>-0.45783797128646803</v>
      </c>
      <c r="F162" s="7">
        <f t="shared" si="6"/>
        <v>5.2224591962864704</v>
      </c>
      <c r="G162" s="7">
        <f t="shared" si="7"/>
        <v>4.346546</v>
      </c>
      <c r="H162" s="7">
        <f t="shared" si="8"/>
        <v>0.87591319628647035</v>
      </c>
      <c r="I162" s="8">
        <v>0.201519366477766</v>
      </c>
      <c r="J162" s="2" t="s">
        <v>65</v>
      </c>
    </row>
    <row r="163" spans="1:10" ht="12.75" customHeight="1">
      <c r="A163" s="1">
        <v>46188</v>
      </c>
      <c r="B163" s="2">
        <v>8</v>
      </c>
      <c r="C163" s="7">
        <v>-2.8771361636388901</v>
      </c>
      <c r="D163" s="7">
        <v>-3.5902029999999998</v>
      </c>
      <c r="E163" s="7">
        <v>1.1568682047611101</v>
      </c>
      <c r="F163" s="7">
        <f t="shared" si="6"/>
        <v>2.8771361636388901</v>
      </c>
      <c r="G163" s="7">
        <f t="shared" si="7"/>
        <v>3.5902029999999998</v>
      </c>
      <c r="H163" s="7">
        <f t="shared" si="8"/>
        <v>0.71306683636110968</v>
      </c>
      <c r="I163" s="8">
        <v>0.198614628855557</v>
      </c>
      <c r="J163" s="2" t="s">
        <v>66</v>
      </c>
    </row>
    <row r="164" spans="1:10" ht="12.75" customHeight="1">
      <c r="A164" s="1">
        <v>46180</v>
      </c>
      <c r="B164" s="2">
        <v>13</v>
      </c>
      <c r="C164" s="7">
        <v>-2.9017659887434601</v>
      </c>
      <c r="D164" s="7">
        <v>-3.61673</v>
      </c>
      <c r="E164" s="7">
        <v>1.6454403324565401</v>
      </c>
      <c r="F164" s="7">
        <f t="shared" si="6"/>
        <v>2.9017659887434601</v>
      </c>
      <c r="G164" s="7">
        <f t="shared" si="7"/>
        <v>3.61673</v>
      </c>
      <c r="H164" s="7">
        <f t="shared" si="8"/>
        <v>0.71496401125653986</v>
      </c>
      <c r="I164" s="8">
        <v>0.19768244000977001</v>
      </c>
      <c r="J164" s="2" t="s">
        <v>66</v>
      </c>
    </row>
    <row r="165" spans="1:10" ht="12.75" customHeight="1">
      <c r="A165" s="1">
        <v>46200</v>
      </c>
      <c r="B165" s="2">
        <v>15</v>
      </c>
      <c r="C165" s="7">
        <v>-4.2993929635992902</v>
      </c>
      <c r="D165" s="7">
        <v>-3.5902029999999998</v>
      </c>
      <c r="E165" s="7">
        <v>0.13798989540070999</v>
      </c>
      <c r="F165" s="7">
        <f t="shared" si="6"/>
        <v>4.2993929635992902</v>
      </c>
      <c r="G165" s="7">
        <f t="shared" si="7"/>
        <v>3.5902029999999998</v>
      </c>
      <c r="H165" s="7">
        <f t="shared" si="8"/>
        <v>0.70918996359929043</v>
      </c>
      <c r="I165" s="8">
        <v>0.19753478106928499</v>
      </c>
      <c r="J165" s="2" t="s">
        <v>66</v>
      </c>
    </row>
    <row r="166" spans="1:10" ht="12.75" customHeight="1">
      <c r="A166" s="1">
        <v>46181</v>
      </c>
      <c r="B166" s="2">
        <v>14</v>
      </c>
      <c r="C166" s="7">
        <v>-4.3060506994972299</v>
      </c>
      <c r="D166" s="7">
        <v>-3.6012019999999998</v>
      </c>
      <c r="E166" s="7">
        <v>-0.203098905497231</v>
      </c>
      <c r="F166" s="7">
        <f t="shared" si="6"/>
        <v>4.3060506994972299</v>
      </c>
      <c r="G166" s="7">
        <f t="shared" si="7"/>
        <v>3.6012019999999998</v>
      </c>
      <c r="H166" s="7">
        <f t="shared" si="8"/>
        <v>0.70484869949723006</v>
      </c>
      <c r="I166" s="8">
        <v>0.195725954694358</v>
      </c>
      <c r="J166" s="2" t="s">
        <v>66</v>
      </c>
    </row>
    <row r="167" spans="1:10" ht="12.75" customHeight="1">
      <c r="A167" s="1">
        <v>46185</v>
      </c>
      <c r="B167" s="2">
        <v>11</v>
      </c>
      <c r="C167" s="7">
        <v>-4.4254563404751401</v>
      </c>
      <c r="D167" s="7">
        <v>-3.7027809999999999</v>
      </c>
      <c r="E167" s="7">
        <v>-0.41126841747514198</v>
      </c>
      <c r="F167" s="7">
        <f t="shared" si="6"/>
        <v>4.4254563404751401</v>
      </c>
      <c r="G167" s="7">
        <f t="shared" si="7"/>
        <v>3.7027809999999999</v>
      </c>
      <c r="H167" s="7">
        <f t="shared" si="8"/>
        <v>0.72267534047514026</v>
      </c>
      <c r="I167" s="8">
        <v>0.19517096487076699</v>
      </c>
      <c r="J167" s="2" t="s">
        <v>66</v>
      </c>
    </row>
    <row r="168" spans="1:10" ht="12.75" customHeight="1">
      <c r="A168" s="1">
        <v>46183</v>
      </c>
      <c r="B168" s="2">
        <v>11</v>
      </c>
      <c r="C168" s="7">
        <v>-4.2194904838454699</v>
      </c>
      <c r="D168" s="7">
        <v>-3.531326</v>
      </c>
      <c r="E168" s="7">
        <v>-0.10120349584546399</v>
      </c>
      <c r="F168" s="7">
        <f t="shared" si="6"/>
        <v>4.2194904838454699</v>
      </c>
      <c r="G168" s="7">
        <f t="shared" si="7"/>
        <v>3.531326</v>
      </c>
      <c r="H168" s="7">
        <f t="shared" si="8"/>
        <v>0.68816448384546991</v>
      </c>
      <c r="I168" s="8">
        <v>0.19487424379552201</v>
      </c>
      <c r="J168" s="2" t="s">
        <v>66</v>
      </c>
    </row>
    <row r="169" spans="1:10" ht="12.75" customHeight="1">
      <c r="A169" s="1">
        <v>46199</v>
      </c>
      <c r="B169" s="2">
        <v>8</v>
      </c>
      <c r="C169" s="7">
        <v>-3.7146418846387199</v>
      </c>
      <c r="D169" s="7">
        <v>-3.108835</v>
      </c>
      <c r="E169" s="7">
        <v>-0.23978216263871499</v>
      </c>
      <c r="F169" s="7">
        <f t="shared" si="6"/>
        <v>3.7146418846387199</v>
      </c>
      <c r="G169" s="7">
        <f t="shared" si="7"/>
        <v>3.108835</v>
      </c>
      <c r="H169" s="7">
        <f t="shared" si="8"/>
        <v>0.6058068846387199</v>
      </c>
      <c r="I169" s="8">
        <v>0.19486620699995799</v>
      </c>
      <c r="J169" s="2" t="s">
        <v>66</v>
      </c>
    </row>
    <row r="170" spans="1:10" ht="12.75" customHeight="1">
      <c r="A170" s="1">
        <v>46184</v>
      </c>
      <c r="B170" s="2">
        <v>14</v>
      </c>
      <c r="C170" s="7">
        <v>-4.59164612954467</v>
      </c>
      <c r="D170" s="7">
        <v>-3.847709</v>
      </c>
      <c r="E170" s="7">
        <v>-0.129404883544672</v>
      </c>
      <c r="F170" s="7">
        <f t="shared" si="6"/>
        <v>4.59164612954467</v>
      </c>
      <c r="G170" s="7">
        <f t="shared" si="7"/>
        <v>3.847709</v>
      </c>
      <c r="H170" s="7">
        <f t="shared" si="8"/>
        <v>0.74393712954466995</v>
      </c>
      <c r="I170" s="8">
        <v>0.19334547637169899</v>
      </c>
      <c r="J170" s="2" t="s">
        <v>66</v>
      </c>
    </row>
    <row r="171" spans="1:10" ht="12.75" customHeight="1">
      <c r="A171" s="1">
        <v>46200</v>
      </c>
      <c r="B171" s="2">
        <v>13</v>
      </c>
      <c r="C171" s="7">
        <v>-4.2452020178293202</v>
      </c>
      <c r="D171" s="7">
        <v>-3.5585</v>
      </c>
      <c r="E171" s="7">
        <v>0.19645427617068001</v>
      </c>
      <c r="F171" s="7">
        <f t="shared" si="6"/>
        <v>4.2452020178293202</v>
      </c>
      <c r="G171" s="7">
        <f t="shared" si="7"/>
        <v>3.5585</v>
      </c>
      <c r="H171" s="7">
        <f t="shared" si="8"/>
        <v>0.68670201782932017</v>
      </c>
      <c r="I171" s="8">
        <v>0.19297513498084001</v>
      </c>
      <c r="J171" s="2" t="s">
        <v>66</v>
      </c>
    </row>
    <row r="172" spans="1:10" ht="12.75" customHeight="1">
      <c r="A172" s="1">
        <v>46199</v>
      </c>
      <c r="B172" s="2">
        <v>7</v>
      </c>
      <c r="C172" s="7">
        <v>-3.64105858544854</v>
      </c>
      <c r="D172" s="7">
        <v>-3.0551339999999998</v>
      </c>
      <c r="E172" s="7">
        <v>-0.46822558044853901</v>
      </c>
      <c r="F172" s="7">
        <f t="shared" si="6"/>
        <v>3.64105858544854</v>
      </c>
      <c r="G172" s="7">
        <f t="shared" si="7"/>
        <v>3.0551339999999998</v>
      </c>
      <c r="H172" s="7">
        <f t="shared" si="8"/>
        <v>0.5859245854485402</v>
      </c>
      <c r="I172" s="8">
        <v>0.191783596218215</v>
      </c>
      <c r="J172" s="2" t="s">
        <v>66</v>
      </c>
    </row>
    <row r="173" spans="1:10" ht="12.75" customHeight="1">
      <c r="A173" s="1">
        <v>46178</v>
      </c>
      <c r="B173" s="2">
        <v>20</v>
      </c>
      <c r="C173" s="7">
        <v>-5.7527083907548899</v>
      </c>
      <c r="D173" s="7">
        <v>-4.8285609999999997</v>
      </c>
      <c r="E173" s="7">
        <v>-0.91978531675489095</v>
      </c>
      <c r="F173" s="7">
        <f t="shared" si="6"/>
        <v>5.7527083907548899</v>
      </c>
      <c r="G173" s="7">
        <f t="shared" si="7"/>
        <v>4.8285609999999997</v>
      </c>
      <c r="H173" s="7">
        <f t="shared" si="8"/>
        <v>0.92414739075489027</v>
      </c>
      <c r="I173" s="8">
        <v>0.19139188481928501</v>
      </c>
      <c r="J173" s="2" t="s">
        <v>66</v>
      </c>
    </row>
    <row r="174" spans="1:10" ht="12.75" customHeight="1">
      <c r="A174" s="1">
        <v>46184</v>
      </c>
      <c r="B174" s="2">
        <v>13</v>
      </c>
      <c r="C174" s="7">
        <v>-4.2211532369262903</v>
      </c>
      <c r="D174" s="7">
        <v>-3.5436190000000001</v>
      </c>
      <c r="E174" s="7">
        <v>-4.0646199926284897E-2</v>
      </c>
      <c r="F174" s="7">
        <f t="shared" si="6"/>
        <v>4.2211532369262903</v>
      </c>
      <c r="G174" s="7">
        <f t="shared" si="7"/>
        <v>3.5436190000000001</v>
      </c>
      <c r="H174" s="7">
        <f t="shared" si="8"/>
        <v>0.67753423692629022</v>
      </c>
      <c r="I174" s="8">
        <v>0.191198386995409</v>
      </c>
      <c r="J174" s="2" t="s">
        <v>66</v>
      </c>
    </row>
    <row r="175" spans="1:10" ht="12.75" customHeight="1">
      <c r="A175" s="1">
        <v>46196</v>
      </c>
      <c r="B175" s="2">
        <v>18</v>
      </c>
      <c r="C175" s="7">
        <v>-5.3156068284432498</v>
      </c>
      <c r="D175" s="7">
        <v>-4.4636529999999999</v>
      </c>
      <c r="E175" s="7">
        <v>-0.70656969344325105</v>
      </c>
      <c r="F175" s="7">
        <f t="shared" si="6"/>
        <v>5.3156068284432498</v>
      </c>
      <c r="G175" s="7">
        <f t="shared" si="7"/>
        <v>4.4636529999999999</v>
      </c>
      <c r="H175" s="7">
        <f t="shared" si="8"/>
        <v>0.85195382844324996</v>
      </c>
      <c r="I175" s="8">
        <v>0.190864708444687</v>
      </c>
      <c r="J175" s="2" t="s">
        <v>66</v>
      </c>
    </row>
    <row r="176" spans="1:10" ht="12.75" customHeight="1">
      <c r="A176" s="1">
        <v>46182</v>
      </c>
      <c r="B176" s="2">
        <v>13</v>
      </c>
      <c r="C176" s="7">
        <v>-4.2000586822466301</v>
      </c>
      <c r="D176" s="7">
        <v>-3.5319729999999998</v>
      </c>
      <c r="E176" s="7">
        <v>-1.3632112846628601E-2</v>
      </c>
      <c r="F176" s="7">
        <f t="shared" si="6"/>
        <v>4.2000586822466301</v>
      </c>
      <c r="G176" s="7">
        <f t="shared" si="7"/>
        <v>3.5319729999999998</v>
      </c>
      <c r="H176" s="7">
        <f t="shared" si="8"/>
        <v>0.66808568224663034</v>
      </c>
      <c r="I176" s="8">
        <v>0.18915367763191501</v>
      </c>
      <c r="J176" s="2" t="s">
        <v>66</v>
      </c>
    </row>
    <row r="177" spans="1:10" ht="12.75" customHeight="1">
      <c r="A177" s="1">
        <v>46183</v>
      </c>
      <c r="B177" s="2">
        <v>16</v>
      </c>
      <c r="C177" s="7">
        <v>-4.7844629958671003</v>
      </c>
      <c r="D177" s="7">
        <v>-4.0236929999999997</v>
      </c>
      <c r="E177" s="7">
        <v>-0.45148523286710301</v>
      </c>
      <c r="F177" s="7">
        <f t="shared" si="6"/>
        <v>4.7844629958671003</v>
      </c>
      <c r="G177" s="7">
        <f t="shared" si="7"/>
        <v>4.0236929999999997</v>
      </c>
      <c r="H177" s="7">
        <f t="shared" si="8"/>
        <v>0.76076999586710059</v>
      </c>
      <c r="I177" s="8">
        <v>0.18907257483786699</v>
      </c>
      <c r="J177" s="2" t="s">
        <v>66</v>
      </c>
    </row>
    <row r="178" spans="1:10" ht="12.75" customHeight="1">
      <c r="A178" s="1">
        <v>46182</v>
      </c>
      <c r="B178" s="2">
        <v>18</v>
      </c>
      <c r="C178" s="7">
        <v>-5.1287001134460803</v>
      </c>
      <c r="D178" s="7">
        <v>-4.3154899999999996</v>
      </c>
      <c r="E178" s="7">
        <v>-0.69910195844608103</v>
      </c>
      <c r="F178" s="7">
        <f t="shared" si="6"/>
        <v>5.1287001134460803</v>
      </c>
      <c r="G178" s="7">
        <f t="shared" si="7"/>
        <v>4.3154899999999996</v>
      </c>
      <c r="H178" s="7">
        <f t="shared" si="8"/>
        <v>0.81321011344608074</v>
      </c>
      <c r="I178" s="8">
        <v>0.188439809487702</v>
      </c>
      <c r="J178" s="2" t="s">
        <v>66</v>
      </c>
    </row>
    <row r="179" spans="1:10" ht="12.75" customHeight="1">
      <c r="A179" s="1">
        <v>46182</v>
      </c>
      <c r="B179" s="2">
        <v>22</v>
      </c>
      <c r="C179" s="7">
        <v>-6.1402750423859498</v>
      </c>
      <c r="D179" s="7">
        <v>-5.1675890000000004</v>
      </c>
      <c r="E179" s="7">
        <v>-0.97268604238595002</v>
      </c>
      <c r="F179" s="7">
        <f t="shared" si="6"/>
        <v>6.1402750423859498</v>
      </c>
      <c r="G179" s="7">
        <f t="shared" si="7"/>
        <v>5.1675890000000004</v>
      </c>
      <c r="H179" s="7">
        <f t="shared" si="8"/>
        <v>0.97268604238594936</v>
      </c>
      <c r="I179" s="8">
        <v>0.18822821288340699</v>
      </c>
      <c r="J179" s="2" t="s">
        <v>66</v>
      </c>
    </row>
    <row r="180" spans="1:10" ht="12.75" customHeight="1">
      <c r="A180" s="1">
        <v>46195</v>
      </c>
      <c r="B180" s="2">
        <v>9</v>
      </c>
      <c r="C180" s="7">
        <v>-3.9754314363752101</v>
      </c>
      <c r="D180" s="7">
        <v>-3.3462839999999998</v>
      </c>
      <c r="E180" s="7">
        <v>-0.105058026375213</v>
      </c>
      <c r="F180" s="7">
        <f t="shared" si="6"/>
        <v>3.9754314363752101</v>
      </c>
      <c r="G180" s="7">
        <f t="shared" si="7"/>
        <v>3.3462839999999998</v>
      </c>
      <c r="H180" s="7">
        <f t="shared" si="8"/>
        <v>0.62914743637521031</v>
      </c>
      <c r="I180" s="8">
        <v>0.18801375985278401</v>
      </c>
      <c r="J180" s="2" t="s">
        <v>66</v>
      </c>
    </row>
    <row r="181" spans="1:10" ht="12.75" customHeight="1">
      <c r="A181" s="1">
        <v>46192</v>
      </c>
      <c r="B181" s="2">
        <v>8</v>
      </c>
      <c r="C181" s="7">
        <v>-3.0578765589572501</v>
      </c>
      <c r="D181" s="7">
        <v>-3.7597170000000002</v>
      </c>
      <c r="E181" s="7">
        <v>1.07118686104275</v>
      </c>
      <c r="F181" s="7">
        <f t="shared" si="6"/>
        <v>3.0578765589572501</v>
      </c>
      <c r="G181" s="7">
        <f t="shared" si="7"/>
        <v>3.7597170000000002</v>
      </c>
      <c r="H181" s="7">
        <f t="shared" si="8"/>
        <v>0.70184044104275012</v>
      </c>
      <c r="I181" s="8">
        <v>0.18667374194460601</v>
      </c>
      <c r="J181" s="2" t="s">
        <v>66</v>
      </c>
    </row>
    <row r="182" spans="1:10" ht="12.75" customHeight="1">
      <c r="A182" s="1">
        <v>46191</v>
      </c>
      <c r="B182" s="2">
        <v>9</v>
      </c>
      <c r="C182" s="7">
        <v>-3.6919346458102198</v>
      </c>
      <c r="D182" s="7">
        <v>-4.5374109999999996</v>
      </c>
      <c r="E182" s="7">
        <v>1.25647792818978</v>
      </c>
      <c r="F182" s="7">
        <f t="shared" si="6"/>
        <v>3.6919346458102198</v>
      </c>
      <c r="G182" s="7">
        <f t="shared" si="7"/>
        <v>4.5374109999999996</v>
      </c>
      <c r="H182" s="7">
        <f t="shared" si="8"/>
        <v>0.84547635418977984</v>
      </c>
      <c r="I182" s="8">
        <v>0.186334531782503</v>
      </c>
      <c r="J182" s="2" t="s">
        <v>66</v>
      </c>
    </row>
    <row r="183" spans="1:10" ht="12.75" customHeight="1">
      <c r="A183" s="1">
        <v>46200</v>
      </c>
      <c r="B183" s="2">
        <v>18</v>
      </c>
      <c r="C183" s="7">
        <v>-4.7816458308158101</v>
      </c>
      <c r="D183" s="7">
        <v>-4.0314569999999996</v>
      </c>
      <c r="E183" s="7">
        <v>-0.47790276281580601</v>
      </c>
      <c r="F183" s="7">
        <f t="shared" si="6"/>
        <v>4.7816458308158101</v>
      </c>
      <c r="G183" s="7">
        <f t="shared" si="7"/>
        <v>4.0314569999999996</v>
      </c>
      <c r="H183" s="7">
        <f t="shared" si="8"/>
        <v>0.75018883081581045</v>
      </c>
      <c r="I183" s="8">
        <v>0.186083798194004</v>
      </c>
      <c r="J183" s="2" t="s">
        <v>66</v>
      </c>
    </row>
    <row r="184" spans="1:10" ht="12.75" customHeight="1">
      <c r="A184" s="1">
        <v>46187</v>
      </c>
      <c r="B184" s="2">
        <v>18</v>
      </c>
      <c r="C184" s="7">
        <v>-3.1243946471793098</v>
      </c>
      <c r="D184" s="7">
        <v>-3.8380040000000002</v>
      </c>
      <c r="E184" s="7">
        <v>1.3220354716206899</v>
      </c>
      <c r="F184" s="7">
        <f t="shared" si="6"/>
        <v>3.1243946471793098</v>
      </c>
      <c r="G184" s="7">
        <f t="shared" si="7"/>
        <v>3.8380040000000002</v>
      </c>
      <c r="H184" s="7">
        <f t="shared" si="8"/>
        <v>0.71360935282069038</v>
      </c>
      <c r="I184" s="8">
        <v>0.185932415083645</v>
      </c>
      <c r="J184" s="2" t="s">
        <v>66</v>
      </c>
    </row>
    <row r="185" spans="1:10" ht="12.75" customHeight="1">
      <c r="A185" s="1">
        <v>46177</v>
      </c>
      <c r="B185" s="2">
        <v>5</v>
      </c>
      <c r="C185" s="7">
        <v>-3.6555520458364601</v>
      </c>
      <c r="D185" s="7">
        <v>-3.0829550000000001</v>
      </c>
      <c r="E185" s="7">
        <v>-0.57259316383646297</v>
      </c>
      <c r="F185" s="7">
        <f t="shared" si="6"/>
        <v>3.6555520458364601</v>
      </c>
      <c r="G185" s="7">
        <f t="shared" si="7"/>
        <v>3.0829550000000001</v>
      </c>
      <c r="H185" s="7">
        <f t="shared" si="8"/>
        <v>0.57259704583645998</v>
      </c>
      <c r="I185" s="8">
        <v>0.18572993956657299</v>
      </c>
      <c r="J185" s="2" t="s">
        <v>66</v>
      </c>
    </row>
    <row r="186" spans="1:10" ht="12.75" customHeight="1">
      <c r="A186" s="1">
        <v>46184</v>
      </c>
      <c r="B186" s="2">
        <v>12</v>
      </c>
      <c r="C186" s="7">
        <v>-4.1821587802553903</v>
      </c>
      <c r="D186" s="7">
        <v>-3.527444</v>
      </c>
      <c r="E186" s="7">
        <v>-7.1599130553924801E-3</v>
      </c>
      <c r="F186" s="7">
        <f t="shared" si="6"/>
        <v>4.1821587802553903</v>
      </c>
      <c r="G186" s="7">
        <f t="shared" si="7"/>
        <v>3.527444</v>
      </c>
      <c r="H186" s="7">
        <f t="shared" si="8"/>
        <v>0.65471478025539032</v>
      </c>
      <c r="I186" s="8">
        <v>0.185606002605681</v>
      </c>
      <c r="J186" s="2" t="s">
        <v>66</v>
      </c>
    </row>
    <row r="187" spans="1:10" ht="12.75" customHeight="1">
      <c r="A187" s="1">
        <v>46197</v>
      </c>
      <c r="B187" s="2">
        <v>16</v>
      </c>
      <c r="C187" s="7">
        <v>-5.19369279930131</v>
      </c>
      <c r="D187" s="7">
        <v>-4.3840719999999997</v>
      </c>
      <c r="E187" s="7">
        <v>-0.34459860730131497</v>
      </c>
      <c r="F187" s="7">
        <f t="shared" si="6"/>
        <v>5.19369279930131</v>
      </c>
      <c r="G187" s="7">
        <f t="shared" si="7"/>
        <v>4.3840719999999997</v>
      </c>
      <c r="H187" s="7">
        <f t="shared" si="8"/>
        <v>0.80962079930131026</v>
      </c>
      <c r="I187" s="8">
        <v>0.18467324425814999</v>
      </c>
      <c r="J187" s="2" t="s">
        <v>66</v>
      </c>
    </row>
    <row r="188" spans="1:10" ht="12.75" customHeight="1">
      <c r="A188" s="1">
        <v>46178</v>
      </c>
      <c r="B188" s="2">
        <v>21</v>
      </c>
      <c r="C188" s="7">
        <v>-6.0500000868658397</v>
      </c>
      <c r="D188" s="7">
        <v>-5.107418</v>
      </c>
      <c r="E188" s="7">
        <v>-0.94258208686584</v>
      </c>
      <c r="F188" s="7">
        <f t="shared" si="6"/>
        <v>6.0500000868658397</v>
      </c>
      <c r="G188" s="7">
        <f t="shared" si="7"/>
        <v>5.107418</v>
      </c>
      <c r="H188" s="7">
        <f t="shared" si="8"/>
        <v>0.94258208686583966</v>
      </c>
      <c r="I188" s="8">
        <v>0.18455158494288901</v>
      </c>
      <c r="J188" s="2" t="s">
        <v>66</v>
      </c>
    </row>
    <row r="189" spans="1:10" ht="12.75" customHeight="1">
      <c r="A189" s="1">
        <v>46202</v>
      </c>
      <c r="B189" s="2">
        <v>9</v>
      </c>
      <c r="C189" s="7">
        <v>-4.1742564879848896</v>
      </c>
      <c r="D189" s="7">
        <v>-3.529385</v>
      </c>
      <c r="E189" s="7">
        <v>-0.189157684984889</v>
      </c>
      <c r="F189" s="7">
        <f t="shared" si="6"/>
        <v>4.1742564879848896</v>
      </c>
      <c r="G189" s="7">
        <f t="shared" si="7"/>
        <v>3.529385</v>
      </c>
      <c r="H189" s="7">
        <f t="shared" si="8"/>
        <v>0.64487148798488958</v>
      </c>
      <c r="I189" s="8">
        <v>0.18271497385093699</v>
      </c>
      <c r="J189" s="2" t="s">
        <v>66</v>
      </c>
    </row>
    <row r="190" spans="1:10" ht="12.75" customHeight="1">
      <c r="A190" s="1">
        <v>46178</v>
      </c>
      <c r="B190" s="2">
        <v>1</v>
      </c>
      <c r="C190" s="7">
        <v>-3.9680462462902599</v>
      </c>
      <c r="D190" s="7">
        <v>-3.3559890000000001</v>
      </c>
      <c r="E190" s="7">
        <v>-0.61205724629026104</v>
      </c>
      <c r="F190" s="7">
        <f t="shared" si="6"/>
        <v>3.9680462462902599</v>
      </c>
      <c r="G190" s="7">
        <f t="shared" si="7"/>
        <v>3.3559890000000001</v>
      </c>
      <c r="H190" s="7">
        <f t="shared" si="8"/>
        <v>0.61205724629025982</v>
      </c>
      <c r="I190" s="8">
        <v>0.18237760799879299</v>
      </c>
      <c r="J190" s="2" t="s">
        <v>66</v>
      </c>
    </row>
    <row r="191" spans="1:10" ht="12.75" customHeight="1">
      <c r="A191" s="1">
        <v>46193</v>
      </c>
      <c r="B191" s="2">
        <v>17</v>
      </c>
      <c r="C191" s="7">
        <v>-4.22196234997016</v>
      </c>
      <c r="D191" s="7">
        <v>-3.5707930000000001</v>
      </c>
      <c r="E191" s="7">
        <v>1.6103101029844399E-2</v>
      </c>
      <c r="F191" s="7">
        <f t="shared" si="6"/>
        <v>4.22196234997016</v>
      </c>
      <c r="G191" s="7">
        <f t="shared" si="7"/>
        <v>3.5707930000000001</v>
      </c>
      <c r="H191" s="7">
        <f t="shared" si="8"/>
        <v>0.65116934997015985</v>
      </c>
      <c r="I191" s="8">
        <v>0.18235987075424301</v>
      </c>
      <c r="J191" s="2" t="s">
        <v>66</v>
      </c>
    </row>
    <row r="192" spans="1:10" ht="12.75" customHeight="1">
      <c r="A192" s="1">
        <v>46186</v>
      </c>
      <c r="B192" s="2">
        <v>10</v>
      </c>
      <c r="C192" s="7">
        <v>-3.0346482112143698</v>
      </c>
      <c r="D192" s="7">
        <v>-3.7073100000000001</v>
      </c>
      <c r="E192" s="7">
        <v>1.45767724078563</v>
      </c>
      <c r="F192" s="7">
        <f t="shared" si="6"/>
        <v>3.0346482112143698</v>
      </c>
      <c r="G192" s="7">
        <f t="shared" si="7"/>
        <v>3.7073100000000001</v>
      </c>
      <c r="H192" s="7">
        <f t="shared" si="8"/>
        <v>0.67266178878563032</v>
      </c>
      <c r="I192" s="8">
        <v>0.181442012884176</v>
      </c>
      <c r="J192" s="2" t="s">
        <v>66</v>
      </c>
    </row>
    <row r="193" spans="1:10" ht="12.75" customHeight="1">
      <c r="A193" s="1">
        <v>46184</v>
      </c>
      <c r="B193" s="2">
        <v>4</v>
      </c>
      <c r="C193" s="7">
        <v>-4.02189228129724</v>
      </c>
      <c r="D193" s="7">
        <v>-3.4045139999999998</v>
      </c>
      <c r="E193" s="7">
        <v>-0.61737828129724304</v>
      </c>
      <c r="F193" s="7">
        <f t="shared" si="6"/>
        <v>4.02189228129724</v>
      </c>
      <c r="G193" s="7">
        <f t="shared" si="7"/>
        <v>3.4045139999999998</v>
      </c>
      <c r="H193" s="7">
        <f t="shared" si="8"/>
        <v>0.61737828129724015</v>
      </c>
      <c r="I193" s="8">
        <v>0.181341090474953</v>
      </c>
      <c r="J193" s="2" t="s">
        <v>66</v>
      </c>
    </row>
    <row r="194" spans="1:10" ht="12.75" customHeight="1">
      <c r="A194" s="1">
        <v>46191</v>
      </c>
      <c r="B194" s="2">
        <v>15</v>
      </c>
      <c r="C194" s="7">
        <v>-4.6764551911281096</v>
      </c>
      <c r="D194" s="7">
        <v>-3.9674040000000002</v>
      </c>
      <c r="E194" s="7">
        <v>-0.268055344128108</v>
      </c>
      <c r="F194" s="7">
        <f t="shared" ref="F194:F257" si="9">ABS(C194)</f>
        <v>4.6764551911281096</v>
      </c>
      <c r="G194" s="7">
        <f t="shared" ref="G194:G257" si="10">ABS(D194)</f>
        <v>3.9674040000000002</v>
      </c>
      <c r="H194" s="7">
        <f t="shared" ref="H194:H257" si="11">ABS(G194-F194)</f>
        <v>0.70905119112810944</v>
      </c>
      <c r="I194" s="8">
        <v>0.178719180382968</v>
      </c>
      <c r="J194" s="2" t="s">
        <v>66</v>
      </c>
    </row>
    <row r="195" spans="1:10" ht="12.75" customHeight="1">
      <c r="A195" s="1">
        <v>46174</v>
      </c>
      <c r="B195" s="2">
        <v>6</v>
      </c>
      <c r="C195" s="7">
        <v>-2.76000375604215</v>
      </c>
      <c r="D195" s="7">
        <v>-3.3605179999999999</v>
      </c>
      <c r="E195" s="7">
        <v>0.62255636935785297</v>
      </c>
      <c r="F195" s="7">
        <f t="shared" si="9"/>
        <v>2.76000375604215</v>
      </c>
      <c r="G195" s="7">
        <f t="shared" si="10"/>
        <v>3.3605179999999999</v>
      </c>
      <c r="H195" s="7">
        <f t="shared" si="11"/>
        <v>0.60051424395784991</v>
      </c>
      <c r="I195" s="8">
        <v>0.17869692825863501</v>
      </c>
      <c r="J195" s="2" t="s">
        <v>66</v>
      </c>
    </row>
    <row r="196" spans="1:10" ht="12.75" customHeight="1">
      <c r="A196" s="1">
        <v>46181</v>
      </c>
      <c r="B196" s="2">
        <v>8</v>
      </c>
      <c r="C196" s="7">
        <v>-2.9941735399336098</v>
      </c>
      <c r="D196" s="7">
        <v>-3.6451980000000002</v>
      </c>
      <c r="E196" s="7">
        <v>1.05402846706639</v>
      </c>
      <c r="F196" s="7">
        <f t="shared" si="9"/>
        <v>2.9941735399336098</v>
      </c>
      <c r="G196" s="7">
        <f t="shared" si="10"/>
        <v>3.6451980000000002</v>
      </c>
      <c r="H196" s="7">
        <f t="shared" si="11"/>
        <v>0.65102446006639036</v>
      </c>
      <c r="I196" s="8">
        <v>0.17859783201526799</v>
      </c>
      <c r="J196" s="2" t="s">
        <v>66</v>
      </c>
    </row>
    <row r="197" spans="1:10" ht="12.75" customHeight="1">
      <c r="A197" s="1">
        <v>46179</v>
      </c>
      <c r="B197" s="2">
        <v>9</v>
      </c>
      <c r="C197" s="7">
        <v>-2.9162387159988699</v>
      </c>
      <c r="D197" s="7">
        <v>-3.5487950000000001</v>
      </c>
      <c r="E197" s="7">
        <v>1.34456671460113</v>
      </c>
      <c r="F197" s="7">
        <f t="shared" si="9"/>
        <v>2.9162387159988699</v>
      </c>
      <c r="G197" s="7">
        <f t="shared" si="10"/>
        <v>3.5487950000000001</v>
      </c>
      <c r="H197" s="7">
        <f t="shared" si="11"/>
        <v>0.63255628400113029</v>
      </c>
      <c r="I197" s="8">
        <v>0.17824537173917601</v>
      </c>
      <c r="J197" s="2" t="s">
        <v>66</v>
      </c>
    </row>
    <row r="198" spans="1:10" ht="12.75" customHeight="1">
      <c r="A198" s="1">
        <v>46196</v>
      </c>
      <c r="B198" s="2">
        <v>9</v>
      </c>
      <c r="C198" s="7">
        <v>-4.1867031855066497</v>
      </c>
      <c r="D198" s="7">
        <v>-3.5539710000000002</v>
      </c>
      <c r="E198" s="7">
        <v>-0.17678287450664501</v>
      </c>
      <c r="F198" s="7">
        <f t="shared" si="9"/>
        <v>4.1867031855066497</v>
      </c>
      <c r="G198" s="7">
        <f t="shared" si="10"/>
        <v>3.5539710000000002</v>
      </c>
      <c r="H198" s="7">
        <f t="shared" si="11"/>
        <v>0.63273218550664945</v>
      </c>
      <c r="I198" s="8">
        <v>0.178035269704408</v>
      </c>
      <c r="J198" s="2" t="s">
        <v>66</v>
      </c>
    </row>
    <row r="199" spans="1:10" ht="12.75" customHeight="1">
      <c r="A199" s="1">
        <v>46177</v>
      </c>
      <c r="B199" s="2">
        <v>12</v>
      </c>
      <c r="C199" s="7">
        <v>-3.84464430532595</v>
      </c>
      <c r="D199" s="7">
        <v>-3.265409</v>
      </c>
      <c r="E199" s="7">
        <v>4.6996641674051501E-2</v>
      </c>
      <c r="F199" s="7">
        <f t="shared" si="9"/>
        <v>3.84464430532595</v>
      </c>
      <c r="G199" s="7">
        <f t="shared" si="10"/>
        <v>3.265409</v>
      </c>
      <c r="H199" s="7">
        <f t="shared" si="11"/>
        <v>0.57923530532595002</v>
      </c>
      <c r="I199" s="8">
        <v>0.177385223512873</v>
      </c>
      <c r="J199" s="2" t="s">
        <v>66</v>
      </c>
    </row>
    <row r="200" spans="1:10" ht="12.75" customHeight="1">
      <c r="A200" s="1">
        <v>46197</v>
      </c>
      <c r="B200" s="2">
        <v>19</v>
      </c>
      <c r="C200" s="7">
        <v>-5.7599153149951396</v>
      </c>
      <c r="D200" s="7">
        <v>-4.8984370000000004</v>
      </c>
      <c r="E200" s="7">
        <v>-0.837666773995142</v>
      </c>
      <c r="F200" s="7">
        <f t="shared" si="9"/>
        <v>5.7599153149951396</v>
      </c>
      <c r="G200" s="7">
        <f t="shared" si="10"/>
        <v>4.8984370000000004</v>
      </c>
      <c r="H200" s="7">
        <f t="shared" si="11"/>
        <v>0.86147831499513927</v>
      </c>
      <c r="I200" s="8">
        <v>0.17586799932205799</v>
      </c>
      <c r="J200" s="2" t="s">
        <v>66</v>
      </c>
    </row>
    <row r="201" spans="1:10" ht="12.75" customHeight="1">
      <c r="A201" s="1">
        <v>46200</v>
      </c>
      <c r="B201" s="2">
        <v>12</v>
      </c>
      <c r="C201" s="7">
        <v>-4.1538635296407396</v>
      </c>
      <c r="D201" s="7">
        <v>-3.540384</v>
      </c>
      <c r="E201" s="7">
        <v>0.34731417635925799</v>
      </c>
      <c r="F201" s="7">
        <f t="shared" si="9"/>
        <v>4.1538635296407396</v>
      </c>
      <c r="G201" s="7">
        <f t="shared" si="10"/>
        <v>3.540384</v>
      </c>
      <c r="H201" s="7">
        <f t="shared" si="11"/>
        <v>0.6134795296407396</v>
      </c>
      <c r="I201" s="8">
        <v>0.17328050562897701</v>
      </c>
      <c r="J201" s="2" t="s">
        <v>66</v>
      </c>
    </row>
    <row r="202" spans="1:10" ht="12.75" customHeight="1">
      <c r="A202" s="1">
        <v>46180</v>
      </c>
      <c r="B202" s="2">
        <v>14</v>
      </c>
      <c r="C202" s="7">
        <v>-3.0006650220128699</v>
      </c>
      <c r="D202" s="7">
        <v>-3.6264349999999999</v>
      </c>
      <c r="E202" s="7">
        <v>1.5470968133871299</v>
      </c>
      <c r="F202" s="7">
        <f t="shared" si="9"/>
        <v>3.0006650220128699</v>
      </c>
      <c r="G202" s="7">
        <f t="shared" si="10"/>
        <v>3.6264349999999999</v>
      </c>
      <c r="H202" s="7">
        <f t="shared" si="11"/>
        <v>0.62576997798712997</v>
      </c>
      <c r="I202" s="8">
        <v>0.17255789170001101</v>
      </c>
      <c r="J202" s="2" t="s">
        <v>66</v>
      </c>
    </row>
    <row r="203" spans="1:10" ht="12.75" customHeight="1">
      <c r="A203" s="1">
        <v>46188</v>
      </c>
      <c r="B203" s="2">
        <v>1</v>
      </c>
      <c r="C203" s="7">
        <v>-3.2070170695535598</v>
      </c>
      <c r="D203" s="7">
        <v>-3.8735889999999999</v>
      </c>
      <c r="E203" s="7">
        <v>0.66657193044644103</v>
      </c>
      <c r="F203" s="7">
        <f t="shared" si="9"/>
        <v>3.2070170695535598</v>
      </c>
      <c r="G203" s="7">
        <f t="shared" si="10"/>
        <v>3.8735889999999999</v>
      </c>
      <c r="H203" s="7">
        <f t="shared" si="11"/>
        <v>0.66657193044644014</v>
      </c>
      <c r="I203" s="8">
        <v>0.17208122246486199</v>
      </c>
      <c r="J203" s="2" t="s">
        <v>66</v>
      </c>
    </row>
    <row r="204" spans="1:10" ht="12.75" customHeight="1">
      <c r="A204" s="1">
        <v>46203</v>
      </c>
      <c r="B204" s="2">
        <v>8</v>
      </c>
      <c r="C204" s="7">
        <v>-3.7295903303746401</v>
      </c>
      <c r="D204" s="7">
        <v>-3.1832400000000001</v>
      </c>
      <c r="E204" s="7">
        <v>-0.30702761837463699</v>
      </c>
      <c r="F204" s="7">
        <f t="shared" si="9"/>
        <v>3.7295903303746401</v>
      </c>
      <c r="G204" s="7">
        <f t="shared" si="10"/>
        <v>3.1832400000000001</v>
      </c>
      <c r="H204" s="7">
        <f t="shared" si="11"/>
        <v>0.54635033037463998</v>
      </c>
      <c r="I204" s="8">
        <v>0.171633408217614</v>
      </c>
      <c r="J204" s="2" t="s">
        <v>66</v>
      </c>
    </row>
    <row r="205" spans="1:10" ht="12.75" customHeight="1">
      <c r="A205" s="1">
        <v>46194</v>
      </c>
      <c r="B205" s="2">
        <v>12</v>
      </c>
      <c r="C205" s="7">
        <v>-2.9088560286273601</v>
      </c>
      <c r="D205" s="7">
        <v>-3.511269</v>
      </c>
      <c r="E205" s="7">
        <v>1.75209108097264</v>
      </c>
      <c r="F205" s="7">
        <f t="shared" si="9"/>
        <v>2.9088560286273601</v>
      </c>
      <c r="G205" s="7">
        <f t="shared" si="10"/>
        <v>3.511269</v>
      </c>
      <c r="H205" s="7">
        <f t="shared" si="11"/>
        <v>0.60241297137263983</v>
      </c>
      <c r="I205" s="8">
        <v>0.171565599608756</v>
      </c>
      <c r="J205" s="2" t="s">
        <v>66</v>
      </c>
    </row>
    <row r="206" spans="1:10" ht="12.75" customHeight="1">
      <c r="A206" s="1">
        <v>46185</v>
      </c>
      <c r="B206" s="2">
        <v>19</v>
      </c>
      <c r="C206" s="7">
        <v>-4.4112587394765397</v>
      </c>
      <c r="D206" s="7">
        <v>-5.3209280000000003</v>
      </c>
      <c r="E206" s="7">
        <v>0.95274846152345705</v>
      </c>
      <c r="F206" s="7">
        <f t="shared" si="9"/>
        <v>4.4112587394765397</v>
      </c>
      <c r="G206" s="7">
        <f t="shared" si="10"/>
        <v>5.3209280000000003</v>
      </c>
      <c r="H206" s="7">
        <f t="shared" si="11"/>
        <v>0.90966926052346064</v>
      </c>
      <c r="I206" s="8">
        <v>0.17096064079864601</v>
      </c>
      <c r="J206" s="2" t="s">
        <v>66</v>
      </c>
    </row>
    <row r="207" spans="1:10" ht="12.75" customHeight="1">
      <c r="A207" s="1">
        <v>46198</v>
      </c>
      <c r="B207" s="2">
        <v>16</v>
      </c>
      <c r="C207" s="7">
        <v>-5.1554331673910703</v>
      </c>
      <c r="D207" s="7">
        <v>-4.4028349999999996</v>
      </c>
      <c r="E207" s="7">
        <v>-6.7933709391073696E-2</v>
      </c>
      <c r="F207" s="7">
        <f t="shared" si="9"/>
        <v>5.1554331673910703</v>
      </c>
      <c r="G207" s="7">
        <f t="shared" si="10"/>
        <v>4.4028349999999996</v>
      </c>
      <c r="H207" s="7">
        <f t="shared" si="11"/>
        <v>0.75259816739107066</v>
      </c>
      <c r="I207" s="8">
        <v>0.170934901578432</v>
      </c>
      <c r="J207" s="2" t="s">
        <v>66</v>
      </c>
    </row>
    <row r="208" spans="1:10" ht="12.75" customHeight="1">
      <c r="A208" s="1">
        <v>46178</v>
      </c>
      <c r="B208" s="2">
        <v>15</v>
      </c>
      <c r="C208" s="7">
        <v>-4.2111256091432701</v>
      </c>
      <c r="D208" s="7">
        <v>-3.5973199999999999</v>
      </c>
      <c r="E208" s="7">
        <v>8.2224050856725503E-2</v>
      </c>
      <c r="F208" s="7">
        <f t="shared" si="9"/>
        <v>4.2111256091432701</v>
      </c>
      <c r="G208" s="7">
        <f t="shared" si="10"/>
        <v>3.5973199999999999</v>
      </c>
      <c r="H208" s="7">
        <f t="shared" si="11"/>
        <v>0.6138056091432702</v>
      </c>
      <c r="I208" s="8">
        <v>0.17062858159498601</v>
      </c>
      <c r="J208" s="2" t="s">
        <v>66</v>
      </c>
    </row>
    <row r="209" spans="1:10" ht="12.75" customHeight="1">
      <c r="A209" s="1">
        <v>46183</v>
      </c>
      <c r="B209" s="2">
        <v>20</v>
      </c>
      <c r="C209" s="7">
        <v>-6.3979629494208297</v>
      </c>
      <c r="D209" s="7">
        <v>-5.4665030000000003</v>
      </c>
      <c r="E209" s="7">
        <v>-0.92931967342082999</v>
      </c>
      <c r="F209" s="7">
        <f t="shared" si="9"/>
        <v>6.3979629494208297</v>
      </c>
      <c r="G209" s="7">
        <f t="shared" si="10"/>
        <v>5.4665030000000003</v>
      </c>
      <c r="H209" s="7">
        <f t="shared" si="11"/>
        <v>0.93145994942082933</v>
      </c>
      <c r="I209" s="8">
        <v>0.170394116571569</v>
      </c>
      <c r="J209" s="2" t="s">
        <v>66</v>
      </c>
    </row>
    <row r="210" spans="1:10" ht="12.75" customHeight="1">
      <c r="A210" s="1">
        <v>46185</v>
      </c>
      <c r="B210" s="2">
        <v>16</v>
      </c>
      <c r="C210" s="7">
        <v>-4.8440745422562399</v>
      </c>
      <c r="D210" s="7">
        <v>-4.1388590000000001</v>
      </c>
      <c r="E210" s="7">
        <v>-0.41498492925624197</v>
      </c>
      <c r="F210" s="7">
        <f t="shared" si="9"/>
        <v>4.8440745422562399</v>
      </c>
      <c r="G210" s="7">
        <f t="shared" si="10"/>
        <v>4.1388590000000001</v>
      </c>
      <c r="H210" s="7">
        <f t="shared" si="11"/>
        <v>0.70521554225623984</v>
      </c>
      <c r="I210" s="8">
        <v>0.17038887825273599</v>
      </c>
      <c r="J210" s="2" t="s">
        <v>66</v>
      </c>
    </row>
    <row r="211" spans="1:10" ht="12.75" customHeight="1">
      <c r="A211" s="1">
        <v>46178</v>
      </c>
      <c r="B211" s="2">
        <v>16</v>
      </c>
      <c r="C211" s="7">
        <v>-4.1904172227223597</v>
      </c>
      <c r="D211" s="7">
        <v>-3.5817920000000001</v>
      </c>
      <c r="E211" s="7">
        <v>9.3081277638114402E-5</v>
      </c>
      <c r="F211" s="7">
        <f t="shared" si="9"/>
        <v>4.1904172227223597</v>
      </c>
      <c r="G211" s="7">
        <f t="shared" si="10"/>
        <v>3.5817920000000001</v>
      </c>
      <c r="H211" s="7">
        <f t="shared" si="11"/>
        <v>0.60862522272235964</v>
      </c>
      <c r="I211" s="8">
        <v>0.16992198952992299</v>
      </c>
      <c r="J211" s="2" t="s">
        <v>66</v>
      </c>
    </row>
    <row r="212" spans="1:10" ht="12.75" customHeight="1">
      <c r="A212" s="1">
        <v>46184</v>
      </c>
      <c r="B212" s="2">
        <v>5</v>
      </c>
      <c r="C212" s="7">
        <v>-4.0239769870165398</v>
      </c>
      <c r="D212" s="7">
        <v>-3.440099</v>
      </c>
      <c r="E212" s="7">
        <v>-0.58387022301654201</v>
      </c>
      <c r="F212" s="7">
        <f t="shared" si="9"/>
        <v>4.0239769870165398</v>
      </c>
      <c r="G212" s="7">
        <f t="shared" si="10"/>
        <v>3.440099</v>
      </c>
      <c r="H212" s="7">
        <f t="shared" si="11"/>
        <v>0.58387798701653981</v>
      </c>
      <c r="I212" s="8">
        <v>0.16972708838220699</v>
      </c>
      <c r="J212" s="2" t="s">
        <v>66</v>
      </c>
    </row>
    <row r="213" spans="1:10" ht="12.75" customHeight="1">
      <c r="A213" s="1">
        <v>46187</v>
      </c>
      <c r="B213" s="2">
        <v>19</v>
      </c>
      <c r="C213" s="7">
        <v>-3.4845082618614902</v>
      </c>
      <c r="D213" s="7">
        <v>-4.1893250000000002</v>
      </c>
      <c r="E213" s="7">
        <v>0.88259590433850799</v>
      </c>
      <c r="F213" s="7">
        <f t="shared" si="9"/>
        <v>3.4845082618614902</v>
      </c>
      <c r="G213" s="7">
        <f t="shared" si="10"/>
        <v>4.1893250000000002</v>
      </c>
      <c r="H213" s="7">
        <f t="shared" si="11"/>
        <v>0.70481673813850998</v>
      </c>
      <c r="I213" s="8">
        <v>0.168241121932175</v>
      </c>
      <c r="J213" s="2" t="s">
        <v>66</v>
      </c>
    </row>
    <row r="214" spans="1:10" ht="12.75" customHeight="1">
      <c r="A214" s="1">
        <v>46195</v>
      </c>
      <c r="B214" s="2">
        <v>8</v>
      </c>
      <c r="C214" s="7">
        <v>-3.0991236891547702</v>
      </c>
      <c r="D214" s="7">
        <v>-2.6546409999999998</v>
      </c>
      <c r="E214" s="7">
        <v>-5.2453881547701803E-3</v>
      </c>
      <c r="F214" s="7">
        <f t="shared" si="9"/>
        <v>3.0991236891547702</v>
      </c>
      <c r="G214" s="7">
        <f t="shared" si="10"/>
        <v>2.6546409999999998</v>
      </c>
      <c r="H214" s="7">
        <f t="shared" si="11"/>
        <v>0.44448268915477041</v>
      </c>
      <c r="I214" s="8">
        <v>0.167436082376024</v>
      </c>
      <c r="J214" s="2" t="s">
        <v>66</v>
      </c>
    </row>
    <row r="215" spans="1:10" ht="12.75" customHeight="1">
      <c r="A215" s="1">
        <v>46182</v>
      </c>
      <c r="B215" s="2">
        <v>20</v>
      </c>
      <c r="C215" s="7">
        <v>-6.2618587255977598</v>
      </c>
      <c r="D215" s="7">
        <v>-5.3649240000000002</v>
      </c>
      <c r="E215" s="7">
        <v>-0.89582576759776</v>
      </c>
      <c r="F215" s="7">
        <f t="shared" si="9"/>
        <v>6.2618587255977598</v>
      </c>
      <c r="G215" s="7">
        <f t="shared" si="10"/>
        <v>5.3649240000000002</v>
      </c>
      <c r="H215" s="7">
        <f t="shared" si="11"/>
        <v>0.89693472559775955</v>
      </c>
      <c r="I215" s="8">
        <v>0.16718498260138601</v>
      </c>
      <c r="J215" s="2" t="s">
        <v>66</v>
      </c>
    </row>
    <row r="216" spans="1:10" ht="12.75" customHeight="1">
      <c r="A216" s="1">
        <v>46181</v>
      </c>
      <c r="B216" s="2">
        <v>12</v>
      </c>
      <c r="C216" s="7">
        <v>-4.2125681572560101</v>
      </c>
      <c r="D216" s="7">
        <v>-3.609613</v>
      </c>
      <c r="E216" s="7">
        <v>-2.95102456005939E-4</v>
      </c>
      <c r="F216" s="7">
        <f t="shared" si="9"/>
        <v>4.2125681572560101</v>
      </c>
      <c r="G216" s="7">
        <f t="shared" si="10"/>
        <v>3.609613</v>
      </c>
      <c r="H216" s="7">
        <f t="shared" si="11"/>
        <v>0.60295515725601012</v>
      </c>
      <c r="I216" s="8">
        <v>0.16704149648618999</v>
      </c>
      <c r="J216" s="2" t="s">
        <v>66</v>
      </c>
    </row>
    <row r="217" spans="1:10" ht="12.75" customHeight="1">
      <c r="A217" s="1">
        <v>46202</v>
      </c>
      <c r="B217" s="2">
        <v>8</v>
      </c>
      <c r="C217" s="7">
        <v>-3.3492157979238302</v>
      </c>
      <c r="D217" s="7">
        <v>-2.8707389999999999</v>
      </c>
      <c r="E217" s="7">
        <v>-4.9707309923827298E-2</v>
      </c>
      <c r="F217" s="7">
        <f t="shared" si="9"/>
        <v>3.3492157979238302</v>
      </c>
      <c r="G217" s="7">
        <f t="shared" si="10"/>
        <v>2.8707389999999999</v>
      </c>
      <c r="H217" s="7">
        <f t="shared" si="11"/>
        <v>0.47847679792383024</v>
      </c>
      <c r="I217" s="8">
        <v>0.16667373729336901</v>
      </c>
      <c r="J217" s="2" t="s">
        <v>66</v>
      </c>
    </row>
    <row r="218" spans="1:10" ht="12.75" customHeight="1">
      <c r="A218" s="1">
        <v>46178</v>
      </c>
      <c r="B218" s="2">
        <v>2</v>
      </c>
      <c r="C218" s="7">
        <v>-3.8215518074242198</v>
      </c>
      <c r="D218" s="7">
        <v>-3.276408</v>
      </c>
      <c r="E218" s="7">
        <v>-0.54514380742421698</v>
      </c>
      <c r="F218" s="7">
        <f t="shared" si="9"/>
        <v>3.8215518074242198</v>
      </c>
      <c r="G218" s="7">
        <f t="shared" si="10"/>
        <v>3.276408</v>
      </c>
      <c r="H218" s="7">
        <f t="shared" si="11"/>
        <v>0.54514380742421986</v>
      </c>
      <c r="I218" s="8">
        <v>0.166384591731011</v>
      </c>
      <c r="J218" s="2" t="s">
        <v>66</v>
      </c>
    </row>
    <row r="219" spans="1:10" ht="12.75" customHeight="1">
      <c r="A219" s="1">
        <v>46190</v>
      </c>
      <c r="B219" s="2">
        <v>18</v>
      </c>
      <c r="C219" s="7">
        <v>-4.1336166430039301</v>
      </c>
      <c r="D219" s="7">
        <v>-4.9566670000000004</v>
      </c>
      <c r="E219" s="7">
        <v>1.0744687339960699</v>
      </c>
      <c r="F219" s="7">
        <f t="shared" si="9"/>
        <v>4.1336166430039301</v>
      </c>
      <c r="G219" s="7">
        <f t="shared" si="10"/>
        <v>4.9566670000000004</v>
      </c>
      <c r="H219" s="7">
        <f t="shared" si="11"/>
        <v>0.82305035699607032</v>
      </c>
      <c r="I219" s="8">
        <v>0.16604915298850401</v>
      </c>
      <c r="J219" s="2" t="s">
        <v>66</v>
      </c>
    </row>
    <row r="220" spans="1:10" ht="12.75" customHeight="1">
      <c r="A220" s="1">
        <v>46190</v>
      </c>
      <c r="B220" s="2">
        <v>19</v>
      </c>
      <c r="C220" s="7">
        <v>-4.7385390952504096</v>
      </c>
      <c r="D220" s="7">
        <v>-5.6728959999999997</v>
      </c>
      <c r="E220" s="7">
        <v>0.97186220074959395</v>
      </c>
      <c r="F220" s="7">
        <f t="shared" si="9"/>
        <v>4.7385390952504096</v>
      </c>
      <c r="G220" s="7">
        <f t="shared" si="10"/>
        <v>5.6728959999999997</v>
      </c>
      <c r="H220" s="7">
        <f t="shared" si="11"/>
        <v>0.9343569047495901</v>
      </c>
      <c r="I220" s="8">
        <v>0.164705452867388</v>
      </c>
      <c r="J220" s="2" t="s">
        <v>66</v>
      </c>
    </row>
    <row r="221" spans="1:10" ht="12.75" customHeight="1">
      <c r="A221" s="1">
        <v>46186</v>
      </c>
      <c r="B221" s="2">
        <v>11</v>
      </c>
      <c r="C221" s="7">
        <v>-3.086265851247</v>
      </c>
      <c r="D221" s="7">
        <v>-3.6943700000000002</v>
      </c>
      <c r="E221" s="7">
        <v>1.517758974753</v>
      </c>
      <c r="F221" s="7">
        <f t="shared" si="9"/>
        <v>3.086265851247</v>
      </c>
      <c r="G221" s="7">
        <f t="shared" si="10"/>
        <v>3.6943700000000002</v>
      </c>
      <c r="H221" s="7">
        <f t="shared" si="11"/>
        <v>0.60810414875300012</v>
      </c>
      <c r="I221" s="8">
        <v>0.16460293602237899</v>
      </c>
      <c r="J221" s="2" t="s">
        <v>66</v>
      </c>
    </row>
    <row r="222" spans="1:10" ht="12.75" customHeight="1">
      <c r="A222" s="1">
        <v>46184</v>
      </c>
      <c r="B222" s="2">
        <v>11</v>
      </c>
      <c r="C222" s="7">
        <v>-4.1080290445653604</v>
      </c>
      <c r="D222" s="7">
        <v>-3.5287380000000002</v>
      </c>
      <c r="E222" s="7">
        <v>8.02432864346386E-2</v>
      </c>
      <c r="F222" s="7">
        <f t="shared" si="9"/>
        <v>4.1080290445653604</v>
      </c>
      <c r="G222" s="7">
        <f t="shared" si="10"/>
        <v>3.5287380000000002</v>
      </c>
      <c r="H222" s="7">
        <f t="shared" si="11"/>
        <v>0.57929104456536029</v>
      </c>
      <c r="I222" s="8">
        <v>0.16416380149655799</v>
      </c>
      <c r="J222" s="2" t="s">
        <v>66</v>
      </c>
    </row>
    <row r="223" spans="1:10" ht="12.75" customHeight="1">
      <c r="A223" s="1">
        <v>46198</v>
      </c>
      <c r="B223" s="2">
        <v>15</v>
      </c>
      <c r="C223" s="7">
        <v>-5.0798313400681199</v>
      </c>
      <c r="D223" s="7">
        <v>-4.3666029999999996</v>
      </c>
      <c r="E223" s="7">
        <v>3.64699699318837E-2</v>
      </c>
      <c r="F223" s="7">
        <f t="shared" si="9"/>
        <v>5.0798313400681199</v>
      </c>
      <c r="G223" s="7">
        <f t="shared" si="10"/>
        <v>4.3666029999999996</v>
      </c>
      <c r="H223" s="7">
        <f t="shared" si="11"/>
        <v>0.7132283400681203</v>
      </c>
      <c r="I223" s="8">
        <v>0.16333711584683</v>
      </c>
      <c r="J223" s="2" t="s">
        <v>66</v>
      </c>
    </row>
    <row r="224" spans="1:10" ht="12.75" customHeight="1">
      <c r="A224" s="1">
        <v>46190</v>
      </c>
      <c r="B224" s="2">
        <v>20</v>
      </c>
      <c r="C224" s="7">
        <v>-5.3350021993401198</v>
      </c>
      <c r="D224" s="7">
        <v>-6.3748909999999999</v>
      </c>
      <c r="E224" s="7">
        <v>1.0474379966598799</v>
      </c>
      <c r="F224" s="7">
        <f t="shared" si="9"/>
        <v>5.3350021993401198</v>
      </c>
      <c r="G224" s="7">
        <f t="shared" si="10"/>
        <v>6.3748909999999999</v>
      </c>
      <c r="H224" s="7">
        <f t="shared" si="11"/>
        <v>1.0398888006598801</v>
      </c>
      <c r="I224" s="8">
        <v>0.16312260094484499</v>
      </c>
      <c r="J224" s="2" t="s">
        <v>66</v>
      </c>
    </row>
    <row r="225" spans="1:10" ht="12.75" customHeight="1">
      <c r="A225" s="1">
        <v>46201</v>
      </c>
      <c r="B225" s="2">
        <v>11</v>
      </c>
      <c r="C225" s="7">
        <v>-2.9902046772281499</v>
      </c>
      <c r="D225" s="7">
        <v>-3.569499</v>
      </c>
      <c r="E225" s="7">
        <v>1.7053020667718499</v>
      </c>
      <c r="F225" s="7">
        <f t="shared" si="9"/>
        <v>2.9902046772281499</v>
      </c>
      <c r="G225" s="7">
        <f t="shared" si="10"/>
        <v>3.569499</v>
      </c>
      <c r="H225" s="7">
        <f t="shared" si="11"/>
        <v>0.57929432277185011</v>
      </c>
      <c r="I225" s="8">
        <v>0.16229009246727699</v>
      </c>
      <c r="J225" s="2" t="s">
        <v>66</v>
      </c>
    </row>
    <row r="226" spans="1:10" ht="12.75" customHeight="1">
      <c r="A226" s="1">
        <v>46174</v>
      </c>
      <c r="B226" s="2">
        <v>7</v>
      </c>
      <c r="C226" s="7">
        <v>-2.5943474869464498</v>
      </c>
      <c r="D226" s="7">
        <v>-3.090719</v>
      </c>
      <c r="E226" s="7">
        <v>0.65118826105354799</v>
      </c>
      <c r="F226" s="7">
        <f t="shared" si="9"/>
        <v>2.5943474869464498</v>
      </c>
      <c r="G226" s="7">
        <f t="shared" si="10"/>
        <v>3.090719</v>
      </c>
      <c r="H226" s="7">
        <f t="shared" si="11"/>
        <v>0.49637151305355021</v>
      </c>
      <c r="I226" s="8">
        <v>0.16060066057559699</v>
      </c>
      <c r="J226" s="2" t="s">
        <v>66</v>
      </c>
    </row>
    <row r="227" spans="1:10" ht="12.75" customHeight="1">
      <c r="A227" s="1">
        <v>46183</v>
      </c>
      <c r="B227" s="2">
        <v>24</v>
      </c>
      <c r="C227" s="7">
        <v>-4.8357196601075501</v>
      </c>
      <c r="D227" s="7">
        <v>-4.1679740000000001</v>
      </c>
      <c r="E227" s="7">
        <v>-0.66774566010754799</v>
      </c>
      <c r="F227" s="7">
        <f t="shared" si="9"/>
        <v>4.8357196601075501</v>
      </c>
      <c r="G227" s="7">
        <f t="shared" si="10"/>
        <v>4.1679740000000001</v>
      </c>
      <c r="H227" s="7">
        <f t="shared" si="11"/>
        <v>0.66774566010754999</v>
      </c>
      <c r="I227" s="8">
        <v>0.16020869134681501</v>
      </c>
      <c r="J227" s="2" t="s">
        <v>66</v>
      </c>
    </row>
    <row r="228" spans="1:10" ht="12.75" customHeight="1">
      <c r="A228" s="1">
        <v>46188</v>
      </c>
      <c r="B228" s="2">
        <v>19</v>
      </c>
      <c r="C228" s="7">
        <v>-4.5684104060112798</v>
      </c>
      <c r="D228" s="7">
        <v>-5.4393289999999999</v>
      </c>
      <c r="E228" s="7">
        <v>0.96616644018872</v>
      </c>
      <c r="F228" s="7">
        <f t="shared" si="9"/>
        <v>4.5684104060112798</v>
      </c>
      <c r="G228" s="7">
        <f t="shared" si="10"/>
        <v>5.4393289999999999</v>
      </c>
      <c r="H228" s="7">
        <f t="shared" si="11"/>
        <v>0.87091859398872007</v>
      </c>
      <c r="I228" s="8">
        <v>0.16011507926597601</v>
      </c>
      <c r="J228" s="2" t="s">
        <v>66</v>
      </c>
    </row>
    <row r="229" spans="1:10" ht="12.75" customHeight="1">
      <c r="A229" s="1">
        <v>46202</v>
      </c>
      <c r="B229" s="2">
        <v>16</v>
      </c>
      <c r="C229" s="7">
        <v>-5.5295756919649603</v>
      </c>
      <c r="D229" s="7">
        <v>-4.7664489999999997</v>
      </c>
      <c r="E229" s="7">
        <v>-0.37988335896495501</v>
      </c>
      <c r="F229" s="7">
        <f t="shared" si="9"/>
        <v>5.5295756919649603</v>
      </c>
      <c r="G229" s="7">
        <f t="shared" si="10"/>
        <v>4.7664489999999997</v>
      </c>
      <c r="H229" s="7">
        <f t="shared" si="11"/>
        <v>0.76312669196496064</v>
      </c>
      <c r="I229" s="8">
        <v>0.16010381983840699</v>
      </c>
      <c r="J229" s="2" t="s">
        <v>66</v>
      </c>
    </row>
    <row r="230" spans="1:10" ht="12.75" customHeight="1">
      <c r="A230" s="1">
        <v>46175</v>
      </c>
      <c r="B230" s="2">
        <v>7</v>
      </c>
      <c r="C230" s="7">
        <v>-3.4846198862216702</v>
      </c>
      <c r="D230" s="7">
        <v>-3.0046680000000001</v>
      </c>
      <c r="E230" s="7">
        <v>-0.47648267222167401</v>
      </c>
      <c r="F230" s="7">
        <f t="shared" si="9"/>
        <v>3.4846198862216702</v>
      </c>
      <c r="G230" s="7">
        <f t="shared" si="10"/>
        <v>3.0046680000000001</v>
      </c>
      <c r="H230" s="7">
        <f t="shared" si="11"/>
        <v>0.47995188622167007</v>
      </c>
      <c r="I230" s="8">
        <v>0.159735413770065</v>
      </c>
      <c r="J230" s="2" t="s">
        <v>66</v>
      </c>
    </row>
    <row r="231" spans="1:10" ht="12.75" customHeight="1">
      <c r="A231" s="1">
        <v>46181</v>
      </c>
      <c r="B231" s="2">
        <v>4</v>
      </c>
      <c r="C231" s="7">
        <v>-3.1450407022420399</v>
      </c>
      <c r="D231" s="7">
        <v>-3.7377189999999998</v>
      </c>
      <c r="E231" s="7">
        <v>0.59267829775796499</v>
      </c>
      <c r="F231" s="7">
        <f t="shared" si="9"/>
        <v>3.1450407022420399</v>
      </c>
      <c r="G231" s="7">
        <f t="shared" si="10"/>
        <v>3.7377189999999998</v>
      </c>
      <c r="H231" s="7">
        <f t="shared" si="11"/>
        <v>0.59267829775795988</v>
      </c>
      <c r="I231" s="8">
        <v>0.158566841904907</v>
      </c>
      <c r="J231" s="2" t="s">
        <v>66</v>
      </c>
    </row>
    <row r="232" spans="1:10" ht="12.75" customHeight="1">
      <c r="A232" s="1">
        <v>46198</v>
      </c>
      <c r="B232" s="2">
        <v>17</v>
      </c>
      <c r="C232" s="7">
        <v>-5.1557050333849803</v>
      </c>
      <c r="D232" s="7">
        <v>-4.4507130000000004</v>
      </c>
      <c r="E232" s="7">
        <v>-0.218004191384984</v>
      </c>
      <c r="F232" s="7">
        <f t="shared" si="9"/>
        <v>5.1557050333849803</v>
      </c>
      <c r="G232" s="7">
        <f t="shared" si="10"/>
        <v>4.4507130000000004</v>
      </c>
      <c r="H232" s="7">
        <f t="shared" si="11"/>
        <v>0.70499203338497995</v>
      </c>
      <c r="I232" s="8">
        <v>0.158399796478673</v>
      </c>
      <c r="J232" s="2" t="s">
        <v>66</v>
      </c>
    </row>
    <row r="233" spans="1:10" ht="12.75" customHeight="1">
      <c r="A233" s="1">
        <v>46199</v>
      </c>
      <c r="B233" s="2">
        <v>18</v>
      </c>
      <c r="C233" s="7">
        <v>-5.2619271992010503</v>
      </c>
      <c r="D233" s="7">
        <v>-4.543234</v>
      </c>
      <c r="E233" s="7">
        <v>-0.362240195201046</v>
      </c>
      <c r="F233" s="7">
        <f t="shared" si="9"/>
        <v>5.2619271992010503</v>
      </c>
      <c r="G233" s="7">
        <f t="shared" si="10"/>
        <v>4.543234</v>
      </c>
      <c r="H233" s="7">
        <f t="shared" si="11"/>
        <v>0.71869319920105035</v>
      </c>
      <c r="I233" s="8">
        <v>0.158189782696873</v>
      </c>
      <c r="J233" s="2" t="s">
        <v>66</v>
      </c>
    </row>
    <row r="234" spans="1:10" ht="12.75" customHeight="1">
      <c r="A234" s="1">
        <v>46196</v>
      </c>
      <c r="B234" s="2">
        <v>8</v>
      </c>
      <c r="C234" s="7">
        <v>-3.44015065218233</v>
      </c>
      <c r="D234" s="7">
        <v>-2.974259</v>
      </c>
      <c r="E234" s="7">
        <v>-0.145766404182329</v>
      </c>
      <c r="F234" s="7">
        <f t="shared" si="9"/>
        <v>3.44015065218233</v>
      </c>
      <c r="G234" s="7">
        <f t="shared" si="10"/>
        <v>2.974259</v>
      </c>
      <c r="H234" s="7">
        <f t="shared" si="11"/>
        <v>0.46589165218232997</v>
      </c>
      <c r="I234" s="8">
        <v>0.15664125154612599</v>
      </c>
      <c r="J234" s="2" t="s">
        <v>66</v>
      </c>
    </row>
    <row r="235" spans="1:10" ht="12.75" customHeight="1">
      <c r="A235" s="1">
        <v>46192</v>
      </c>
      <c r="B235" s="2">
        <v>12</v>
      </c>
      <c r="C235" s="7">
        <v>-4.1945184566243299</v>
      </c>
      <c r="D235" s="7">
        <v>-3.6309640000000001</v>
      </c>
      <c r="E235" s="7">
        <v>0.30309427937566802</v>
      </c>
      <c r="F235" s="7">
        <f t="shared" si="9"/>
        <v>4.1945184566243299</v>
      </c>
      <c r="G235" s="7">
        <f t="shared" si="10"/>
        <v>3.6309640000000001</v>
      </c>
      <c r="H235" s="7">
        <f t="shared" si="11"/>
        <v>0.56355445662432979</v>
      </c>
      <c r="I235" s="8">
        <v>0.15520794384751099</v>
      </c>
      <c r="J235" s="2" t="s">
        <v>66</v>
      </c>
    </row>
    <row r="236" spans="1:10" ht="12.75" customHeight="1">
      <c r="A236" s="1">
        <v>46178</v>
      </c>
      <c r="B236" s="2">
        <v>3</v>
      </c>
      <c r="C236" s="7">
        <v>-3.6529641586670198</v>
      </c>
      <c r="D236" s="7">
        <v>-3.1638299999999999</v>
      </c>
      <c r="E236" s="7">
        <v>-0.48913415866701598</v>
      </c>
      <c r="F236" s="7">
        <f t="shared" si="9"/>
        <v>3.6529641586670198</v>
      </c>
      <c r="G236" s="7">
        <f t="shared" si="10"/>
        <v>3.1638299999999999</v>
      </c>
      <c r="H236" s="7">
        <f t="shared" si="11"/>
        <v>0.48913415866701992</v>
      </c>
      <c r="I236" s="8">
        <v>0.154601909289379</v>
      </c>
      <c r="J236" s="2" t="s">
        <v>66</v>
      </c>
    </row>
    <row r="237" spans="1:10" ht="12.75" customHeight="1">
      <c r="A237" s="1">
        <v>46180</v>
      </c>
      <c r="B237" s="2">
        <v>15</v>
      </c>
      <c r="C237" s="7">
        <v>-3.0817414244405401</v>
      </c>
      <c r="D237" s="7">
        <v>-3.6451980000000002</v>
      </c>
      <c r="E237" s="7">
        <v>1.47328945595946</v>
      </c>
      <c r="F237" s="7">
        <f t="shared" si="9"/>
        <v>3.0817414244405401</v>
      </c>
      <c r="G237" s="7">
        <f t="shared" si="10"/>
        <v>3.6451980000000002</v>
      </c>
      <c r="H237" s="7">
        <f t="shared" si="11"/>
        <v>0.56345657555946005</v>
      </c>
      <c r="I237" s="8">
        <v>0.15457502598198</v>
      </c>
      <c r="J237" s="2" t="s">
        <v>66</v>
      </c>
    </row>
    <row r="238" spans="1:10" ht="12.75" customHeight="1">
      <c r="A238" s="1">
        <v>46203</v>
      </c>
      <c r="B238" s="2">
        <v>19</v>
      </c>
      <c r="C238" s="7">
        <v>-6.4110250331035301</v>
      </c>
      <c r="D238" s="7">
        <v>-5.5538480000000003</v>
      </c>
      <c r="E238" s="7">
        <v>-0.848792560103525</v>
      </c>
      <c r="F238" s="7">
        <f t="shared" si="9"/>
        <v>6.4110250331035301</v>
      </c>
      <c r="G238" s="7">
        <f t="shared" si="10"/>
        <v>5.5538480000000003</v>
      </c>
      <c r="H238" s="7">
        <f t="shared" si="11"/>
        <v>0.85717703310352977</v>
      </c>
      <c r="I238" s="8">
        <v>0.15433930368701601</v>
      </c>
      <c r="J238" s="2" t="s">
        <v>66</v>
      </c>
    </row>
    <row r="239" spans="1:10" ht="12.75" customHeight="1">
      <c r="A239" s="1">
        <v>46182</v>
      </c>
      <c r="B239" s="2">
        <v>21</v>
      </c>
      <c r="C239" s="7">
        <v>-6.3760857712097501</v>
      </c>
      <c r="D239" s="7">
        <v>-5.5357320000000003</v>
      </c>
      <c r="E239" s="7">
        <v>-0.84034212520974605</v>
      </c>
      <c r="F239" s="7">
        <f t="shared" si="9"/>
        <v>6.3760857712097501</v>
      </c>
      <c r="G239" s="7">
        <f t="shared" si="10"/>
        <v>5.5357320000000003</v>
      </c>
      <c r="H239" s="7">
        <f t="shared" si="11"/>
        <v>0.84035377120974974</v>
      </c>
      <c r="I239" s="8">
        <v>0.151805356763974</v>
      </c>
      <c r="J239" s="2" t="s">
        <v>66</v>
      </c>
    </row>
    <row r="240" spans="1:10" ht="12.75" customHeight="1">
      <c r="A240" s="1">
        <v>46182</v>
      </c>
      <c r="B240" s="2">
        <v>19</v>
      </c>
      <c r="C240" s="7">
        <v>-5.4742508738017701</v>
      </c>
      <c r="D240" s="7">
        <v>-4.7573910000000001</v>
      </c>
      <c r="E240" s="7">
        <v>-0.69501844780177302</v>
      </c>
      <c r="F240" s="7">
        <f t="shared" si="9"/>
        <v>5.4742508738017701</v>
      </c>
      <c r="G240" s="7">
        <f t="shared" si="10"/>
        <v>4.7573910000000001</v>
      </c>
      <c r="H240" s="7">
        <f t="shared" si="11"/>
        <v>0.71685987380176996</v>
      </c>
      <c r="I240" s="8">
        <v>0.15068340479094</v>
      </c>
      <c r="J240" s="2" t="s">
        <v>66</v>
      </c>
    </row>
    <row r="241" spans="1:10" ht="12.75" customHeight="1">
      <c r="A241" s="1">
        <v>46177</v>
      </c>
      <c r="B241" s="2">
        <v>2</v>
      </c>
      <c r="C241" s="7">
        <v>-3.66887488286973</v>
      </c>
      <c r="D241" s="7">
        <v>-3.189063</v>
      </c>
      <c r="E241" s="7">
        <v>-0.47981188286972998</v>
      </c>
      <c r="F241" s="7">
        <f t="shared" si="9"/>
        <v>3.66887488286973</v>
      </c>
      <c r="G241" s="7">
        <f t="shared" si="10"/>
        <v>3.189063</v>
      </c>
      <c r="H241" s="7">
        <f t="shared" si="11"/>
        <v>0.47981188286972998</v>
      </c>
      <c r="I241" s="8">
        <v>0.15045544188676399</v>
      </c>
      <c r="J241" s="2" t="s">
        <v>66</v>
      </c>
    </row>
    <row r="242" spans="1:10" ht="12.75" customHeight="1">
      <c r="A242" s="1">
        <v>46183</v>
      </c>
      <c r="B242" s="2">
        <v>23</v>
      </c>
      <c r="C242" s="7">
        <v>-5.5817702532712401</v>
      </c>
      <c r="D242" s="7">
        <v>-4.8557350000000001</v>
      </c>
      <c r="E242" s="7">
        <v>-0.72603525327124097</v>
      </c>
      <c r="F242" s="7">
        <f t="shared" si="9"/>
        <v>5.5817702532712401</v>
      </c>
      <c r="G242" s="7">
        <f t="shared" si="10"/>
        <v>4.8557350000000001</v>
      </c>
      <c r="H242" s="7">
        <f t="shared" si="11"/>
        <v>0.72603525327123997</v>
      </c>
      <c r="I242" s="8">
        <v>0.149521185417087</v>
      </c>
      <c r="J242" s="2" t="s">
        <v>66</v>
      </c>
    </row>
    <row r="243" spans="1:10" ht="12.75" customHeight="1">
      <c r="A243" s="1">
        <v>46203</v>
      </c>
      <c r="B243" s="2">
        <v>5</v>
      </c>
      <c r="C243" s="7">
        <v>-4.5048235984138403</v>
      </c>
      <c r="D243" s="7">
        <v>-3.92082</v>
      </c>
      <c r="E243" s="7">
        <v>-0.58400359841383598</v>
      </c>
      <c r="F243" s="7">
        <f t="shared" si="9"/>
        <v>4.5048235984138403</v>
      </c>
      <c r="G243" s="7">
        <f t="shared" si="10"/>
        <v>3.92082</v>
      </c>
      <c r="H243" s="7">
        <f t="shared" si="11"/>
        <v>0.58400359841384031</v>
      </c>
      <c r="I243" s="8">
        <v>0.14894935202682999</v>
      </c>
      <c r="J243" s="2" t="s">
        <v>66</v>
      </c>
    </row>
    <row r="244" spans="1:10" ht="12.75" customHeight="1">
      <c r="A244" s="1">
        <v>46180</v>
      </c>
      <c r="B244" s="2">
        <v>16</v>
      </c>
      <c r="C244" s="7">
        <v>-3.1029218251589499</v>
      </c>
      <c r="D244" s="7">
        <v>-3.645845</v>
      </c>
      <c r="E244" s="7">
        <v>1.3337942356410499</v>
      </c>
      <c r="F244" s="7">
        <f t="shared" si="9"/>
        <v>3.1029218251589499</v>
      </c>
      <c r="G244" s="7">
        <f t="shared" si="10"/>
        <v>3.645845</v>
      </c>
      <c r="H244" s="7">
        <f t="shared" si="11"/>
        <v>0.54292317484105013</v>
      </c>
      <c r="I244" s="8">
        <v>0.14891559428364401</v>
      </c>
      <c r="J244" s="2" t="s">
        <v>66</v>
      </c>
    </row>
    <row r="245" spans="1:10" ht="12.75" customHeight="1">
      <c r="A245" s="1">
        <v>46194</v>
      </c>
      <c r="B245" s="2">
        <v>13</v>
      </c>
      <c r="C245" s="7">
        <v>-2.99910543209125</v>
      </c>
      <c r="D245" s="7">
        <v>-3.522268</v>
      </c>
      <c r="E245" s="7">
        <v>1.5690279747087501</v>
      </c>
      <c r="F245" s="7">
        <f t="shared" si="9"/>
        <v>2.99910543209125</v>
      </c>
      <c r="G245" s="7">
        <f t="shared" si="10"/>
        <v>3.522268</v>
      </c>
      <c r="H245" s="7">
        <f t="shared" si="11"/>
        <v>0.52316256790874993</v>
      </c>
      <c r="I245" s="8">
        <v>0.148530028921352</v>
      </c>
      <c r="J245" s="2" t="s">
        <v>66</v>
      </c>
    </row>
    <row r="246" spans="1:10" ht="12.75" customHeight="1">
      <c r="A246" s="1">
        <v>46192</v>
      </c>
      <c r="B246" s="2">
        <v>13</v>
      </c>
      <c r="C246" s="7">
        <v>-4.1774858315155203</v>
      </c>
      <c r="D246" s="7">
        <v>-3.6413160000000002</v>
      </c>
      <c r="E246" s="7">
        <v>0.31246771848448102</v>
      </c>
      <c r="F246" s="7">
        <f t="shared" si="9"/>
        <v>4.1774858315155203</v>
      </c>
      <c r="G246" s="7">
        <f t="shared" si="10"/>
        <v>3.6413160000000002</v>
      </c>
      <c r="H246" s="7">
        <f t="shared" si="11"/>
        <v>0.53616983151552011</v>
      </c>
      <c r="I246" s="8">
        <v>0.14724616910905799</v>
      </c>
      <c r="J246" s="2" t="s">
        <v>66</v>
      </c>
    </row>
    <row r="247" spans="1:10" ht="12.75" customHeight="1">
      <c r="A247" s="1">
        <v>46176</v>
      </c>
      <c r="B247" s="2">
        <v>16</v>
      </c>
      <c r="C247" s="7">
        <v>-4.4232097410553797</v>
      </c>
      <c r="D247" s="7">
        <v>-3.8561200000000002</v>
      </c>
      <c r="E247" s="7">
        <v>-0.12776444805537901</v>
      </c>
      <c r="F247" s="7">
        <f t="shared" si="9"/>
        <v>4.4232097410553797</v>
      </c>
      <c r="G247" s="7">
        <f t="shared" si="10"/>
        <v>3.8561200000000002</v>
      </c>
      <c r="H247" s="7">
        <f t="shared" si="11"/>
        <v>0.56708974105537946</v>
      </c>
      <c r="I247" s="8">
        <v>0.147062264933503</v>
      </c>
      <c r="J247" s="2" t="s">
        <v>66</v>
      </c>
    </row>
    <row r="248" spans="1:10" ht="12.75" customHeight="1">
      <c r="A248" s="1">
        <v>46181</v>
      </c>
      <c r="B248" s="2">
        <v>13</v>
      </c>
      <c r="C248" s="7">
        <v>-4.1347996015623396</v>
      </c>
      <c r="D248" s="7">
        <v>-3.6083189999999998</v>
      </c>
      <c r="E248" s="7">
        <v>2.7705307437662498E-2</v>
      </c>
      <c r="F248" s="7">
        <f t="shared" si="9"/>
        <v>4.1347996015623396</v>
      </c>
      <c r="G248" s="7">
        <f t="shared" si="10"/>
        <v>3.6083189999999998</v>
      </c>
      <c r="H248" s="7">
        <f t="shared" si="11"/>
        <v>0.52648060156233978</v>
      </c>
      <c r="I248" s="8">
        <v>0.14590744376047099</v>
      </c>
      <c r="J248" s="2" t="s">
        <v>66</v>
      </c>
    </row>
    <row r="249" spans="1:10" ht="12.75" customHeight="1">
      <c r="A249" s="1">
        <v>46181</v>
      </c>
      <c r="B249" s="2">
        <v>22</v>
      </c>
      <c r="C249" s="7">
        <v>-6.2767196063829296</v>
      </c>
      <c r="D249" s="7">
        <v>-5.4872069999999997</v>
      </c>
      <c r="E249" s="7">
        <v>-0.78951260638292997</v>
      </c>
      <c r="F249" s="7">
        <f t="shared" si="9"/>
        <v>6.2767196063829296</v>
      </c>
      <c r="G249" s="7">
        <f t="shared" si="10"/>
        <v>5.4872069999999997</v>
      </c>
      <c r="H249" s="7">
        <f t="shared" si="11"/>
        <v>0.78951260638292986</v>
      </c>
      <c r="I249" s="8">
        <v>0.14388241711729299</v>
      </c>
      <c r="J249" s="2" t="s">
        <v>66</v>
      </c>
    </row>
    <row r="250" spans="1:10" ht="12.75" customHeight="1">
      <c r="A250" s="1">
        <v>46181</v>
      </c>
      <c r="B250" s="2">
        <v>18</v>
      </c>
      <c r="C250" s="7">
        <v>-4.7676746741871696</v>
      </c>
      <c r="D250" s="7">
        <v>-4.1705620000000003</v>
      </c>
      <c r="E250" s="7">
        <v>-0.431016128187174</v>
      </c>
      <c r="F250" s="7">
        <f t="shared" si="9"/>
        <v>4.7676746741871696</v>
      </c>
      <c r="G250" s="7">
        <f t="shared" si="10"/>
        <v>4.1705620000000003</v>
      </c>
      <c r="H250" s="7">
        <f t="shared" si="11"/>
        <v>0.59711267418716929</v>
      </c>
      <c r="I250" s="8">
        <v>0.14317319205113699</v>
      </c>
      <c r="J250" s="2" t="s">
        <v>66</v>
      </c>
    </row>
    <row r="251" spans="1:10" ht="12.75" customHeight="1">
      <c r="A251" s="1">
        <v>46188</v>
      </c>
      <c r="B251" s="2">
        <v>13</v>
      </c>
      <c r="C251" s="7">
        <v>-4.1579896634572799</v>
      </c>
      <c r="D251" s="7">
        <v>-3.6413160000000002</v>
      </c>
      <c r="E251" s="7">
        <v>0.26136492874272099</v>
      </c>
      <c r="F251" s="7">
        <f t="shared" si="9"/>
        <v>4.1579896634572799</v>
      </c>
      <c r="G251" s="7">
        <f t="shared" si="10"/>
        <v>3.6413160000000002</v>
      </c>
      <c r="H251" s="7">
        <f t="shared" si="11"/>
        <v>0.51667366345727972</v>
      </c>
      <c r="I251" s="8">
        <v>0.14189201471591001</v>
      </c>
      <c r="J251" s="2" t="s">
        <v>66</v>
      </c>
    </row>
    <row r="252" spans="1:10" ht="12.75" customHeight="1">
      <c r="A252" s="1">
        <v>46177</v>
      </c>
      <c r="B252" s="2">
        <v>18</v>
      </c>
      <c r="C252" s="7">
        <v>-4.6387478161783804</v>
      </c>
      <c r="D252" s="7">
        <v>-4.062513</v>
      </c>
      <c r="E252" s="7">
        <v>-0.479798172178375</v>
      </c>
      <c r="F252" s="7">
        <f t="shared" si="9"/>
        <v>4.6387478161783804</v>
      </c>
      <c r="G252" s="7">
        <f t="shared" si="10"/>
        <v>4.062513</v>
      </c>
      <c r="H252" s="7">
        <f t="shared" si="11"/>
        <v>0.57623481617838035</v>
      </c>
      <c r="I252" s="8">
        <v>0.14184196239578201</v>
      </c>
      <c r="J252" s="2" t="s">
        <v>66</v>
      </c>
    </row>
    <row r="253" spans="1:10" ht="12.75" customHeight="1">
      <c r="A253" s="1">
        <v>46203</v>
      </c>
      <c r="B253" s="2">
        <v>4</v>
      </c>
      <c r="C253" s="7">
        <v>-4.5097799186806302</v>
      </c>
      <c r="D253" s="7">
        <v>-3.9505819999999998</v>
      </c>
      <c r="E253" s="7">
        <v>-0.55919791868062496</v>
      </c>
      <c r="F253" s="7">
        <f t="shared" si="9"/>
        <v>4.5097799186806302</v>
      </c>
      <c r="G253" s="7">
        <f t="shared" si="10"/>
        <v>3.9505819999999998</v>
      </c>
      <c r="H253" s="7">
        <f t="shared" si="11"/>
        <v>0.5591979186806304</v>
      </c>
      <c r="I253" s="8">
        <v>0.14154823736872801</v>
      </c>
      <c r="J253" s="2" t="s">
        <v>66</v>
      </c>
    </row>
    <row r="254" spans="1:10" ht="12.75" customHeight="1">
      <c r="A254" s="1">
        <v>46174</v>
      </c>
      <c r="B254" s="2">
        <v>8</v>
      </c>
      <c r="C254" s="7">
        <v>-2.71144214895532</v>
      </c>
      <c r="D254" s="7">
        <v>-3.158007</v>
      </c>
      <c r="E254" s="7">
        <v>0.75466689804468301</v>
      </c>
      <c r="F254" s="7">
        <f t="shared" si="9"/>
        <v>2.71144214895532</v>
      </c>
      <c r="G254" s="7">
        <f t="shared" si="10"/>
        <v>3.158007</v>
      </c>
      <c r="H254" s="7">
        <f t="shared" si="11"/>
        <v>0.44656485104468002</v>
      </c>
      <c r="I254" s="8">
        <v>0.14140717580571599</v>
      </c>
      <c r="J254" s="2" t="s">
        <v>66</v>
      </c>
    </row>
    <row r="255" spans="1:10" ht="12.75" customHeight="1">
      <c r="A255" s="1">
        <v>46203</v>
      </c>
      <c r="B255" s="2">
        <v>3</v>
      </c>
      <c r="C255" s="7">
        <v>-4.4796085988077898</v>
      </c>
      <c r="D255" s="7">
        <v>-3.9253490000000002</v>
      </c>
      <c r="E255" s="7">
        <v>-0.55425959880779296</v>
      </c>
      <c r="F255" s="7">
        <f t="shared" si="9"/>
        <v>4.4796085988077898</v>
      </c>
      <c r="G255" s="7">
        <f t="shared" si="10"/>
        <v>3.9253490000000002</v>
      </c>
      <c r="H255" s="7">
        <f t="shared" si="11"/>
        <v>0.55425959880778963</v>
      </c>
      <c r="I255" s="8">
        <v>0.141200081523399</v>
      </c>
      <c r="J255" s="2" t="s">
        <v>66</v>
      </c>
    </row>
    <row r="256" spans="1:10" ht="12.75" customHeight="1">
      <c r="A256" s="1">
        <v>46177</v>
      </c>
      <c r="B256" s="2">
        <v>19</v>
      </c>
      <c r="C256" s="7">
        <v>-4.8908973235784403</v>
      </c>
      <c r="D256" s="7">
        <v>-4.2876690000000002</v>
      </c>
      <c r="E256" s="7">
        <v>-0.59818495857844101</v>
      </c>
      <c r="F256" s="7">
        <f t="shared" si="9"/>
        <v>4.8908973235784403</v>
      </c>
      <c r="G256" s="7">
        <f t="shared" si="10"/>
        <v>4.2876690000000002</v>
      </c>
      <c r="H256" s="7">
        <f t="shared" si="11"/>
        <v>0.60322832357844014</v>
      </c>
      <c r="I256" s="8">
        <v>0.14068910719984301</v>
      </c>
      <c r="J256" s="2" t="s">
        <v>66</v>
      </c>
    </row>
    <row r="257" spans="1:10" ht="12.75" customHeight="1">
      <c r="A257" s="1">
        <v>46195</v>
      </c>
      <c r="B257" s="2">
        <v>18</v>
      </c>
      <c r="C257" s="7">
        <v>-4.7581708842928601</v>
      </c>
      <c r="D257" s="7">
        <v>-4.171856</v>
      </c>
      <c r="E257" s="7">
        <v>-0.15959897429286199</v>
      </c>
      <c r="F257" s="7">
        <f t="shared" si="9"/>
        <v>4.7581708842928601</v>
      </c>
      <c r="G257" s="7">
        <f t="shared" si="10"/>
        <v>4.171856</v>
      </c>
      <c r="H257" s="7">
        <f t="shared" si="11"/>
        <v>0.58631488429286005</v>
      </c>
      <c r="I257" s="8">
        <v>0.14054053742335801</v>
      </c>
      <c r="J257" s="2" t="s">
        <v>66</v>
      </c>
    </row>
    <row r="258" spans="1:10" ht="12.75" customHeight="1">
      <c r="A258" s="1">
        <v>46183</v>
      </c>
      <c r="B258" s="2">
        <v>1</v>
      </c>
      <c r="C258" s="7">
        <v>-4.2109249421141799</v>
      </c>
      <c r="D258" s="7">
        <v>-3.6924290000000002</v>
      </c>
      <c r="E258" s="7">
        <v>-0.51849594211418304</v>
      </c>
      <c r="F258" s="7">
        <f t="shared" ref="F258:F321" si="12">ABS(C258)</f>
        <v>4.2109249421141799</v>
      </c>
      <c r="G258" s="7">
        <f t="shared" ref="G258:G321" si="13">ABS(D258)</f>
        <v>3.6924290000000002</v>
      </c>
      <c r="H258" s="7">
        <f t="shared" ref="H258:H321" si="14">ABS(G258-F258)</f>
        <v>0.51849594211417971</v>
      </c>
      <c r="I258" s="8">
        <v>0.140421370895468</v>
      </c>
      <c r="J258" s="2" t="s">
        <v>66</v>
      </c>
    </row>
    <row r="259" spans="1:10" ht="12.75" customHeight="1">
      <c r="A259" s="1">
        <v>46183</v>
      </c>
      <c r="B259" s="2">
        <v>22</v>
      </c>
      <c r="C259" s="7">
        <v>-6.4535801083615896</v>
      </c>
      <c r="D259" s="7">
        <v>-5.6606030000000001</v>
      </c>
      <c r="E259" s="7">
        <v>-0.79297710836159396</v>
      </c>
      <c r="F259" s="7">
        <f t="shared" si="12"/>
        <v>6.4535801083615896</v>
      </c>
      <c r="G259" s="7">
        <f t="shared" si="13"/>
        <v>5.6606030000000001</v>
      </c>
      <c r="H259" s="7">
        <f t="shared" si="14"/>
        <v>0.79297710836158952</v>
      </c>
      <c r="I259" s="8">
        <v>0.140087038140918</v>
      </c>
      <c r="J259" s="2" t="s">
        <v>66</v>
      </c>
    </row>
    <row r="260" spans="1:10" ht="12.75" customHeight="1">
      <c r="A260" s="1">
        <v>46181</v>
      </c>
      <c r="B260" s="2">
        <v>23</v>
      </c>
      <c r="C260" s="7">
        <v>-5.3446806252017298</v>
      </c>
      <c r="D260" s="7">
        <v>-4.688809</v>
      </c>
      <c r="E260" s="7">
        <v>-0.65587162520173403</v>
      </c>
      <c r="F260" s="7">
        <f t="shared" si="12"/>
        <v>5.3446806252017298</v>
      </c>
      <c r="G260" s="7">
        <f t="shared" si="13"/>
        <v>4.688809</v>
      </c>
      <c r="H260" s="7">
        <f t="shared" si="14"/>
        <v>0.65587162520172981</v>
      </c>
      <c r="I260" s="8">
        <v>0.13988021802588499</v>
      </c>
      <c r="J260" s="2" t="s">
        <v>66</v>
      </c>
    </row>
    <row r="261" spans="1:10" ht="12.75" customHeight="1">
      <c r="A261" s="1">
        <v>46178</v>
      </c>
      <c r="B261" s="2">
        <v>23</v>
      </c>
      <c r="C261" s="7">
        <v>-4.8175537538054902</v>
      </c>
      <c r="D261" s="7">
        <v>-4.2281449999999996</v>
      </c>
      <c r="E261" s="7">
        <v>-0.58940875380548796</v>
      </c>
      <c r="F261" s="7">
        <f t="shared" si="12"/>
        <v>4.8175537538054902</v>
      </c>
      <c r="G261" s="7">
        <f t="shared" si="13"/>
        <v>4.2281449999999996</v>
      </c>
      <c r="H261" s="7">
        <f t="shared" si="14"/>
        <v>0.58940875380549063</v>
      </c>
      <c r="I261" s="8">
        <v>0.139401263155707</v>
      </c>
      <c r="J261" s="2" t="s">
        <v>66</v>
      </c>
    </row>
    <row r="262" spans="1:10" ht="12.75" customHeight="1">
      <c r="A262" s="1">
        <v>46191</v>
      </c>
      <c r="B262" s="2">
        <v>7</v>
      </c>
      <c r="C262" s="7">
        <v>-3.1082291976826699</v>
      </c>
      <c r="D262" s="7">
        <v>-3.6109070000000001</v>
      </c>
      <c r="E262" s="7">
        <v>0.56382836031733596</v>
      </c>
      <c r="F262" s="7">
        <f t="shared" si="12"/>
        <v>3.1082291976826699</v>
      </c>
      <c r="G262" s="7">
        <f t="shared" si="13"/>
        <v>3.6109070000000001</v>
      </c>
      <c r="H262" s="7">
        <f t="shared" si="14"/>
        <v>0.50267780231733017</v>
      </c>
      <c r="I262" s="8">
        <v>0.13921095235001499</v>
      </c>
      <c r="J262" s="2" t="s">
        <v>66</v>
      </c>
    </row>
    <row r="263" spans="1:10" ht="12.75" customHeight="1">
      <c r="A263" s="1">
        <v>46178</v>
      </c>
      <c r="B263" s="2">
        <v>5</v>
      </c>
      <c r="C263" s="7">
        <v>-3.5528295568533599</v>
      </c>
      <c r="D263" s="7">
        <v>-3.1204809999999998</v>
      </c>
      <c r="E263" s="7">
        <v>-0.43232914685335699</v>
      </c>
      <c r="F263" s="7">
        <f t="shared" si="12"/>
        <v>3.5528295568533599</v>
      </c>
      <c r="G263" s="7">
        <f t="shared" si="13"/>
        <v>3.1204809999999998</v>
      </c>
      <c r="H263" s="7">
        <f t="shared" si="14"/>
        <v>0.43234855685336004</v>
      </c>
      <c r="I263" s="8">
        <v>0.138551895317855</v>
      </c>
      <c r="J263" s="2" t="s">
        <v>66</v>
      </c>
    </row>
    <row r="264" spans="1:10" ht="12.75" customHeight="1">
      <c r="A264" s="1">
        <v>46179</v>
      </c>
      <c r="B264" s="2">
        <v>2</v>
      </c>
      <c r="C264" s="7">
        <v>-3.7319490591123801</v>
      </c>
      <c r="D264" s="7">
        <v>-3.2789959999999998</v>
      </c>
      <c r="E264" s="7">
        <v>-0.45295305911238098</v>
      </c>
      <c r="F264" s="7">
        <f t="shared" si="12"/>
        <v>3.7319490591123801</v>
      </c>
      <c r="G264" s="7">
        <f t="shared" si="13"/>
        <v>3.2789959999999998</v>
      </c>
      <c r="H264" s="7">
        <f t="shared" si="14"/>
        <v>0.45295305911238026</v>
      </c>
      <c r="I264" s="8">
        <v>0.13813772847309999</v>
      </c>
      <c r="J264" s="2" t="s">
        <v>66</v>
      </c>
    </row>
    <row r="265" spans="1:10" ht="12.75" customHeight="1">
      <c r="A265" s="1">
        <v>46186</v>
      </c>
      <c r="B265" s="2">
        <v>1</v>
      </c>
      <c r="C265" s="7">
        <v>-4.1178192909673701</v>
      </c>
      <c r="D265" s="7">
        <v>-3.6193179999999998</v>
      </c>
      <c r="E265" s="7">
        <v>-0.49850129096736701</v>
      </c>
      <c r="F265" s="7">
        <f t="shared" si="12"/>
        <v>4.1178192909673701</v>
      </c>
      <c r="G265" s="7">
        <f t="shared" si="13"/>
        <v>3.6193179999999998</v>
      </c>
      <c r="H265" s="7">
        <f t="shared" si="14"/>
        <v>0.49850129096737028</v>
      </c>
      <c r="I265" s="8">
        <v>0.137733487625947</v>
      </c>
      <c r="J265" s="2" t="s">
        <v>66</v>
      </c>
    </row>
    <row r="266" spans="1:10" ht="12.75" customHeight="1">
      <c r="A266" s="1">
        <v>46191</v>
      </c>
      <c r="B266" s="2">
        <v>16</v>
      </c>
      <c r="C266" s="7">
        <v>-4.6878844575637899</v>
      </c>
      <c r="D266" s="7">
        <v>-4.1226839999999996</v>
      </c>
      <c r="E266" s="7">
        <v>-0.113000511563789</v>
      </c>
      <c r="F266" s="7">
        <f t="shared" si="12"/>
        <v>4.6878844575637899</v>
      </c>
      <c r="G266" s="7">
        <f t="shared" si="13"/>
        <v>4.1226839999999996</v>
      </c>
      <c r="H266" s="7">
        <f t="shared" si="14"/>
        <v>0.56520045756379034</v>
      </c>
      <c r="I266" s="8">
        <v>0.137095265502714</v>
      </c>
      <c r="J266" s="2" t="s">
        <v>66</v>
      </c>
    </row>
    <row r="267" spans="1:10" ht="12.75" customHeight="1">
      <c r="A267" s="1">
        <v>46185</v>
      </c>
      <c r="B267" s="2">
        <v>20</v>
      </c>
      <c r="C267" s="7">
        <v>-5.2450689529437096</v>
      </c>
      <c r="D267" s="7">
        <v>-6.0766239999999998</v>
      </c>
      <c r="E267" s="7">
        <v>0.83398776705629096</v>
      </c>
      <c r="F267" s="7">
        <f t="shared" si="12"/>
        <v>5.2450689529437096</v>
      </c>
      <c r="G267" s="7">
        <f t="shared" si="13"/>
        <v>6.0766239999999998</v>
      </c>
      <c r="H267" s="7">
        <f t="shared" si="14"/>
        <v>0.83155504705629024</v>
      </c>
      <c r="I267" s="8">
        <v>0.13684490714849101</v>
      </c>
      <c r="J267" s="2" t="s">
        <v>66</v>
      </c>
    </row>
    <row r="268" spans="1:10" ht="12.75" customHeight="1">
      <c r="A268" s="1">
        <v>46181</v>
      </c>
      <c r="B268" s="2">
        <v>6</v>
      </c>
      <c r="C268" s="7">
        <v>-2.7601325645231198</v>
      </c>
      <c r="D268" s="7">
        <v>-3.1968269999999999</v>
      </c>
      <c r="E268" s="7">
        <v>0.460772411076878</v>
      </c>
      <c r="F268" s="7">
        <f t="shared" si="12"/>
        <v>2.7601325645231198</v>
      </c>
      <c r="G268" s="7">
        <f t="shared" si="13"/>
        <v>3.1968269999999999</v>
      </c>
      <c r="H268" s="7">
        <f t="shared" si="14"/>
        <v>0.43669443547688003</v>
      </c>
      <c r="I268" s="8">
        <v>0.13660246096422399</v>
      </c>
      <c r="J268" s="2" t="s">
        <v>66</v>
      </c>
    </row>
    <row r="269" spans="1:10" ht="12.75" customHeight="1">
      <c r="A269" s="1">
        <v>46187</v>
      </c>
      <c r="B269" s="2">
        <v>23</v>
      </c>
      <c r="C269" s="7">
        <v>-3.9217127624934101</v>
      </c>
      <c r="D269" s="7">
        <v>-4.5419400000000003</v>
      </c>
      <c r="E269" s="7">
        <v>0.62022723750659203</v>
      </c>
      <c r="F269" s="7">
        <f t="shared" si="12"/>
        <v>3.9217127624934101</v>
      </c>
      <c r="G269" s="7">
        <f t="shared" si="13"/>
        <v>4.5419400000000003</v>
      </c>
      <c r="H269" s="7">
        <f t="shared" si="14"/>
        <v>0.62022723750659026</v>
      </c>
      <c r="I269" s="8">
        <v>0.13655557702360499</v>
      </c>
      <c r="J269" s="2" t="s">
        <v>66</v>
      </c>
    </row>
    <row r="270" spans="1:10" ht="12.75" customHeight="1">
      <c r="A270" s="1">
        <v>46191</v>
      </c>
      <c r="B270" s="2">
        <v>2</v>
      </c>
      <c r="C270" s="7">
        <v>-3.8776796392415802</v>
      </c>
      <c r="D270" s="7">
        <v>-4.4908270000000003</v>
      </c>
      <c r="E270" s="7">
        <v>0.61314736075842102</v>
      </c>
      <c r="F270" s="7">
        <f t="shared" si="12"/>
        <v>3.8776796392415802</v>
      </c>
      <c r="G270" s="7">
        <f t="shared" si="13"/>
        <v>4.4908270000000003</v>
      </c>
      <c r="H270" s="7">
        <f t="shared" si="14"/>
        <v>0.61314736075842013</v>
      </c>
      <c r="I270" s="8">
        <v>0.136533284572846</v>
      </c>
      <c r="J270" s="2" t="s">
        <v>66</v>
      </c>
    </row>
    <row r="271" spans="1:10" ht="12.75" customHeight="1">
      <c r="A271" s="1">
        <v>46186</v>
      </c>
      <c r="B271" s="2">
        <v>12</v>
      </c>
      <c r="C271" s="7">
        <v>-3.1819488636605202</v>
      </c>
      <c r="D271" s="7">
        <v>-3.6827239999999999</v>
      </c>
      <c r="E271" s="7">
        <v>1.3143556383394801</v>
      </c>
      <c r="F271" s="7">
        <f t="shared" si="12"/>
        <v>3.1819488636605202</v>
      </c>
      <c r="G271" s="7">
        <f t="shared" si="13"/>
        <v>3.6827239999999999</v>
      </c>
      <c r="H271" s="7">
        <f t="shared" si="14"/>
        <v>0.50077513633947968</v>
      </c>
      <c r="I271" s="8">
        <v>0.135979545667684</v>
      </c>
      <c r="J271" s="2" t="s">
        <v>66</v>
      </c>
    </row>
    <row r="272" spans="1:10" ht="12.75" customHeight="1">
      <c r="A272" s="1">
        <v>46187</v>
      </c>
      <c r="B272" s="2">
        <v>20</v>
      </c>
      <c r="C272" s="7">
        <v>-4.2249527551463997</v>
      </c>
      <c r="D272" s="7">
        <v>-4.8867909999999997</v>
      </c>
      <c r="E272" s="7">
        <v>0.69201820685360305</v>
      </c>
      <c r="F272" s="7">
        <f t="shared" si="12"/>
        <v>4.2249527551463997</v>
      </c>
      <c r="G272" s="7">
        <f t="shared" si="13"/>
        <v>4.8867909999999997</v>
      </c>
      <c r="H272" s="7">
        <f t="shared" si="14"/>
        <v>0.66183824485359999</v>
      </c>
      <c r="I272" s="8">
        <v>0.135434121257407</v>
      </c>
      <c r="J272" s="2" t="s">
        <v>66</v>
      </c>
    </row>
    <row r="273" spans="1:10" ht="12.75" customHeight="1">
      <c r="A273" s="1">
        <v>46187</v>
      </c>
      <c r="B273" s="2">
        <v>24</v>
      </c>
      <c r="C273" s="7">
        <v>-3.3811528935677302</v>
      </c>
      <c r="D273" s="7">
        <v>-3.9072330000000002</v>
      </c>
      <c r="E273" s="7">
        <v>0.52608010643226999</v>
      </c>
      <c r="F273" s="7">
        <f t="shared" si="12"/>
        <v>3.3811528935677302</v>
      </c>
      <c r="G273" s="7">
        <f t="shared" si="13"/>
        <v>3.9072330000000002</v>
      </c>
      <c r="H273" s="7">
        <f t="shared" si="14"/>
        <v>0.52608010643226999</v>
      </c>
      <c r="I273" s="8">
        <v>0.13464262469944099</v>
      </c>
      <c r="J273" s="2" t="s">
        <v>66</v>
      </c>
    </row>
    <row r="274" spans="1:10" ht="12.75" customHeight="1">
      <c r="A274" s="1">
        <v>46182</v>
      </c>
      <c r="B274" s="2">
        <v>8</v>
      </c>
      <c r="C274" s="7">
        <v>-3.2014649489976099</v>
      </c>
      <c r="D274" s="7">
        <v>-3.6982520000000001</v>
      </c>
      <c r="E274" s="7">
        <v>0.70928449600238697</v>
      </c>
      <c r="F274" s="7">
        <f t="shared" si="12"/>
        <v>3.2014649489976099</v>
      </c>
      <c r="G274" s="7">
        <f t="shared" si="13"/>
        <v>3.6982520000000001</v>
      </c>
      <c r="H274" s="7">
        <f t="shared" si="14"/>
        <v>0.49678705100239018</v>
      </c>
      <c r="I274" s="8">
        <v>0.13433023249967499</v>
      </c>
      <c r="J274" s="2" t="s">
        <v>66</v>
      </c>
    </row>
    <row r="275" spans="1:10" ht="12.75" customHeight="1">
      <c r="A275" s="1">
        <v>46189</v>
      </c>
      <c r="B275" s="2">
        <v>12</v>
      </c>
      <c r="C275" s="7">
        <v>-3.9952987564682299</v>
      </c>
      <c r="D275" s="7">
        <v>-3.5229149999999998</v>
      </c>
      <c r="E275" s="7">
        <v>0.33427695113177402</v>
      </c>
      <c r="F275" s="7">
        <f t="shared" si="12"/>
        <v>3.9952987564682299</v>
      </c>
      <c r="G275" s="7">
        <f t="shared" si="13"/>
        <v>3.5229149999999998</v>
      </c>
      <c r="H275" s="7">
        <f t="shared" si="14"/>
        <v>0.47238375646823005</v>
      </c>
      <c r="I275" s="8">
        <v>0.13408888845408601</v>
      </c>
      <c r="J275" s="2" t="s">
        <v>66</v>
      </c>
    </row>
    <row r="276" spans="1:10" ht="12.75" customHeight="1">
      <c r="A276" s="1">
        <v>46192</v>
      </c>
      <c r="B276" s="2">
        <v>14</v>
      </c>
      <c r="C276" s="7">
        <v>-4.1488415320675198</v>
      </c>
      <c r="D276" s="7">
        <v>-3.6594319999999998</v>
      </c>
      <c r="E276" s="7">
        <v>0.34067011693247601</v>
      </c>
      <c r="F276" s="7">
        <f t="shared" si="12"/>
        <v>4.1488415320675198</v>
      </c>
      <c r="G276" s="7">
        <f t="shared" si="13"/>
        <v>3.6594319999999998</v>
      </c>
      <c r="H276" s="7">
        <f t="shared" si="14"/>
        <v>0.48940953206752003</v>
      </c>
      <c r="I276" s="8">
        <v>0.13373920654012</v>
      </c>
      <c r="J276" s="2" t="s">
        <v>66</v>
      </c>
    </row>
    <row r="277" spans="1:10" ht="12.75" customHeight="1">
      <c r="A277" s="1">
        <v>46183</v>
      </c>
      <c r="B277" s="2">
        <v>2</v>
      </c>
      <c r="C277" s="7">
        <v>-4.2074134118323903</v>
      </c>
      <c r="D277" s="7">
        <v>-3.7124860000000002</v>
      </c>
      <c r="E277" s="7">
        <v>-0.49492741183238897</v>
      </c>
      <c r="F277" s="7">
        <f t="shared" si="12"/>
        <v>4.2074134118323903</v>
      </c>
      <c r="G277" s="7">
        <f t="shared" si="13"/>
        <v>3.7124860000000002</v>
      </c>
      <c r="H277" s="7">
        <f t="shared" si="14"/>
        <v>0.49492741183239009</v>
      </c>
      <c r="I277" s="8">
        <v>0.13331428369895201</v>
      </c>
      <c r="J277" s="2" t="s">
        <v>66</v>
      </c>
    </row>
    <row r="278" spans="1:10" ht="12.75" customHeight="1">
      <c r="A278" s="1">
        <v>46201</v>
      </c>
      <c r="B278" s="2">
        <v>12</v>
      </c>
      <c r="C278" s="7">
        <v>-3.0994399841961302</v>
      </c>
      <c r="D278" s="7">
        <v>-3.5740280000000002</v>
      </c>
      <c r="E278" s="7">
        <v>1.6412139022038701</v>
      </c>
      <c r="F278" s="7">
        <f t="shared" si="12"/>
        <v>3.0994399841961302</v>
      </c>
      <c r="G278" s="7">
        <f t="shared" si="13"/>
        <v>3.5740280000000002</v>
      </c>
      <c r="H278" s="7">
        <f t="shared" si="14"/>
        <v>0.47458801580387</v>
      </c>
      <c r="I278" s="8">
        <v>0.13278799601006799</v>
      </c>
      <c r="J278" s="2" t="s">
        <v>66</v>
      </c>
    </row>
    <row r="279" spans="1:10" ht="12.75" customHeight="1">
      <c r="A279" s="1">
        <v>46202</v>
      </c>
      <c r="B279" s="2">
        <v>20</v>
      </c>
      <c r="C279" s="7">
        <v>-6.98286069752419</v>
      </c>
      <c r="D279" s="7">
        <v>-6.1697920000000002</v>
      </c>
      <c r="E279" s="7">
        <v>-0.81167182452418496</v>
      </c>
      <c r="F279" s="7">
        <f t="shared" si="12"/>
        <v>6.98286069752419</v>
      </c>
      <c r="G279" s="7">
        <f t="shared" si="13"/>
        <v>6.1697920000000002</v>
      </c>
      <c r="H279" s="7">
        <f t="shared" si="14"/>
        <v>0.81306869752418987</v>
      </c>
      <c r="I279" s="8">
        <v>0.13178218933866601</v>
      </c>
      <c r="J279" s="2" t="s">
        <v>66</v>
      </c>
    </row>
    <row r="280" spans="1:10" ht="12.75" customHeight="1">
      <c r="A280" s="1">
        <v>46190</v>
      </c>
      <c r="B280" s="2">
        <v>21</v>
      </c>
      <c r="C280" s="7">
        <v>-5.7697463635386699</v>
      </c>
      <c r="D280" s="7">
        <v>-6.6433960000000001</v>
      </c>
      <c r="E280" s="7">
        <v>0.87364963646133398</v>
      </c>
      <c r="F280" s="7">
        <f t="shared" si="12"/>
        <v>5.7697463635386699</v>
      </c>
      <c r="G280" s="7">
        <f t="shared" si="13"/>
        <v>6.6433960000000001</v>
      </c>
      <c r="H280" s="7">
        <f t="shared" si="14"/>
        <v>0.8736496364613302</v>
      </c>
      <c r="I280" s="8">
        <v>0.131506481995253</v>
      </c>
      <c r="J280" s="2" t="s">
        <v>66</v>
      </c>
    </row>
    <row r="281" spans="1:10" ht="12.75" customHeight="1">
      <c r="A281" s="1">
        <v>46184</v>
      </c>
      <c r="B281" s="2">
        <v>15</v>
      </c>
      <c r="C281" s="7">
        <v>-4.4763806609098999</v>
      </c>
      <c r="D281" s="7">
        <v>-3.9583460000000001</v>
      </c>
      <c r="E281" s="7">
        <v>0.10963492009010101</v>
      </c>
      <c r="F281" s="7">
        <f t="shared" si="12"/>
        <v>4.4763806609098999</v>
      </c>
      <c r="G281" s="7">
        <f t="shared" si="13"/>
        <v>3.9583460000000001</v>
      </c>
      <c r="H281" s="7">
        <f t="shared" si="14"/>
        <v>0.5180346609098998</v>
      </c>
      <c r="I281" s="8">
        <v>0.130871495546347</v>
      </c>
      <c r="J281" s="2" t="s">
        <v>66</v>
      </c>
    </row>
    <row r="282" spans="1:10" ht="12.75" customHeight="1">
      <c r="A282" s="1">
        <v>46175</v>
      </c>
      <c r="B282" s="2">
        <v>23</v>
      </c>
      <c r="C282" s="7">
        <v>-4.8045362929475104</v>
      </c>
      <c r="D282" s="7">
        <v>-4.2540250000000004</v>
      </c>
      <c r="E282" s="7">
        <v>-0.55051129294751</v>
      </c>
      <c r="F282" s="7">
        <f t="shared" si="12"/>
        <v>4.8045362929475104</v>
      </c>
      <c r="G282" s="7">
        <f t="shared" si="13"/>
        <v>4.2540250000000004</v>
      </c>
      <c r="H282" s="7">
        <f t="shared" si="14"/>
        <v>0.55051129294751</v>
      </c>
      <c r="I282" s="8">
        <v>0.12940951051004901</v>
      </c>
      <c r="J282" s="2" t="s">
        <v>66</v>
      </c>
    </row>
    <row r="283" spans="1:10" ht="12.75" customHeight="1">
      <c r="A283" s="1">
        <v>46178</v>
      </c>
      <c r="B283" s="2">
        <v>22</v>
      </c>
      <c r="C283" s="7">
        <v>-5.6826249038853698</v>
      </c>
      <c r="D283" s="7">
        <v>-5.0323659999999997</v>
      </c>
      <c r="E283" s="7">
        <v>-0.650258903885372</v>
      </c>
      <c r="F283" s="7">
        <f t="shared" si="12"/>
        <v>5.6826249038853698</v>
      </c>
      <c r="G283" s="7">
        <f t="shared" si="13"/>
        <v>5.0323659999999997</v>
      </c>
      <c r="H283" s="7">
        <f t="shared" si="14"/>
        <v>0.65025890388537011</v>
      </c>
      <c r="I283" s="8">
        <v>0.12921534401221399</v>
      </c>
      <c r="J283" s="2" t="s">
        <v>66</v>
      </c>
    </row>
    <row r="284" spans="1:10" ht="12.75" customHeight="1">
      <c r="A284" s="1">
        <v>46185</v>
      </c>
      <c r="B284" s="2">
        <v>2</v>
      </c>
      <c r="C284" s="7">
        <v>-4.1937454303574704</v>
      </c>
      <c r="D284" s="7">
        <v>-3.7144270000000001</v>
      </c>
      <c r="E284" s="7">
        <v>-0.47931843035747201</v>
      </c>
      <c r="F284" s="7">
        <f t="shared" si="12"/>
        <v>4.1937454303574704</v>
      </c>
      <c r="G284" s="7">
        <f t="shared" si="13"/>
        <v>3.7144270000000001</v>
      </c>
      <c r="H284" s="7">
        <f t="shared" si="14"/>
        <v>0.47931843035747024</v>
      </c>
      <c r="I284" s="8">
        <v>0.12904236113873599</v>
      </c>
      <c r="J284" s="2" t="s">
        <v>66</v>
      </c>
    </row>
    <row r="285" spans="1:10" ht="12.75" customHeight="1">
      <c r="A285" s="1">
        <v>46184</v>
      </c>
      <c r="B285" s="2">
        <v>9</v>
      </c>
      <c r="C285" s="7">
        <v>-4.0299425335130303</v>
      </c>
      <c r="D285" s="7">
        <v>-3.5701459999999998</v>
      </c>
      <c r="E285" s="7">
        <v>-0.13261510351303199</v>
      </c>
      <c r="F285" s="7">
        <f t="shared" si="12"/>
        <v>4.0299425335130303</v>
      </c>
      <c r="G285" s="7">
        <f t="shared" si="13"/>
        <v>3.5701459999999998</v>
      </c>
      <c r="H285" s="7">
        <f t="shared" si="14"/>
        <v>0.45979653351303051</v>
      </c>
      <c r="I285" s="8">
        <v>0.12878928018995101</v>
      </c>
      <c r="J285" s="2" t="s">
        <v>66</v>
      </c>
    </row>
    <row r="286" spans="1:10" ht="12.75" customHeight="1">
      <c r="A286" s="1">
        <v>46189</v>
      </c>
      <c r="B286" s="2">
        <v>24</v>
      </c>
      <c r="C286" s="7">
        <v>-4.1916524052936497</v>
      </c>
      <c r="D286" s="7">
        <v>-4.8104449999999996</v>
      </c>
      <c r="E286" s="7">
        <v>0.61879259470634695</v>
      </c>
      <c r="F286" s="7">
        <f t="shared" si="12"/>
        <v>4.1916524052936497</v>
      </c>
      <c r="G286" s="7">
        <f t="shared" si="13"/>
        <v>4.8104449999999996</v>
      </c>
      <c r="H286" s="7">
        <f t="shared" si="14"/>
        <v>0.61879259470634995</v>
      </c>
      <c r="I286" s="8">
        <v>0.12863520832404199</v>
      </c>
      <c r="J286" s="2" t="s">
        <v>66</v>
      </c>
    </row>
    <row r="287" spans="1:10" ht="12.75" customHeight="1">
      <c r="A287" s="1">
        <v>46174</v>
      </c>
      <c r="B287" s="2">
        <v>4</v>
      </c>
      <c r="C287" s="7">
        <v>-3.0401904698954199</v>
      </c>
      <c r="D287" s="7">
        <v>-3.4886240000000002</v>
      </c>
      <c r="E287" s="7">
        <v>0.44848787810458401</v>
      </c>
      <c r="F287" s="7">
        <f t="shared" si="12"/>
        <v>3.0401904698954199</v>
      </c>
      <c r="G287" s="7">
        <f t="shared" si="13"/>
        <v>3.4886240000000002</v>
      </c>
      <c r="H287" s="7">
        <f t="shared" si="14"/>
        <v>0.44843353010458031</v>
      </c>
      <c r="I287" s="8">
        <v>0.12854166287469901</v>
      </c>
      <c r="J287" s="2" t="s">
        <v>66</v>
      </c>
    </row>
    <row r="288" spans="1:10" ht="12.75" customHeight="1">
      <c r="A288" s="1">
        <v>46179</v>
      </c>
      <c r="B288" s="2">
        <v>1</v>
      </c>
      <c r="C288" s="7">
        <v>-3.8038369677822499</v>
      </c>
      <c r="D288" s="7">
        <v>-3.37087</v>
      </c>
      <c r="E288" s="7">
        <v>-0.43296696778224802</v>
      </c>
      <c r="F288" s="7">
        <f t="shared" si="12"/>
        <v>3.8038369677822499</v>
      </c>
      <c r="G288" s="7">
        <f t="shared" si="13"/>
        <v>3.37087</v>
      </c>
      <c r="H288" s="7">
        <f t="shared" si="14"/>
        <v>0.43296696778224986</v>
      </c>
      <c r="I288" s="8">
        <v>0.128443685986777</v>
      </c>
      <c r="J288" s="2" t="s">
        <v>66</v>
      </c>
    </row>
    <row r="289" spans="1:10" ht="12.75" customHeight="1">
      <c r="A289" s="1">
        <v>46176</v>
      </c>
      <c r="B289" s="2">
        <v>19</v>
      </c>
      <c r="C289" s="7">
        <v>-4.8864327295185399</v>
      </c>
      <c r="D289" s="7">
        <v>-4.3310180000000003</v>
      </c>
      <c r="E289" s="7">
        <v>-0.51743130051854402</v>
      </c>
      <c r="F289" s="7">
        <f t="shared" si="12"/>
        <v>4.8864327295185399</v>
      </c>
      <c r="G289" s="7">
        <f t="shared" si="13"/>
        <v>4.3310180000000003</v>
      </c>
      <c r="H289" s="7">
        <f t="shared" si="14"/>
        <v>0.55541472951853965</v>
      </c>
      <c r="I289" s="8">
        <v>0.12824115012187501</v>
      </c>
      <c r="J289" s="2" t="s">
        <v>66</v>
      </c>
    </row>
    <row r="290" spans="1:10" ht="12.75" customHeight="1">
      <c r="A290" s="1">
        <v>46178</v>
      </c>
      <c r="B290" s="2">
        <v>9</v>
      </c>
      <c r="C290" s="7">
        <v>-3.36943540369001</v>
      </c>
      <c r="D290" s="7">
        <v>-2.9871989999999999</v>
      </c>
      <c r="E290" s="7">
        <v>7.5157658309986705E-2</v>
      </c>
      <c r="F290" s="7">
        <f t="shared" si="12"/>
        <v>3.36943540369001</v>
      </c>
      <c r="G290" s="7">
        <f t="shared" si="13"/>
        <v>2.9871989999999999</v>
      </c>
      <c r="H290" s="7">
        <f t="shared" si="14"/>
        <v>0.38223640369001011</v>
      </c>
      <c r="I290" s="8">
        <v>0.12795813191220701</v>
      </c>
      <c r="J290" s="2" t="s">
        <v>66</v>
      </c>
    </row>
    <row r="291" spans="1:10" ht="12.75" customHeight="1">
      <c r="A291" s="1">
        <v>46192</v>
      </c>
      <c r="B291" s="2">
        <v>11</v>
      </c>
      <c r="C291" s="7">
        <v>-4.0958164603902096</v>
      </c>
      <c r="D291" s="7">
        <v>-3.6316109999999999</v>
      </c>
      <c r="E291" s="7">
        <v>0.34023163760979203</v>
      </c>
      <c r="F291" s="7">
        <f t="shared" si="12"/>
        <v>4.0958164603902096</v>
      </c>
      <c r="G291" s="7">
        <f t="shared" si="13"/>
        <v>3.6316109999999999</v>
      </c>
      <c r="H291" s="7">
        <f t="shared" si="14"/>
        <v>0.46420546039020971</v>
      </c>
      <c r="I291" s="8">
        <v>0.12782356380961701</v>
      </c>
      <c r="J291" s="2" t="s">
        <v>66</v>
      </c>
    </row>
    <row r="292" spans="1:10" ht="12.75" customHeight="1">
      <c r="A292" s="1">
        <v>46201</v>
      </c>
      <c r="B292" s="2">
        <v>13</v>
      </c>
      <c r="C292" s="7">
        <v>-3.1451311447192198</v>
      </c>
      <c r="D292" s="7">
        <v>-3.6044369999999999</v>
      </c>
      <c r="E292" s="7">
        <v>1.61186479708078</v>
      </c>
      <c r="F292" s="7">
        <f t="shared" si="12"/>
        <v>3.1451311447192198</v>
      </c>
      <c r="G292" s="7">
        <f t="shared" si="13"/>
        <v>3.6044369999999999</v>
      </c>
      <c r="H292" s="7">
        <f t="shared" si="14"/>
        <v>0.45930585528078005</v>
      </c>
      <c r="I292" s="8">
        <v>0.12742790490741901</v>
      </c>
      <c r="J292" s="2" t="s">
        <v>66</v>
      </c>
    </row>
    <row r="293" spans="1:10" ht="12.75" customHeight="1">
      <c r="A293" s="1">
        <v>46174</v>
      </c>
      <c r="B293" s="2">
        <v>3</v>
      </c>
      <c r="C293" s="7">
        <v>-3.0550346598231402</v>
      </c>
      <c r="D293" s="7">
        <v>-3.4989759999999999</v>
      </c>
      <c r="E293" s="7">
        <v>0.443984042176859</v>
      </c>
      <c r="F293" s="7">
        <f t="shared" si="12"/>
        <v>3.0550346598231402</v>
      </c>
      <c r="G293" s="7">
        <f t="shared" si="13"/>
        <v>3.4989759999999999</v>
      </c>
      <c r="H293" s="7">
        <f t="shared" si="14"/>
        <v>0.44394134017685971</v>
      </c>
      <c r="I293" s="8">
        <v>0.126877503640168</v>
      </c>
      <c r="J293" s="2" t="s">
        <v>66</v>
      </c>
    </row>
    <row r="294" spans="1:10" ht="12.75" customHeight="1">
      <c r="A294" s="1">
        <v>46175</v>
      </c>
      <c r="B294" s="2">
        <v>24</v>
      </c>
      <c r="C294" s="7">
        <v>-4.16584800148493</v>
      </c>
      <c r="D294" s="7">
        <v>-3.696958</v>
      </c>
      <c r="E294" s="7">
        <v>-0.46889000148492699</v>
      </c>
      <c r="F294" s="7">
        <f t="shared" si="12"/>
        <v>4.16584800148493</v>
      </c>
      <c r="G294" s="7">
        <f t="shared" si="13"/>
        <v>3.696958</v>
      </c>
      <c r="H294" s="7">
        <f t="shared" si="14"/>
        <v>0.46889000148492999</v>
      </c>
      <c r="I294" s="8">
        <v>0.12683130332693199</v>
      </c>
      <c r="J294" s="2" t="s">
        <v>66</v>
      </c>
    </row>
    <row r="295" spans="1:10" ht="12.75" customHeight="1">
      <c r="A295" s="1">
        <v>46180</v>
      </c>
      <c r="B295" s="2">
        <v>17</v>
      </c>
      <c r="C295" s="7">
        <v>-3.1957353081137501</v>
      </c>
      <c r="D295" s="7">
        <v>-3.6594319999999998</v>
      </c>
      <c r="E295" s="7">
        <v>1.0752715008862499</v>
      </c>
      <c r="F295" s="7">
        <f t="shared" si="12"/>
        <v>3.1957353081137501</v>
      </c>
      <c r="G295" s="7">
        <f t="shared" si="13"/>
        <v>3.6594319999999998</v>
      </c>
      <c r="H295" s="7">
        <f t="shared" si="14"/>
        <v>0.46369669188624973</v>
      </c>
      <c r="I295" s="8">
        <v>0.126712749925741</v>
      </c>
      <c r="J295" s="2" t="s">
        <v>66</v>
      </c>
    </row>
    <row r="296" spans="1:10" ht="12.75" customHeight="1">
      <c r="A296" s="1">
        <v>46181</v>
      </c>
      <c r="B296" s="2">
        <v>10</v>
      </c>
      <c r="C296" s="7">
        <v>-4.0819553876141503</v>
      </c>
      <c r="D296" s="7">
        <v>-3.625788</v>
      </c>
      <c r="E296" s="7">
        <v>4.2908663858505901E-3</v>
      </c>
      <c r="F296" s="7">
        <f t="shared" si="12"/>
        <v>4.0819553876141503</v>
      </c>
      <c r="G296" s="7">
        <f t="shared" si="13"/>
        <v>3.625788</v>
      </c>
      <c r="H296" s="7">
        <f t="shared" si="14"/>
        <v>0.45616738761415032</v>
      </c>
      <c r="I296" s="8">
        <v>0.12581193043116401</v>
      </c>
      <c r="J296" s="2" t="s">
        <v>66</v>
      </c>
    </row>
    <row r="297" spans="1:10" ht="12.75" customHeight="1">
      <c r="A297" s="1">
        <v>46181</v>
      </c>
      <c r="B297" s="2">
        <v>24</v>
      </c>
      <c r="C297" s="7">
        <v>-4.6202056250904304</v>
      </c>
      <c r="D297" s="7">
        <v>-4.1045680000000004</v>
      </c>
      <c r="E297" s="7">
        <v>-0.51563762509042999</v>
      </c>
      <c r="F297" s="7">
        <f t="shared" si="12"/>
        <v>4.6202056250904304</v>
      </c>
      <c r="G297" s="7">
        <f t="shared" si="13"/>
        <v>4.1045680000000004</v>
      </c>
      <c r="H297" s="7">
        <f t="shared" si="14"/>
        <v>0.51563762509042999</v>
      </c>
      <c r="I297" s="8">
        <v>0.1256253094334</v>
      </c>
      <c r="J297" s="2" t="s">
        <v>66</v>
      </c>
    </row>
    <row r="298" spans="1:10" ht="12.75" customHeight="1">
      <c r="A298" s="1">
        <v>46174</v>
      </c>
      <c r="B298" s="2">
        <v>5</v>
      </c>
      <c r="C298" s="7">
        <v>-3.0407782271524399</v>
      </c>
      <c r="D298" s="7">
        <v>-3.4769779999999999</v>
      </c>
      <c r="E298" s="7">
        <v>0.43639387284755699</v>
      </c>
      <c r="F298" s="7">
        <f t="shared" si="12"/>
        <v>3.0407782271524399</v>
      </c>
      <c r="G298" s="7">
        <f t="shared" si="13"/>
        <v>3.4769779999999999</v>
      </c>
      <c r="H298" s="7">
        <f t="shared" si="14"/>
        <v>0.43619977284755995</v>
      </c>
      <c r="I298" s="8">
        <v>0.125453705156477</v>
      </c>
      <c r="J298" s="2" t="s">
        <v>66</v>
      </c>
    </row>
    <row r="299" spans="1:10" ht="12.75" customHeight="1">
      <c r="A299" s="1">
        <v>46183</v>
      </c>
      <c r="B299" s="2">
        <v>17</v>
      </c>
      <c r="C299" s="7">
        <v>-4.65689427392158</v>
      </c>
      <c r="D299" s="7">
        <v>-4.1388590000000001</v>
      </c>
      <c r="E299" s="7">
        <v>-0.25398680992157502</v>
      </c>
      <c r="F299" s="7">
        <f t="shared" si="12"/>
        <v>4.65689427392158</v>
      </c>
      <c r="G299" s="7">
        <f t="shared" si="13"/>
        <v>4.1388590000000001</v>
      </c>
      <c r="H299" s="7">
        <f t="shared" si="14"/>
        <v>0.51803527392157989</v>
      </c>
      <c r="I299" s="8">
        <v>0.12516378884170101</v>
      </c>
      <c r="J299" s="2" t="s">
        <v>66</v>
      </c>
    </row>
    <row r="300" spans="1:10" ht="12.75" customHeight="1">
      <c r="A300" s="1">
        <v>46186</v>
      </c>
      <c r="B300" s="2">
        <v>6</v>
      </c>
      <c r="C300" s="7">
        <v>-3.5063965414883498</v>
      </c>
      <c r="D300" s="7">
        <v>-4.0062239999999996</v>
      </c>
      <c r="E300" s="7">
        <v>0.50721969231165098</v>
      </c>
      <c r="F300" s="7">
        <f t="shared" si="12"/>
        <v>3.5063965414883498</v>
      </c>
      <c r="G300" s="7">
        <f t="shared" si="13"/>
        <v>4.0062239999999996</v>
      </c>
      <c r="H300" s="7">
        <f t="shared" si="14"/>
        <v>0.49982745851164978</v>
      </c>
      <c r="I300" s="8">
        <v>0.124762733814098</v>
      </c>
      <c r="J300" s="2" t="s">
        <v>66</v>
      </c>
    </row>
    <row r="301" spans="1:10" ht="12.75" customHeight="1">
      <c r="A301" s="1">
        <v>46178</v>
      </c>
      <c r="B301" s="2">
        <v>4</v>
      </c>
      <c r="C301" s="7">
        <v>-3.5935219053288199</v>
      </c>
      <c r="D301" s="7">
        <v>-3.1968269999999999</v>
      </c>
      <c r="E301" s="7">
        <v>-0.39669490532881702</v>
      </c>
      <c r="F301" s="7">
        <f t="shared" si="12"/>
        <v>3.5935219053288199</v>
      </c>
      <c r="G301" s="7">
        <f t="shared" si="13"/>
        <v>3.1968269999999999</v>
      </c>
      <c r="H301" s="7">
        <f t="shared" si="14"/>
        <v>0.39669490532882001</v>
      </c>
      <c r="I301" s="8">
        <v>0.124090201105289</v>
      </c>
      <c r="J301" s="2" t="s">
        <v>66</v>
      </c>
    </row>
    <row r="302" spans="1:10" ht="12.75" customHeight="1">
      <c r="A302" s="1">
        <v>46191</v>
      </c>
      <c r="B302" s="2">
        <v>1</v>
      </c>
      <c r="C302" s="7">
        <v>-4.03028725074756</v>
      </c>
      <c r="D302" s="7">
        <v>-4.6008170000000002</v>
      </c>
      <c r="E302" s="7">
        <v>0.57052974925243904</v>
      </c>
      <c r="F302" s="7">
        <f t="shared" si="12"/>
        <v>4.03028725074756</v>
      </c>
      <c r="G302" s="7">
        <f t="shared" si="13"/>
        <v>4.6008170000000002</v>
      </c>
      <c r="H302" s="7">
        <f t="shared" si="14"/>
        <v>0.57052974925244015</v>
      </c>
      <c r="I302" s="8">
        <v>0.124006181783027</v>
      </c>
      <c r="J302" s="2" t="s">
        <v>66</v>
      </c>
    </row>
    <row r="303" spans="1:10" ht="12.75" customHeight="1">
      <c r="A303" s="1">
        <v>46185</v>
      </c>
      <c r="B303" s="2">
        <v>6</v>
      </c>
      <c r="C303" s="7">
        <v>-4.0271056372907701</v>
      </c>
      <c r="D303" s="7">
        <v>-3.5863209999999999</v>
      </c>
      <c r="E303" s="7">
        <v>-0.43907500449077203</v>
      </c>
      <c r="F303" s="7">
        <f t="shared" si="12"/>
        <v>4.0271056372907701</v>
      </c>
      <c r="G303" s="7">
        <f t="shared" si="13"/>
        <v>3.5863209999999999</v>
      </c>
      <c r="H303" s="7">
        <f t="shared" si="14"/>
        <v>0.44078463729077022</v>
      </c>
      <c r="I303" s="8">
        <v>0.12290719020711501</v>
      </c>
      <c r="J303" s="2" t="s">
        <v>66</v>
      </c>
    </row>
    <row r="304" spans="1:10" ht="12.75" customHeight="1">
      <c r="A304" s="1">
        <v>46196</v>
      </c>
      <c r="B304" s="2">
        <v>15</v>
      </c>
      <c r="C304" s="7">
        <v>-4.5956787760799704</v>
      </c>
      <c r="D304" s="7">
        <v>-4.0948630000000001</v>
      </c>
      <c r="E304" s="7">
        <v>-3.9279490679967499E-2</v>
      </c>
      <c r="F304" s="7">
        <f t="shared" si="12"/>
        <v>4.5956787760799704</v>
      </c>
      <c r="G304" s="7">
        <f t="shared" si="13"/>
        <v>4.0948630000000001</v>
      </c>
      <c r="H304" s="7">
        <f t="shared" si="14"/>
        <v>0.5008157760799703</v>
      </c>
      <c r="I304" s="8">
        <v>0.122303426532211</v>
      </c>
      <c r="J304" s="2" t="s">
        <v>66</v>
      </c>
    </row>
    <row r="305" spans="1:10" ht="12.75" customHeight="1">
      <c r="A305" s="1">
        <v>46194</v>
      </c>
      <c r="B305" s="2">
        <v>19</v>
      </c>
      <c r="C305" s="7">
        <v>-4.0186208899359901</v>
      </c>
      <c r="D305" s="7">
        <v>-3.5817920000000001</v>
      </c>
      <c r="E305" s="7">
        <v>-0.205861277135992</v>
      </c>
      <c r="F305" s="7">
        <f t="shared" si="12"/>
        <v>4.0186208899359901</v>
      </c>
      <c r="G305" s="7">
        <f t="shared" si="13"/>
        <v>3.5817920000000001</v>
      </c>
      <c r="H305" s="7">
        <f t="shared" si="14"/>
        <v>0.43682888993599001</v>
      </c>
      <c r="I305" s="8">
        <v>0.12195819576792601</v>
      </c>
      <c r="J305" s="2" t="s">
        <v>66</v>
      </c>
    </row>
    <row r="306" spans="1:10" ht="12.75" customHeight="1">
      <c r="A306" s="1">
        <v>46195</v>
      </c>
      <c r="B306" s="2">
        <v>23</v>
      </c>
      <c r="C306" s="7">
        <v>-4.9901498922001304</v>
      </c>
      <c r="D306" s="7">
        <v>-5.6819540000000002</v>
      </c>
      <c r="E306" s="7">
        <v>0.69180410779986901</v>
      </c>
      <c r="F306" s="7">
        <f t="shared" si="12"/>
        <v>4.9901498922001304</v>
      </c>
      <c r="G306" s="7">
        <f t="shared" si="13"/>
        <v>5.6819540000000002</v>
      </c>
      <c r="H306" s="7">
        <f t="shared" si="14"/>
        <v>0.69180410779986978</v>
      </c>
      <c r="I306" s="8">
        <v>0.121754612550519</v>
      </c>
      <c r="J306" s="2" t="s">
        <v>66</v>
      </c>
    </row>
    <row r="307" spans="1:10" ht="12.75" customHeight="1">
      <c r="A307" s="1">
        <v>46193</v>
      </c>
      <c r="B307" s="2">
        <v>16</v>
      </c>
      <c r="C307" s="7">
        <v>-4.0098406911688897</v>
      </c>
      <c r="D307" s="7">
        <v>-3.5753219999999999</v>
      </c>
      <c r="E307" s="7">
        <v>0.16643949483110901</v>
      </c>
      <c r="F307" s="7">
        <f t="shared" si="12"/>
        <v>4.0098406911688897</v>
      </c>
      <c r="G307" s="7">
        <f t="shared" si="13"/>
        <v>3.5753219999999999</v>
      </c>
      <c r="H307" s="7">
        <f t="shared" si="14"/>
        <v>0.43451869116888986</v>
      </c>
      <c r="I307" s="8">
        <v>0.121532743391754</v>
      </c>
      <c r="J307" s="2" t="s">
        <v>66</v>
      </c>
    </row>
    <row r="308" spans="1:10" ht="12.75" customHeight="1">
      <c r="A308" s="1">
        <v>46183</v>
      </c>
      <c r="B308" s="2">
        <v>21</v>
      </c>
      <c r="C308" s="7">
        <v>-6.6658818566116</v>
      </c>
      <c r="D308" s="7">
        <v>-5.9439890000000002</v>
      </c>
      <c r="E308" s="7">
        <v>-0.72189285661159797</v>
      </c>
      <c r="F308" s="7">
        <f t="shared" si="12"/>
        <v>6.6658818566116</v>
      </c>
      <c r="G308" s="7">
        <f t="shared" si="13"/>
        <v>5.9439890000000002</v>
      </c>
      <c r="H308" s="7">
        <f t="shared" si="14"/>
        <v>0.72189285661159985</v>
      </c>
      <c r="I308" s="8">
        <v>0.121449224857515</v>
      </c>
      <c r="J308" s="2" t="s">
        <v>66</v>
      </c>
    </row>
    <row r="309" spans="1:10" ht="12.75" customHeight="1">
      <c r="A309" s="1">
        <v>46177</v>
      </c>
      <c r="B309" s="2">
        <v>23</v>
      </c>
      <c r="C309" s="7">
        <v>-4.9509447151529598</v>
      </c>
      <c r="D309" s="7">
        <v>-4.415775</v>
      </c>
      <c r="E309" s="7">
        <v>-0.53516971515295597</v>
      </c>
      <c r="F309" s="7">
        <f t="shared" si="12"/>
        <v>4.9509447151529598</v>
      </c>
      <c r="G309" s="7">
        <f t="shared" si="13"/>
        <v>4.415775</v>
      </c>
      <c r="H309" s="7">
        <f t="shared" si="14"/>
        <v>0.53516971515295975</v>
      </c>
      <c r="I309" s="8">
        <v>0.12119496920766</v>
      </c>
      <c r="J309" s="2" t="s">
        <v>66</v>
      </c>
    </row>
    <row r="310" spans="1:10" ht="12.75" customHeight="1">
      <c r="A310" s="1">
        <v>46192</v>
      </c>
      <c r="B310" s="2">
        <v>9</v>
      </c>
      <c r="C310" s="7">
        <v>-3.6394784910632598</v>
      </c>
      <c r="D310" s="7">
        <v>-4.1369179999999997</v>
      </c>
      <c r="E310" s="7">
        <v>1.05413642493675</v>
      </c>
      <c r="F310" s="7">
        <f t="shared" si="12"/>
        <v>3.6394784910632598</v>
      </c>
      <c r="G310" s="7">
        <f t="shared" si="13"/>
        <v>4.1369179999999997</v>
      </c>
      <c r="H310" s="7">
        <f t="shared" si="14"/>
        <v>0.49743950893673983</v>
      </c>
      <c r="I310" s="8">
        <v>0.12024398572481899</v>
      </c>
      <c r="J310" s="2" t="s">
        <v>66</v>
      </c>
    </row>
    <row r="311" spans="1:10" ht="12.75" customHeight="1">
      <c r="A311" s="1">
        <v>46176</v>
      </c>
      <c r="B311" s="2">
        <v>22</v>
      </c>
      <c r="C311" s="7">
        <v>-5.7358357980210997</v>
      </c>
      <c r="D311" s="7">
        <v>-5.1203580000000004</v>
      </c>
      <c r="E311" s="7">
        <v>-0.61547779802109603</v>
      </c>
      <c r="F311" s="7">
        <f t="shared" si="12"/>
        <v>5.7358357980210997</v>
      </c>
      <c r="G311" s="7">
        <f t="shared" si="13"/>
        <v>5.1203580000000004</v>
      </c>
      <c r="H311" s="7">
        <f t="shared" si="14"/>
        <v>0.61547779802109925</v>
      </c>
      <c r="I311" s="8">
        <v>0.12020210266959799</v>
      </c>
      <c r="J311" s="2" t="s">
        <v>66</v>
      </c>
    </row>
    <row r="312" spans="1:10" ht="12.75" customHeight="1">
      <c r="A312" s="1">
        <v>46193</v>
      </c>
      <c r="B312" s="2">
        <v>9</v>
      </c>
      <c r="C312" s="7">
        <v>-3.1017548433958901</v>
      </c>
      <c r="D312" s="7">
        <v>-2.7711009999999998</v>
      </c>
      <c r="E312" s="7">
        <v>0.51952162560410897</v>
      </c>
      <c r="F312" s="7">
        <f t="shared" si="12"/>
        <v>3.1017548433958901</v>
      </c>
      <c r="G312" s="7">
        <f t="shared" si="13"/>
        <v>2.7711009999999998</v>
      </c>
      <c r="H312" s="7">
        <f t="shared" si="14"/>
        <v>0.33065384339589032</v>
      </c>
      <c r="I312" s="8">
        <v>0.119322191214211</v>
      </c>
      <c r="J312" s="2" t="s">
        <v>66</v>
      </c>
    </row>
    <row r="313" spans="1:10" ht="12.75" customHeight="1">
      <c r="A313" s="1">
        <v>46178</v>
      </c>
      <c r="B313" s="2">
        <v>18</v>
      </c>
      <c r="C313" s="7">
        <v>-4.4989187868970797</v>
      </c>
      <c r="D313" s="7">
        <v>-4.0204579999999996</v>
      </c>
      <c r="E313" s="7">
        <v>-0.17952802389707501</v>
      </c>
      <c r="F313" s="7">
        <f t="shared" si="12"/>
        <v>4.4989187868970797</v>
      </c>
      <c r="G313" s="7">
        <f t="shared" si="13"/>
        <v>4.0204579999999996</v>
      </c>
      <c r="H313" s="7">
        <f t="shared" si="14"/>
        <v>0.47846078689708005</v>
      </c>
      <c r="I313" s="8">
        <v>0.119006537786758</v>
      </c>
      <c r="J313" s="2" t="s">
        <v>66</v>
      </c>
    </row>
    <row r="314" spans="1:10" ht="12.75" customHeight="1">
      <c r="A314" s="1">
        <v>46192</v>
      </c>
      <c r="B314" s="2">
        <v>15</v>
      </c>
      <c r="C314" s="7">
        <v>-4.4003574804362797</v>
      </c>
      <c r="D314" s="7">
        <v>-3.9337599999999999</v>
      </c>
      <c r="E314" s="7">
        <v>0.209641743563723</v>
      </c>
      <c r="F314" s="7">
        <f t="shared" si="12"/>
        <v>4.4003574804362797</v>
      </c>
      <c r="G314" s="7">
        <f t="shared" si="13"/>
        <v>3.9337599999999999</v>
      </c>
      <c r="H314" s="7">
        <f t="shared" si="14"/>
        <v>0.4665974804362798</v>
      </c>
      <c r="I314" s="8">
        <v>0.118613611515771</v>
      </c>
      <c r="J314" s="2" t="s">
        <v>66</v>
      </c>
    </row>
    <row r="315" spans="1:10" ht="12.75" customHeight="1">
      <c r="A315" s="1">
        <v>46175</v>
      </c>
      <c r="B315" s="2">
        <v>9</v>
      </c>
      <c r="C315" s="7">
        <v>-3.3826633111727098</v>
      </c>
      <c r="D315" s="7">
        <v>-3.0266660000000001</v>
      </c>
      <c r="E315" s="7">
        <v>6.0758033827289802E-2</v>
      </c>
      <c r="F315" s="7">
        <f t="shared" si="12"/>
        <v>3.3826633111727098</v>
      </c>
      <c r="G315" s="7">
        <f t="shared" si="13"/>
        <v>3.0266660000000001</v>
      </c>
      <c r="H315" s="7">
        <f t="shared" si="14"/>
        <v>0.35599731117270972</v>
      </c>
      <c r="I315" s="8">
        <v>0.11762028290293999</v>
      </c>
      <c r="J315" s="2" t="s">
        <v>66</v>
      </c>
    </row>
    <row r="316" spans="1:10" ht="12.75" customHeight="1">
      <c r="A316" s="1">
        <v>46178</v>
      </c>
      <c r="B316" s="2">
        <v>6</v>
      </c>
      <c r="C316" s="7">
        <v>-3.2712851619921199</v>
      </c>
      <c r="D316" s="7">
        <v>-2.9296160000000002</v>
      </c>
      <c r="E316" s="7">
        <v>-0.32819008159212099</v>
      </c>
      <c r="F316" s="7">
        <f t="shared" si="12"/>
        <v>3.2712851619921199</v>
      </c>
      <c r="G316" s="7">
        <f t="shared" si="13"/>
        <v>2.9296160000000002</v>
      </c>
      <c r="H316" s="7">
        <f t="shared" si="14"/>
        <v>0.34166916199211972</v>
      </c>
      <c r="I316" s="8">
        <v>0.11662592025443599</v>
      </c>
      <c r="J316" s="2" t="s">
        <v>66</v>
      </c>
    </row>
    <row r="317" spans="1:10" ht="12.75" customHeight="1">
      <c r="A317" s="1">
        <v>46198</v>
      </c>
      <c r="B317" s="2">
        <v>1</v>
      </c>
      <c r="C317" s="7">
        <v>-4.2758545578812202</v>
      </c>
      <c r="D317" s="7">
        <v>-3.829593</v>
      </c>
      <c r="E317" s="7">
        <v>-0.44626155788122102</v>
      </c>
      <c r="F317" s="7">
        <f t="shared" si="12"/>
        <v>4.2758545578812202</v>
      </c>
      <c r="G317" s="7">
        <f t="shared" si="13"/>
        <v>3.829593</v>
      </c>
      <c r="H317" s="7">
        <f t="shared" si="14"/>
        <v>0.44626155788122013</v>
      </c>
      <c r="I317" s="8">
        <v>0.11652976122559799</v>
      </c>
      <c r="J317" s="2" t="s">
        <v>66</v>
      </c>
    </row>
    <row r="318" spans="1:10" ht="12.75" customHeight="1">
      <c r="A318" s="1">
        <v>46178</v>
      </c>
      <c r="B318" s="2">
        <v>19</v>
      </c>
      <c r="C318" s="7">
        <v>-4.6910824938709901</v>
      </c>
      <c r="D318" s="7">
        <v>-4.2042060000000001</v>
      </c>
      <c r="E318" s="7">
        <v>-0.41927211087098798</v>
      </c>
      <c r="F318" s="7">
        <f t="shared" si="12"/>
        <v>4.6910824938709901</v>
      </c>
      <c r="G318" s="7">
        <f t="shared" si="13"/>
        <v>4.2042060000000001</v>
      </c>
      <c r="H318" s="7">
        <f t="shared" si="14"/>
        <v>0.48687649387098997</v>
      </c>
      <c r="I318" s="8">
        <v>0.11580700229032299</v>
      </c>
      <c r="J318" s="2" t="s">
        <v>66</v>
      </c>
    </row>
    <row r="319" spans="1:10" ht="12.75" customHeight="1">
      <c r="A319" s="1">
        <v>46174</v>
      </c>
      <c r="B319" s="2">
        <v>1</v>
      </c>
      <c r="C319" s="7">
        <v>-3.18036571985935</v>
      </c>
      <c r="D319" s="7">
        <v>-3.5960260000000002</v>
      </c>
      <c r="E319" s="7">
        <v>0.41571462814064603</v>
      </c>
      <c r="F319" s="7">
        <f t="shared" si="12"/>
        <v>3.18036571985935</v>
      </c>
      <c r="G319" s="7">
        <f t="shared" si="13"/>
        <v>3.5960260000000002</v>
      </c>
      <c r="H319" s="7">
        <f t="shared" si="14"/>
        <v>0.41566028014065015</v>
      </c>
      <c r="I319" s="8">
        <v>0.11558878610461799</v>
      </c>
      <c r="J319" s="2" t="s">
        <v>66</v>
      </c>
    </row>
    <row r="320" spans="1:10" ht="12.75" customHeight="1">
      <c r="A320" s="1">
        <v>46178</v>
      </c>
      <c r="B320" s="2">
        <v>24</v>
      </c>
      <c r="C320" s="7">
        <v>-4.1834005484723296</v>
      </c>
      <c r="D320" s="7">
        <v>-3.7506590000000002</v>
      </c>
      <c r="E320" s="7">
        <v>-0.43274154847232699</v>
      </c>
      <c r="F320" s="7">
        <f t="shared" si="12"/>
        <v>4.1834005484723296</v>
      </c>
      <c r="G320" s="7">
        <f t="shared" si="13"/>
        <v>3.7506590000000002</v>
      </c>
      <c r="H320" s="7">
        <f t="shared" si="14"/>
        <v>0.43274154847232937</v>
      </c>
      <c r="I320" s="8">
        <v>0.115377470591789</v>
      </c>
      <c r="J320" s="2" t="s">
        <v>66</v>
      </c>
    </row>
    <row r="321" spans="1:10" ht="12.75" customHeight="1">
      <c r="A321" s="1">
        <v>46186</v>
      </c>
      <c r="B321" s="2">
        <v>13</v>
      </c>
      <c r="C321" s="7">
        <v>-3.24809230689588</v>
      </c>
      <c r="D321" s="7">
        <v>-3.6717249999999999</v>
      </c>
      <c r="E321" s="7">
        <v>1.1970848317041201</v>
      </c>
      <c r="F321" s="7">
        <f t="shared" si="12"/>
        <v>3.24809230689588</v>
      </c>
      <c r="G321" s="7">
        <f t="shared" si="13"/>
        <v>3.6717249999999999</v>
      </c>
      <c r="H321" s="7">
        <f t="shared" si="14"/>
        <v>0.42363269310411988</v>
      </c>
      <c r="I321" s="8">
        <v>0.115377021183265</v>
      </c>
      <c r="J321" s="2" t="s">
        <v>66</v>
      </c>
    </row>
    <row r="322" spans="1:10" ht="12.75" customHeight="1">
      <c r="A322" s="1">
        <v>46194</v>
      </c>
      <c r="B322" s="2">
        <v>14</v>
      </c>
      <c r="C322" s="7">
        <v>-3.12249896290658</v>
      </c>
      <c r="D322" s="7">
        <v>-3.529385</v>
      </c>
      <c r="E322" s="7">
        <v>1.3838317098934301</v>
      </c>
      <c r="F322" s="7">
        <f t="shared" ref="F322:F385" si="15">ABS(C322)</f>
        <v>3.12249896290658</v>
      </c>
      <c r="G322" s="7">
        <f t="shared" ref="G322:G385" si="16">ABS(D322)</f>
        <v>3.529385</v>
      </c>
      <c r="H322" s="7">
        <f t="shared" ref="H322:H385" si="17">ABS(G322-F322)</f>
        <v>0.40688603709341997</v>
      </c>
      <c r="I322" s="8">
        <v>0.115285251422961</v>
      </c>
      <c r="J322" s="2" t="s">
        <v>66</v>
      </c>
    </row>
    <row r="323" spans="1:10" ht="12.75" customHeight="1">
      <c r="A323" s="1">
        <v>46177</v>
      </c>
      <c r="B323" s="2">
        <v>17</v>
      </c>
      <c r="C323" s="7">
        <v>-4.2072913155476002</v>
      </c>
      <c r="D323" s="7">
        <v>-3.773304</v>
      </c>
      <c r="E323" s="7">
        <v>-0.133088966547598</v>
      </c>
      <c r="F323" s="7">
        <f t="shared" si="15"/>
        <v>4.2072913155476002</v>
      </c>
      <c r="G323" s="7">
        <f t="shared" si="16"/>
        <v>3.773304</v>
      </c>
      <c r="H323" s="7">
        <f t="shared" si="17"/>
        <v>0.43398731554760017</v>
      </c>
      <c r="I323" s="8">
        <v>0.115015200351628</v>
      </c>
      <c r="J323" s="2" t="s">
        <v>66</v>
      </c>
    </row>
    <row r="324" spans="1:10" ht="12.75" customHeight="1">
      <c r="A324" s="1">
        <v>46187</v>
      </c>
      <c r="B324" s="2">
        <v>21</v>
      </c>
      <c r="C324" s="7">
        <v>-4.6213837474431401</v>
      </c>
      <c r="D324" s="7">
        <v>-5.2199960000000001</v>
      </c>
      <c r="E324" s="7">
        <v>0.59864589655686096</v>
      </c>
      <c r="F324" s="7">
        <f t="shared" si="15"/>
        <v>4.6213837474431401</v>
      </c>
      <c r="G324" s="7">
        <f t="shared" si="16"/>
        <v>5.2199960000000001</v>
      </c>
      <c r="H324" s="7">
        <f t="shared" si="17"/>
        <v>0.59861225255686001</v>
      </c>
      <c r="I324" s="8">
        <v>0.114676764609946</v>
      </c>
      <c r="J324" s="2" t="s">
        <v>66</v>
      </c>
    </row>
    <row r="325" spans="1:10" ht="12.75" customHeight="1">
      <c r="A325" s="1">
        <v>46189</v>
      </c>
      <c r="B325" s="2">
        <v>13</v>
      </c>
      <c r="C325" s="7">
        <v>-3.9297527680280102</v>
      </c>
      <c r="D325" s="7">
        <v>-3.5267970000000002</v>
      </c>
      <c r="E325" s="7">
        <v>0.30914485437199402</v>
      </c>
      <c r="F325" s="7">
        <f t="shared" si="15"/>
        <v>3.9297527680280102</v>
      </c>
      <c r="G325" s="7">
        <f t="shared" si="16"/>
        <v>3.5267970000000002</v>
      </c>
      <c r="H325" s="7">
        <f t="shared" si="17"/>
        <v>0.40295576802801003</v>
      </c>
      <c r="I325" s="8">
        <v>0.114255447089245</v>
      </c>
      <c r="J325" s="2" t="s">
        <v>66</v>
      </c>
    </row>
    <row r="326" spans="1:10" ht="12.75" customHeight="1">
      <c r="A326" s="1">
        <v>46199</v>
      </c>
      <c r="B326" s="2">
        <v>5</v>
      </c>
      <c r="C326" s="7">
        <v>-4.2550301603245604</v>
      </c>
      <c r="D326" s="7">
        <v>-3.820535</v>
      </c>
      <c r="E326" s="7">
        <v>-0.43449516032456298</v>
      </c>
      <c r="F326" s="7">
        <f t="shared" si="15"/>
        <v>4.2550301603245604</v>
      </c>
      <c r="G326" s="7">
        <f t="shared" si="16"/>
        <v>3.820535</v>
      </c>
      <c r="H326" s="7">
        <f t="shared" si="17"/>
        <v>0.43449516032456037</v>
      </c>
      <c r="I326" s="8">
        <v>0.113726260935854</v>
      </c>
      <c r="J326" s="2" t="s">
        <v>66</v>
      </c>
    </row>
    <row r="327" spans="1:10" ht="12.75" customHeight="1">
      <c r="A327" s="1">
        <v>46184</v>
      </c>
      <c r="B327" s="2">
        <v>19</v>
      </c>
      <c r="C327" s="7">
        <v>-5.5835314394328401</v>
      </c>
      <c r="D327" s="7">
        <v>-5.0136029999999998</v>
      </c>
      <c r="E327" s="7">
        <v>-0.54976468443283699</v>
      </c>
      <c r="F327" s="7">
        <f t="shared" si="15"/>
        <v>5.5835314394328401</v>
      </c>
      <c r="G327" s="7">
        <f t="shared" si="16"/>
        <v>5.0136029999999998</v>
      </c>
      <c r="H327" s="7">
        <f t="shared" si="17"/>
        <v>0.56992843943284033</v>
      </c>
      <c r="I327" s="8">
        <v>0.11367641981880799</v>
      </c>
      <c r="J327" s="2" t="s">
        <v>66</v>
      </c>
    </row>
    <row r="328" spans="1:10" ht="12.75" customHeight="1">
      <c r="A328" s="1">
        <v>46188</v>
      </c>
      <c r="B328" s="2">
        <v>18</v>
      </c>
      <c r="C328" s="7">
        <v>-4.3285798881022197</v>
      </c>
      <c r="D328" s="7">
        <v>-4.8809680000000002</v>
      </c>
      <c r="E328" s="7">
        <v>0.87515764889777803</v>
      </c>
      <c r="F328" s="7">
        <f t="shared" si="15"/>
        <v>4.3285798881022197</v>
      </c>
      <c r="G328" s="7">
        <f t="shared" si="16"/>
        <v>4.8809680000000002</v>
      </c>
      <c r="H328" s="7">
        <f t="shared" si="17"/>
        <v>0.55238811189778048</v>
      </c>
      <c r="I328" s="8">
        <v>0.113171836385278</v>
      </c>
      <c r="J328" s="2" t="s">
        <v>66</v>
      </c>
    </row>
    <row r="329" spans="1:10" ht="12.75" customHeight="1">
      <c r="A329" s="1">
        <v>46176</v>
      </c>
      <c r="B329" s="2">
        <v>9</v>
      </c>
      <c r="C329" s="7">
        <v>-3.52265114278446</v>
      </c>
      <c r="D329" s="7">
        <v>-3.167065</v>
      </c>
      <c r="E329" s="7">
        <v>6.08334092155354E-2</v>
      </c>
      <c r="F329" s="7">
        <f t="shared" si="15"/>
        <v>3.52265114278446</v>
      </c>
      <c r="G329" s="7">
        <f t="shared" si="16"/>
        <v>3.167065</v>
      </c>
      <c r="H329" s="7">
        <f t="shared" si="17"/>
        <v>0.35558614278445999</v>
      </c>
      <c r="I329" s="8">
        <v>0.112276237710456</v>
      </c>
      <c r="J329" s="2" t="s">
        <v>66</v>
      </c>
    </row>
    <row r="330" spans="1:10" ht="12.75" customHeight="1">
      <c r="A330" s="1">
        <v>46201</v>
      </c>
      <c r="B330" s="2">
        <v>16</v>
      </c>
      <c r="C330" s="7">
        <v>-3.28601097182576</v>
      </c>
      <c r="D330" s="7">
        <v>-3.7008399999999999</v>
      </c>
      <c r="E330" s="7">
        <v>1.45733559917424</v>
      </c>
      <c r="F330" s="7">
        <f t="shared" si="15"/>
        <v>3.28601097182576</v>
      </c>
      <c r="G330" s="7">
        <f t="shared" si="16"/>
        <v>3.7008399999999999</v>
      </c>
      <c r="H330" s="7">
        <f t="shared" si="17"/>
        <v>0.41482902817423994</v>
      </c>
      <c r="I330" s="8">
        <v>0.112090505986274</v>
      </c>
      <c r="J330" s="2" t="s">
        <v>66</v>
      </c>
    </row>
    <row r="331" spans="1:10" ht="12.75" customHeight="1">
      <c r="A331" s="1">
        <v>46183</v>
      </c>
      <c r="B331" s="2">
        <v>3</v>
      </c>
      <c r="C331" s="7">
        <v>-4.0521665551318904</v>
      </c>
      <c r="D331" s="7">
        <v>-3.643904</v>
      </c>
      <c r="E331" s="7">
        <v>-0.40826255513188903</v>
      </c>
      <c r="F331" s="7">
        <f t="shared" si="15"/>
        <v>4.0521665551318904</v>
      </c>
      <c r="G331" s="7">
        <f t="shared" si="16"/>
        <v>3.643904</v>
      </c>
      <c r="H331" s="7">
        <f t="shared" si="17"/>
        <v>0.40826255513189036</v>
      </c>
      <c r="I331" s="8">
        <v>0.11203987677279301</v>
      </c>
      <c r="J331" s="2" t="s">
        <v>66</v>
      </c>
    </row>
    <row r="332" spans="1:10" ht="12.75" customHeight="1">
      <c r="A332" s="1">
        <v>46182</v>
      </c>
      <c r="B332" s="2">
        <v>1</v>
      </c>
      <c r="C332" s="7">
        <v>-4.3307549690784199</v>
      </c>
      <c r="D332" s="7">
        <v>-3.8949400000000001</v>
      </c>
      <c r="E332" s="7">
        <v>-0.43581496907841499</v>
      </c>
      <c r="F332" s="7">
        <f t="shared" si="15"/>
        <v>4.3307549690784199</v>
      </c>
      <c r="G332" s="7">
        <f t="shared" si="16"/>
        <v>3.8949400000000001</v>
      </c>
      <c r="H332" s="7">
        <f t="shared" si="17"/>
        <v>0.43581496907841988</v>
      </c>
      <c r="I332" s="8">
        <v>0.111892601446599</v>
      </c>
      <c r="J332" s="2" t="s">
        <v>66</v>
      </c>
    </row>
    <row r="333" spans="1:10" ht="12.75" customHeight="1">
      <c r="A333" s="1">
        <v>46190</v>
      </c>
      <c r="B333" s="2">
        <v>8</v>
      </c>
      <c r="C333" s="7">
        <v>-3.0495975856797299</v>
      </c>
      <c r="D333" s="7">
        <v>-3.4336289999999998</v>
      </c>
      <c r="E333" s="7">
        <v>0.77373504232026802</v>
      </c>
      <c r="F333" s="7">
        <f t="shared" si="15"/>
        <v>3.0495975856797299</v>
      </c>
      <c r="G333" s="7">
        <f t="shared" si="16"/>
        <v>3.4336289999999998</v>
      </c>
      <c r="H333" s="7">
        <f t="shared" si="17"/>
        <v>0.38403141432026988</v>
      </c>
      <c r="I333" s="8">
        <v>0.111844178366465</v>
      </c>
      <c r="J333" s="2" t="s">
        <v>66</v>
      </c>
    </row>
    <row r="334" spans="1:10" ht="12.75" customHeight="1">
      <c r="A334" s="1">
        <v>46195</v>
      </c>
      <c r="B334" s="2">
        <v>17</v>
      </c>
      <c r="C334" s="7">
        <v>-4.7013190053454696</v>
      </c>
      <c r="D334" s="7">
        <v>-4.230086</v>
      </c>
      <c r="E334" s="7">
        <v>2.7637236545314499E-3</v>
      </c>
      <c r="F334" s="7">
        <f t="shared" si="15"/>
        <v>4.7013190053454696</v>
      </c>
      <c r="G334" s="7">
        <f t="shared" si="16"/>
        <v>4.230086</v>
      </c>
      <c r="H334" s="7">
        <f t="shared" si="17"/>
        <v>0.47123300534546964</v>
      </c>
      <c r="I334" s="8">
        <v>0.111400336859692</v>
      </c>
      <c r="J334" s="2" t="s">
        <v>66</v>
      </c>
    </row>
    <row r="335" spans="1:10" ht="12.75" customHeight="1">
      <c r="A335" s="1">
        <v>46189</v>
      </c>
      <c r="B335" s="2">
        <v>23</v>
      </c>
      <c r="C335" s="7">
        <v>-4.8321922193681397</v>
      </c>
      <c r="D335" s="7">
        <v>-5.4348000000000001</v>
      </c>
      <c r="E335" s="7">
        <v>0.60260778063186604</v>
      </c>
      <c r="F335" s="7">
        <f t="shared" si="15"/>
        <v>4.8321922193681397</v>
      </c>
      <c r="G335" s="7">
        <f t="shared" si="16"/>
        <v>5.4348000000000001</v>
      </c>
      <c r="H335" s="7">
        <f t="shared" si="17"/>
        <v>0.60260778063186038</v>
      </c>
      <c r="I335" s="8">
        <v>0.110879476821937</v>
      </c>
      <c r="J335" s="2" t="s">
        <v>66</v>
      </c>
    </row>
    <row r="336" spans="1:10" ht="12.75" customHeight="1">
      <c r="A336" s="1">
        <v>46174</v>
      </c>
      <c r="B336" s="2">
        <v>2</v>
      </c>
      <c r="C336" s="7">
        <v>-3.1433777972797299</v>
      </c>
      <c r="D336" s="7">
        <v>-3.5300319999999998</v>
      </c>
      <c r="E336" s="7">
        <v>0.38671243272026701</v>
      </c>
      <c r="F336" s="7">
        <f t="shared" si="15"/>
        <v>3.1433777972797299</v>
      </c>
      <c r="G336" s="7">
        <f t="shared" si="16"/>
        <v>3.5300319999999998</v>
      </c>
      <c r="H336" s="7">
        <f t="shared" si="17"/>
        <v>0.38665420272026996</v>
      </c>
      <c r="I336" s="8">
        <v>0.10953277554432</v>
      </c>
      <c r="J336" s="2" t="s">
        <v>66</v>
      </c>
    </row>
    <row r="337" spans="1:10" ht="12.75" customHeight="1">
      <c r="A337" s="1">
        <v>46177</v>
      </c>
      <c r="B337" s="2">
        <v>1</v>
      </c>
      <c r="C337" s="7">
        <v>-3.5770550485590502</v>
      </c>
      <c r="D337" s="7">
        <v>-3.2265890000000002</v>
      </c>
      <c r="E337" s="7">
        <v>-0.35046604855904601</v>
      </c>
      <c r="F337" s="7">
        <f t="shared" si="15"/>
        <v>3.5770550485590502</v>
      </c>
      <c r="G337" s="7">
        <f t="shared" si="16"/>
        <v>3.2265890000000002</v>
      </c>
      <c r="H337" s="7">
        <f t="shared" si="17"/>
        <v>0.35046604855905006</v>
      </c>
      <c r="I337" s="8">
        <v>0.108618125382268</v>
      </c>
      <c r="J337" s="2" t="s">
        <v>66</v>
      </c>
    </row>
    <row r="338" spans="1:10" ht="12.75" customHeight="1">
      <c r="A338" s="1">
        <v>46200</v>
      </c>
      <c r="B338" s="2">
        <v>11</v>
      </c>
      <c r="C338" s="7">
        <v>-3.9054150941783199</v>
      </c>
      <c r="D338" s="7">
        <v>-3.5242089999999999</v>
      </c>
      <c r="E338" s="7">
        <v>0.59376014682167699</v>
      </c>
      <c r="F338" s="7">
        <f t="shared" si="15"/>
        <v>3.9054150941783199</v>
      </c>
      <c r="G338" s="7">
        <f t="shared" si="16"/>
        <v>3.5242089999999999</v>
      </c>
      <c r="H338" s="7">
        <f t="shared" si="17"/>
        <v>0.38120609417831997</v>
      </c>
      <c r="I338" s="8">
        <v>0.108167845374189</v>
      </c>
      <c r="J338" s="2" t="s">
        <v>66</v>
      </c>
    </row>
    <row r="339" spans="1:10" ht="12.75" customHeight="1">
      <c r="A339" s="1">
        <v>46202</v>
      </c>
      <c r="B339" s="2">
        <v>19</v>
      </c>
      <c r="C339" s="7">
        <v>-6.02730499324442</v>
      </c>
      <c r="D339" s="7">
        <v>-5.4399759999999997</v>
      </c>
      <c r="E339" s="7">
        <v>-0.559776498244418</v>
      </c>
      <c r="F339" s="7">
        <f t="shared" si="15"/>
        <v>6.02730499324442</v>
      </c>
      <c r="G339" s="7">
        <f t="shared" si="16"/>
        <v>5.4399759999999997</v>
      </c>
      <c r="H339" s="7">
        <f t="shared" si="17"/>
        <v>0.58732899324442034</v>
      </c>
      <c r="I339" s="8">
        <v>0.107965364781833</v>
      </c>
      <c r="J339" s="2" t="s">
        <v>66</v>
      </c>
    </row>
    <row r="340" spans="1:10" ht="12.75" customHeight="1">
      <c r="A340" s="1">
        <v>46201</v>
      </c>
      <c r="B340" s="2">
        <v>15</v>
      </c>
      <c r="C340" s="7">
        <v>-3.2810050379200901</v>
      </c>
      <c r="D340" s="7">
        <v>-3.676901</v>
      </c>
      <c r="E340" s="7">
        <v>1.4872019904799101</v>
      </c>
      <c r="F340" s="7">
        <f t="shared" si="15"/>
        <v>3.2810050379200901</v>
      </c>
      <c r="G340" s="7">
        <f t="shared" si="16"/>
        <v>3.676901</v>
      </c>
      <c r="H340" s="7">
        <f t="shared" si="17"/>
        <v>0.39589596207990985</v>
      </c>
      <c r="I340" s="8">
        <v>0.107671096415136</v>
      </c>
      <c r="J340" s="2" t="s">
        <v>66</v>
      </c>
    </row>
    <row r="341" spans="1:10" ht="12.75" customHeight="1">
      <c r="A341" s="1">
        <v>46183</v>
      </c>
      <c r="B341" s="2">
        <v>8</v>
      </c>
      <c r="C341" s="7">
        <v>-3.3104588482394299</v>
      </c>
      <c r="D341" s="7">
        <v>-3.7073100000000001</v>
      </c>
      <c r="E341" s="7">
        <v>0.57776205676057402</v>
      </c>
      <c r="F341" s="7">
        <f t="shared" si="15"/>
        <v>3.3104588482394299</v>
      </c>
      <c r="G341" s="7">
        <f t="shared" si="16"/>
        <v>3.7073100000000001</v>
      </c>
      <c r="H341" s="7">
        <f t="shared" si="17"/>
        <v>0.39685115176057018</v>
      </c>
      <c r="I341" s="8">
        <v>0.10704558069343401</v>
      </c>
      <c r="J341" s="2" t="s">
        <v>66</v>
      </c>
    </row>
    <row r="342" spans="1:10" ht="12.75" customHeight="1">
      <c r="A342" s="1">
        <v>46188</v>
      </c>
      <c r="B342" s="2">
        <v>24</v>
      </c>
      <c r="C342" s="7">
        <v>-4.3262939018061699</v>
      </c>
      <c r="D342" s="7">
        <v>-4.8440890000000003</v>
      </c>
      <c r="E342" s="7">
        <v>0.51779509819383096</v>
      </c>
      <c r="F342" s="7">
        <f t="shared" si="15"/>
        <v>4.3262939018061699</v>
      </c>
      <c r="G342" s="7">
        <f t="shared" si="16"/>
        <v>4.8440890000000003</v>
      </c>
      <c r="H342" s="7">
        <f t="shared" si="17"/>
        <v>0.51779509819383041</v>
      </c>
      <c r="I342" s="8">
        <v>0.106892152104107</v>
      </c>
      <c r="J342" s="2" t="s">
        <v>66</v>
      </c>
    </row>
    <row r="343" spans="1:10" ht="12.75" customHeight="1">
      <c r="A343" s="1">
        <v>46189</v>
      </c>
      <c r="B343" s="2">
        <v>22</v>
      </c>
      <c r="C343" s="7">
        <v>-5.5271413855842999</v>
      </c>
      <c r="D343" s="7">
        <v>-6.1833790000000004</v>
      </c>
      <c r="E343" s="7">
        <v>0.65623761441570405</v>
      </c>
      <c r="F343" s="7">
        <f t="shared" si="15"/>
        <v>5.5271413855842999</v>
      </c>
      <c r="G343" s="7">
        <f t="shared" si="16"/>
        <v>6.1833790000000004</v>
      </c>
      <c r="H343" s="7">
        <f t="shared" si="17"/>
        <v>0.6562376144157005</v>
      </c>
      <c r="I343" s="8">
        <v>0.10612928860024699</v>
      </c>
      <c r="J343" s="2" t="s">
        <v>66</v>
      </c>
    </row>
    <row r="344" spans="1:10" ht="12.75" customHeight="1">
      <c r="A344" s="1">
        <v>46202</v>
      </c>
      <c r="B344" s="2">
        <v>7</v>
      </c>
      <c r="C344" s="7">
        <v>-3.03844434054677</v>
      </c>
      <c r="D344" s="7">
        <v>-2.7478090000000002</v>
      </c>
      <c r="E344" s="7">
        <v>-0.13482868254677299</v>
      </c>
      <c r="F344" s="7">
        <f t="shared" si="15"/>
        <v>3.03844434054677</v>
      </c>
      <c r="G344" s="7">
        <f t="shared" si="16"/>
        <v>2.7478090000000002</v>
      </c>
      <c r="H344" s="7">
        <f t="shared" si="17"/>
        <v>0.29063534054676987</v>
      </c>
      <c r="I344" s="8">
        <v>0.105769848103261</v>
      </c>
      <c r="J344" s="2" t="s">
        <v>66</v>
      </c>
    </row>
    <row r="345" spans="1:10" ht="12.75" customHeight="1">
      <c r="A345" s="1">
        <v>46179</v>
      </c>
      <c r="B345" s="2">
        <v>3</v>
      </c>
      <c r="C345" s="7">
        <v>-3.4953015929080098</v>
      </c>
      <c r="D345" s="7">
        <v>-3.1612420000000001</v>
      </c>
      <c r="E345" s="7">
        <v>-0.33405959290800502</v>
      </c>
      <c r="F345" s="7">
        <f t="shared" si="15"/>
        <v>3.4953015929080098</v>
      </c>
      <c r="G345" s="7">
        <f t="shared" si="16"/>
        <v>3.1612420000000001</v>
      </c>
      <c r="H345" s="7">
        <f t="shared" si="17"/>
        <v>0.33405959290800968</v>
      </c>
      <c r="I345" s="8">
        <v>0.105673527337675</v>
      </c>
      <c r="J345" s="2" t="s">
        <v>66</v>
      </c>
    </row>
    <row r="346" spans="1:10" ht="12.75" customHeight="1">
      <c r="A346" s="1">
        <v>46202</v>
      </c>
      <c r="B346" s="2">
        <v>21</v>
      </c>
      <c r="C346" s="7">
        <v>-7.2413740196111203</v>
      </c>
      <c r="D346" s="7">
        <v>-6.5508749999999996</v>
      </c>
      <c r="E346" s="7">
        <v>-0.69049901961112004</v>
      </c>
      <c r="F346" s="7">
        <f t="shared" si="15"/>
        <v>7.2413740196111203</v>
      </c>
      <c r="G346" s="7">
        <f t="shared" si="16"/>
        <v>6.5508749999999996</v>
      </c>
      <c r="H346" s="7">
        <f t="shared" si="17"/>
        <v>0.6904990196111207</v>
      </c>
      <c r="I346" s="8">
        <v>0.105405616747552</v>
      </c>
      <c r="J346" s="2" t="s">
        <v>66</v>
      </c>
    </row>
    <row r="347" spans="1:10" ht="12.75" customHeight="1">
      <c r="A347" s="1">
        <v>46199</v>
      </c>
      <c r="B347" s="2">
        <v>17</v>
      </c>
      <c r="C347" s="7">
        <v>-5.1005819845217504</v>
      </c>
      <c r="D347" s="7">
        <v>-4.6150510000000002</v>
      </c>
      <c r="E347" s="7">
        <v>0.10603405547825399</v>
      </c>
      <c r="F347" s="7">
        <f t="shared" si="15"/>
        <v>5.1005819845217504</v>
      </c>
      <c r="G347" s="7">
        <f t="shared" si="16"/>
        <v>4.6150510000000002</v>
      </c>
      <c r="H347" s="7">
        <f t="shared" si="17"/>
        <v>0.48553098452175014</v>
      </c>
      <c r="I347" s="8">
        <v>0.10520598461896701</v>
      </c>
      <c r="J347" s="2" t="s">
        <v>66</v>
      </c>
    </row>
    <row r="348" spans="1:10" ht="12.75" customHeight="1">
      <c r="A348" s="1">
        <v>46177</v>
      </c>
      <c r="B348" s="2">
        <v>21</v>
      </c>
      <c r="C348" s="7">
        <v>-5.9144102566293304</v>
      </c>
      <c r="D348" s="7">
        <v>-5.3532780000000004</v>
      </c>
      <c r="E348" s="7">
        <v>-0.56113225662933297</v>
      </c>
      <c r="F348" s="7">
        <f t="shared" si="15"/>
        <v>5.9144102566293304</v>
      </c>
      <c r="G348" s="7">
        <f t="shared" si="16"/>
        <v>5.3532780000000004</v>
      </c>
      <c r="H348" s="7">
        <f t="shared" si="17"/>
        <v>0.56113225662932997</v>
      </c>
      <c r="I348" s="8">
        <v>0.104820309468205</v>
      </c>
      <c r="J348" s="2" t="s">
        <v>66</v>
      </c>
    </row>
    <row r="349" spans="1:10" ht="12.75" customHeight="1">
      <c r="A349" s="1">
        <v>46186</v>
      </c>
      <c r="B349" s="2">
        <v>15</v>
      </c>
      <c r="C349" s="7">
        <v>-3.2781058883409702</v>
      </c>
      <c r="D349" s="7">
        <v>-3.6613730000000002</v>
      </c>
      <c r="E349" s="7">
        <v>1.13248728865903</v>
      </c>
      <c r="F349" s="7">
        <f t="shared" si="15"/>
        <v>3.2781058883409702</v>
      </c>
      <c r="G349" s="7">
        <f t="shared" si="16"/>
        <v>3.6613730000000002</v>
      </c>
      <c r="H349" s="7">
        <f t="shared" si="17"/>
        <v>0.38326711165903005</v>
      </c>
      <c r="I349" s="8">
        <v>0.104678521324931</v>
      </c>
      <c r="J349" s="2" t="s">
        <v>66</v>
      </c>
    </row>
    <row r="350" spans="1:10" ht="12.75" customHeight="1">
      <c r="A350" s="1">
        <v>46188</v>
      </c>
      <c r="B350" s="2">
        <v>15</v>
      </c>
      <c r="C350" s="7">
        <v>-4.4473037844058796</v>
      </c>
      <c r="D350" s="7">
        <v>-4.026281</v>
      </c>
      <c r="E350" s="7">
        <v>0.38420028919412003</v>
      </c>
      <c r="F350" s="7">
        <f t="shared" si="15"/>
        <v>4.4473037844058796</v>
      </c>
      <c r="G350" s="7">
        <f t="shared" si="16"/>
        <v>4.026281</v>
      </c>
      <c r="H350" s="7">
        <f t="shared" si="17"/>
        <v>0.42102278440587959</v>
      </c>
      <c r="I350" s="8">
        <v>0.104568653903163</v>
      </c>
      <c r="J350" s="2" t="s">
        <v>66</v>
      </c>
    </row>
    <row r="351" spans="1:10" ht="12.75" customHeight="1">
      <c r="A351" s="1">
        <v>46199</v>
      </c>
      <c r="B351" s="2">
        <v>6</v>
      </c>
      <c r="C351" s="7">
        <v>-4.0279758489715096</v>
      </c>
      <c r="D351" s="7">
        <v>-3.6484329999999998</v>
      </c>
      <c r="E351" s="7">
        <v>-0.366878470971505</v>
      </c>
      <c r="F351" s="7">
        <f t="shared" si="15"/>
        <v>4.0279758489715096</v>
      </c>
      <c r="G351" s="7">
        <f t="shared" si="16"/>
        <v>3.6484329999999998</v>
      </c>
      <c r="H351" s="7">
        <f t="shared" si="17"/>
        <v>0.37954284897150981</v>
      </c>
      <c r="I351" s="8">
        <v>0.104029003402695</v>
      </c>
      <c r="J351" s="2" t="s">
        <v>66</v>
      </c>
    </row>
    <row r="352" spans="1:10" ht="12.75" customHeight="1">
      <c r="A352" s="1">
        <v>46186</v>
      </c>
      <c r="B352" s="2">
        <v>14</v>
      </c>
      <c r="C352" s="7">
        <v>-3.2813762632105399</v>
      </c>
      <c r="D352" s="7">
        <v>-3.6607259999999999</v>
      </c>
      <c r="E352" s="7">
        <v>1.18005299778946</v>
      </c>
      <c r="F352" s="7">
        <f t="shared" si="15"/>
        <v>3.2813762632105399</v>
      </c>
      <c r="G352" s="7">
        <f t="shared" si="16"/>
        <v>3.6607259999999999</v>
      </c>
      <c r="H352" s="7">
        <f t="shared" si="17"/>
        <v>0.37934973678946005</v>
      </c>
      <c r="I352" s="8">
        <v>0.103626913565631</v>
      </c>
      <c r="J352" s="2" t="s">
        <v>66</v>
      </c>
    </row>
    <row r="353" spans="1:10" ht="12.75" customHeight="1">
      <c r="A353" s="1">
        <v>46183</v>
      </c>
      <c r="B353" s="2">
        <v>19</v>
      </c>
      <c r="C353" s="7">
        <v>-5.4739905085261897</v>
      </c>
      <c r="D353" s="7">
        <v>-4.9605490000000003</v>
      </c>
      <c r="E353" s="7">
        <v>-0.47083202952618802</v>
      </c>
      <c r="F353" s="7">
        <f t="shared" si="15"/>
        <v>5.4739905085261897</v>
      </c>
      <c r="G353" s="7">
        <f t="shared" si="16"/>
        <v>4.9605490000000003</v>
      </c>
      <c r="H353" s="7">
        <f t="shared" si="17"/>
        <v>0.51344150852618942</v>
      </c>
      <c r="I353" s="8">
        <v>0.10350497667217599</v>
      </c>
      <c r="J353" s="2" t="s">
        <v>66</v>
      </c>
    </row>
    <row r="354" spans="1:10" ht="12.75" customHeight="1">
      <c r="A354" s="1">
        <v>46202</v>
      </c>
      <c r="B354" s="2">
        <v>24</v>
      </c>
      <c r="C354" s="7">
        <v>-5.2619918392558596</v>
      </c>
      <c r="D354" s="7">
        <v>-4.7722720000000001</v>
      </c>
      <c r="E354" s="7">
        <v>-0.48971983925585799</v>
      </c>
      <c r="F354" s="7">
        <f t="shared" si="15"/>
        <v>5.2619918392558596</v>
      </c>
      <c r="G354" s="7">
        <f t="shared" si="16"/>
        <v>4.7722720000000001</v>
      </c>
      <c r="H354" s="7">
        <f t="shared" si="17"/>
        <v>0.48971983925585949</v>
      </c>
      <c r="I354" s="8">
        <v>0.102617755076797</v>
      </c>
      <c r="J354" s="2" t="s">
        <v>66</v>
      </c>
    </row>
    <row r="355" spans="1:10" ht="12.75" customHeight="1">
      <c r="A355" s="1">
        <v>46188</v>
      </c>
      <c r="B355" s="2">
        <v>12</v>
      </c>
      <c r="C355" s="7">
        <v>-3.98339218520006</v>
      </c>
      <c r="D355" s="7">
        <v>-3.6154359999999999</v>
      </c>
      <c r="E355" s="7">
        <v>0.47429715699994102</v>
      </c>
      <c r="F355" s="7">
        <f t="shared" si="15"/>
        <v>3.98339218520006</v>
      </c>
      <c r="G355" s="7">
        <f t="shared" si="16"/>
        <v>3.6154359999999999</v>
      </c>
      <c r="H355" s="7">
        <f t="shared" si="17"/>
        <v>0.36795618520006013</v>
      </c>
      <c r="I355" s="8">
        <v>0.101773668570003</v>
      </c>
      <c r="J355" s="2" t="s">
        <v>66</v>
      </c>
    </row>
    <row r="356" spans="1:10" ht="12.75" customHeight="1">
      <c r="A356" s="1">
        <v>46201</v>
      </c>
      <c r="B356" s="2">
        <v>19</v>
      </c>
      <c r="C356" s="7">
        <v>-4.1269026212498403</v>
      </c>
      <c r="D356" s="7">
        <v>-3.74613</v>
      </c>
      <c r="E356" s="7">
        <v>-0.14909589644984</v>
      </c>
      <c r="F356" s="7">
        <f t="shared" si="15"/>
        <v>4.1269026212498403</v>
      </c>
      <c r="G356" s="7">
        <f t="shared" si="16"/>
        <v>3.74613</v>
      </c>
      <c r="H356" s="7">
        <f t="shared" si="17"/>
        <v>0.38077262124984035</v>
      </c>
      <c r="I356" s="8">
        <v>0.101644262545571</v>
      </c>
      <c r="J356" s="2" t="s">
        <v>66</v>
      </c>
    </row>
    <row r="357" spans="1:10" ht="12.75" customHeight="1">
      <c r="A357" s="1">
        <v>46189</v>
      </c>
      <c r="B357" s="2">
        <v>20</v>
      </c>
      <c r="C357" s="7">
        <v>-5.5777350554504297</v>
      </c>
      <c r="D357" s="7">
        <v>-6.2002009999999999</v>
      </c>
      <c r="E357" s="7">
        <v>0.62263571734957002</v>
      </c>
      <c r="F357" s="7">
        <f t="shared" si="15"/>
        <v>5.5777350554504297</v>
      </c>
      <c r="G357" s="7">
        <f t="shared" si="16"/>
        <v>6.2002009999999999</v>
      </c>
      <c r="H357" s="7">
        <f t="shared" si="17"/>
        <v>0.62246594454957016</v>
      </c>
      <c r="I357" s="8">
        <v>0.10039447826765099</v>
      </c>
      <c r="J357" s="2" t="s">
        <v>66</v>
      </c>
    </row>
    <row r="358" spans="1:10" ht="12.75" customHeight="1">
      <c r="A358" s="1">
        <v>46189</v>
      </c>
      <c r="B358" s="2">
        <v>21</v>
      </c>
      <c r="C358" s="7">
        <v>-5.7600239372418898</v>
      </c>
      <c r="D358" s="7">
        <v>-6.3949480000000003</v>
      </c>
      <c r="E358" s="7">
        <v>0.63493907315811304</v>
      </c>
      <c r="F358" s="7">
        <f t="shared" si="15"/>
        <v>5.7600239372418898</v>
      </c>
      <c r="G358" s="7">
        <f t="shared" si="16"/>
        <v>6.3949480000000003</v>
      </c>
      <c r="H358" s="7">
        <f t="shared" si="17"/>
        <v>0.63492406275811053</v>
      </c>
      <c r="I358" s="8">
        <v>9.9285258106573002E-2</v>
      </c>
      <c r="J358" s="2" t="s">
        <v>67</v>
      </c>
    </row>
    <row r="359" spans="1:10" ht="12.75" customHeight="1">
      <c r="A359" s="1">
        <v>46202</v>
      </c>
      <c r="B359" s="2">
        <v>22</v>
      </c>
      <c r="C359" s="7">
        <v>-6.9467998064026402</v>
      </c>
      <c r="D359" s="7">
        <v>-6.319896</v>
      </c>
      <c r="E359" s="7">
        <v>-0.62690380640263599</v>
      </c>
      <c r="F359" s="7">
        <f t="shared" si="15"/>
        <v>6.9467998064026402</v>
      </c>
      <c r="G359" s="7">
        <f t="shared" si="16"/>
        <v>6.319896</v>
      </c>
      <c r="H359" s="7">
        <f t="shared" si="17"/>
        <v>0.62690380640264021</v>
      </c>
      <c r="I359" s="8">
        <v>9.9195272580851895E-2</v>
      </c>
      <c r="J359" s="2" t="s">
        <v>67</v>
      </c>
    </row>
    <row r="360" spans="1:10" ht="12.75" customHeight="1">
      <c r="A360" s="1">
        <v>46188</v>
      </c>
      <c r="B360" s="2">
        <v>14</v>
      </c>
      <c r="C360" s="7">
        <v>-4.4125261483982596</v>
      </c>
      <c r="D360" s="7">
        <v>-4.0165759999999997</v>
      </c>
      <c r="E360" s="7">
        <v>0.40682312440173801</v>
      </c>
      <c r="F360" s="7">
        <f t="shared" si="15"/>
        <v>4.4125261483982596</v>
      </c>
      <c r="G360" s="7">
        <f t="shared" si="16"/>
        <v>4.0165759999999997</v>
      </c>
      <c r="H360" s="7">
        <f t="shared" si="17"/>
        <v>0.39595014839825993</v>
      </c>
      <c r="I360" s="8">
        <v>9.8579025617407098E-2</v>
      </c>
      <c r="J360" s="2" t="s">
        <v>67</v>
      </c>
    </row>
    <row r="361" spans="1:10" ht="12.75" customHeight="1">
      <c r="A361" s="1">
        <v>46181</v>
      </c>
      <c r="B361" s="2">
        <v>21</v>
      </c>
      <c r="C361" s="7">
        <v>-6.38026498156868</v>
      </c>
      <c r="D361" s="7">
        <v>-5.8081189999999996</v>
      </c>
      <c r="E361" s="7">
        <v>-0.57214598156867702</v>
      </c>
      <c r="F361" s="7">
        <f t="shared" si="15"/>
        <v>6.38026498156868</v>
      </c>
      <c r="G361" s="7">
        <f t="shared" si="16"/>
        <v>5.8081189999999996</v>
      </c>
      <c r="H361" s="7">
        <f t="shared" si="17"/>
        <v>0.57214598156868046</v>
      </c>
      <c r="I361" s="8">
        <v>9.8507964724668606E-2</v>
      </c>
      <c r="J361" s="2" t="s">
        <v>67</v>
      </c>
    </row>
    <row r="362" spans="1:10" ht="12.75" customHeight="1">
      <c r="A362" s="1">
        <v>46178</v>
      </c>
      <c r="B362" s="2">
        <v>14</v>
      </c>
      <c r="C362" s="7">
        <v>-3.95676096468519</v>
      </c>
      <c r="D362" s="7">
        <v>-3.6024959999999999</v>
      </c>
      <c r="E362" s="7">
        <v>0.43434327831481201</v>
      </c>
      <c r="F362" s="7">
        <f t="shared" si="15"/>
        <v>3.95676096468519</v>
      </c>
      <c r="G362" s="7">
        <f t="shared" si="16"/>
        <v>3.6024959999999999</v>
      </c>
      <c r="H362" s="7">
        <f t="shared" si="17"/>
        <v>0.35426496468519009</v>
      </c>
      <c r="I362" s="8">
        <v>9.83387530992922E-2</v>
      </c>
      <c r="J362" s="2" t="s">
        <v>67</v>
      </c>
    </row>
    <row r="363" spans="1:10" ht="12.75" customHeight="1">
      <c r="A363" s="1">
        <v>46201</v>
      </c>
      <c r="B363" s="2">
        <v>14</v>
      </c>
      <c r="C363" s="7">
        <v>-3.28620774022263</v>
      </c>
      <c r="D363" s="7">
        <v>-3.6419630000000001</v>
      </c>
      <c r="E363" s="7">
        <v>1.49936218017737</v>
      </c>
      <c r="F363" s="7">
        <f t="shared" si="15"/>
        <v>3.28620774022263</v>
      </c>
      <c r="G363" s="7">
        <f t="shared" si="16"/>
        <v>3.6419630000000001</v>
      </c>
      <c r="H363" s="7">
        <f t="shared" si="17"/>
        <v>0.3557552597773701</v>
      </c>
      <c r="I363" s="8">
        <v>9.7682282817637495E-2</v>
      </c>
      <c r="J363" s="2" t="s">
        <v>67</v>
      </c>
    </row>
    <row r="364" spans="1:10" ht="12.75" customHeight="1">
      <c r="A364" s="1">
        <v>46185</v>
      </c>
      <c r="B364" s="2">
        <v>21</v>
      </c>
      <c r="C364" s="7">
        <v>-5.75062230892906</v>
      </c>
      <c r="D364" s="7">
        <v>-6.3697150000000002</v>
      </c>
      <c r="E364" s="7">
        <v>0.619092691070942</v>
      </c>
      <c r="F364" s="7">
        <f t="shared" si="15"/>
        <v>5.75062230892906</v>
      </c>
      <c r="G364" s="7">
        <f t="shared" si="16"/>
        <v>6.3697150000000002</v>
      </c>
      <c r="H364" s="7">
        <f t="shared" si="17"/>
        <v>0.61909269107094023</v>
      </c>
      <c r="I364" s="8">
        <v>9.7193154021952499E-2</v>
      </c>
      <c r="J364" s="2" t="s">
        <v>67</v>
      </c>
    </row>
    <row r="365" spans="1:10" ht="12.75" customHeight="1">
      <c r="A365" s="1">
        <v>46194</v>
      </c>
      <c r="B365" s="2">
        <v>15</v>
      </c>
      <c r="C365" s="7">
        <v>-3.1999329954078899</v>
      </c>
      <c r="D365" s="7">
        <v>-3.5423249999999999</v>
      </c>
      <c r="E365" s="7">
        <v>1.3190548089921099</v>
      </c>
      <c r="F365" s="7">
        <f t="shared" si="15"/>
        <v>3.1999329954078899</v>
      </c>
      <c r="G365" s="7">
        <f t="shared" si="16"/>
        <v>3.5423249999999999</v>
      </c>
      <c r="H365" s="7">
        <f t="shared" si="17"/>
        <v>0.34239200459211006</v>
      </c>
      <c r="I365" s="8">
        <v>9.6657422622743405E-2</v>
      </c>
      <c r="J365" s="2" t="s">
        <v>67</v>
      </c>
    </row>
    <row r="366" spans="1:10" ht="12.75" customHeight="1">
      <c r="A366" s="1">
        <v>46201</v>
      </c>
      <c r="B366" s="2">
        <v>23</v>
      </c>
      <c r="C366" s="7">
        <v>-4.5082986171610404</v>
      </c>
      <c r="D366" s="7">
        <v>-4.1123320000000003</v>
      </c>
      <c r="E366" s="7">
        <v>-0.39596661716103798</v>
      </c>
      <c r="F366" s="7">
        <f t="shared" si="15"/>
        <v>4.5082986171610404</v>
      </c>
      <c r="G366" s="7">
        <f t="shared" si="16"/>
        <v>4.1123320000000003</v>
      </c>
      <c r="H366" s="7">
        <f t="shared" si="17"/>
        <v>0.39596661716104009</v>
      </c>
      <c r="I366" s="8">
        <v>9.6287609356695295E-2</v>
      </c>
      <c r="J366" s="2" t="s">
        <v>67</v>
      </c>
    </row>
    <row r="367" spans="1:10" ht="12.75" customHeight="1">
      <c r="A367" s="1">
        <v>46203</v>
      </c>
      <c r="B367" s="2">
        <v>2</v>
      </c>
      <c r="C367" s="7">
        <v>-4.5989527133150396</v>
      </c>
      <c r="D367" s="7">
        <v>-4.1957950000000004</v>
      </c>
      <c r="E367" s="7">
        <v>-0.40315771331504302</v>
      </c>
      <c r="F367" s="7">
        <f t="shared" si="15"/>
        <v>4.5989527133150396</v>
      </c>
      <c r="G367" s="7">
        <f t="shared" si="16"/>
        <v>4.1957950000000004</v>
      </c>
      <c r="H367" s="7">
        <f t="shared" si="17"/>
        <v>0.40315771331503925</v>
      </c>
      <c r="I367" s="8">
        <v>9.6086132262191704E-2</v>
      </c>
      <c r="J367" s="2" t="s">
        <v>67</v>
      </c>
    </row>
    <row r="368" spans="1:10" ht="12.75" customHeight="1">
      <c r="A368" s="1">
        <v>46174</v>
      </c>
      <c r="B368" s="2">
        <v>17</v>
      </c>
      <c r="C368" s="7">
        <v>-4.1779580228837201</v>
      </c>
      <c r="D368" s="7">
        <v>-3.8121239999999998</v>
      </c>
      <c r="E368" s="7">
        <v>4.2701834116277301E-2</v>
      </c>
      <c r="F368" s="7">
        <f t="shared" si="15"/>
        <v>4.1779580228837201</v>
      </c>
      <c r="G368" s="7">
        <f t="shared" si="16"/>
        <v>3.8121239999999998</v>
      </c>
      <c r="H368" s="7">
        <f t="shared" si="17"/>
        <v>0.36583402288372024</v>
      </c>
      <c r="I368" s="8">
        <v>9.5965929461823002E-2</v>
      </c>
      <c r="J368" s="2" t="s">
        <v>67</v>
      </c>
    </row>
    <row r="369" spans="1:10" ht="12.75" customHeight="1">
      <c r="A369" s="1">
        <v>46177</v>
      </c>
      <c r="B369" s="2">
        <v>22</v>
      </c>
      <c r="C369" s="7">
        <v>-5.71842863740408</v>
      </c>
      <c r="D369" s="7">
        <v>-5.2199960000000001</v>
      </c>
      <c r="E369" s="7">
        <v>-0.498432637404084</v>
      </c>
      <c r="F369" s="7">
        <f t="shared" si="15"/>
        <v>5.71842863740408</v>
      </c>
      <c r="G369" s="7">
        <f t="shared" si="16"/>
        <v>5.2199960000000001</v>
      </c>
      <c r="H369" s="7">
        <f t="shared" si="17"/>
        <v>0.49843263740407995</v>
      </c>
      <c r="I369" s="8">
        <v>9.54852527481026E-2</v>
      </c>
      <c r="J369" s="2" t="s">
        <v>67</v>
      </c>
    </row>
    <row r="370" spans="1:10" ht="12.75" customHeight="1">
      <c r="A370" s="1">
        <v>46193</v>
      </c>
      <c r="B370" s="2">
        <v>22</v>
      </c>
      <c r="C370" s="7">
        <v>-5.3664382515812799</v>
      </c>
      <c r="D370" s="7">
        <v>-5.9323430000000004</v>
      </c>
      <c r="E370" s="7">
        <v>0.56590474841871796</v>
      </c>
      <c r="F370" s="7">
        <f t="shared" si="15"/>
        <v>5.3664382515812799</v>
      </c>
      <c r="G370" s="7">
        <f t="shared" si="16"/>
        <v>5.9323430000000004</v>
      </c>
      <c r="H370" s="7">
        <f t="shared" si="17"/>
        <v>0.56590474841872052</v>
      </c>
      <c r="I370" s="8">
        <v>9.5393126867195394E-2</v>
      </c>
      <c r="J370" s="2" t="s">
        <v>67</v>
      </c>
    </row>
    <row r="371" spans="1:10" ht="12.75" customHeight="1">
      <c r="A371" s="1">
        <v>46200</v>
      </c>
      <c r="B371" s="2">
        <v>7</v>
      </c>
      <c r="C371" s="7">
        <v>-3.0273678485819202</v>
      </c>
      <c r="D371" s="7">
        <v>-2.7639840000000002</v>
      </c>
      <c r="E371" s="7">
        <v>-9.9872714581920499E-2</v>
      </c>
      <c r="F371" s="7">
        <f t="shared" si="15"/>
        <v>3.0273678485819202</v>
      </c>
      <c r="G371" s="7">
        <f t="shared" si="16"/>
        <v>2.7639840000000002</v>
      </c>
      <c r="H371" s="7">
        <f t="shared" si="17"/>
        <v>0.26338384858191999</v>
      </c>
      <c r="I371" s="8">
        <v>9.5291379610707105E-2</v>
      </c>
      <c r="J371" s="2" t="s">
        <v>67</v>
      </c>
    </row>
    <row r="372" spans="1:10" ht="12.75" customHeight="1">
      <c r="A372" s="1">
        <v>46185</v>
      </c>
      <c r="B372" s="2">
        <v>18</v>
      </c>
      <c r="C372" s="7">
        <v>-4.4268539100371704</v>
      </c>
      <c r="D372" s="7">
        <v>-4.8906729999999996</v>
      </c>
      <c r="E372" s="7">
        <v>0.58434315576283602</v>
      </c>
      <c r="F372" s="7">
        <f t="shared" si="15"/>
        <v>4.4268539100371704</v>
      </c>
      <c r="G372" s="7">
        <f t="shared" si="16"/>
        <v>4.8906729999999996</v>
      </c>
      <c r="H372" s="7">
        <f t="shared" si="17"/>
        <v>0.46381908996282917</v>
      </c>
      <c r="I372" s="8">
        <v>9.4837477370258799E-2</v>
      </c>
      <c r="J372" s="2" t="s">
        <v>67</v>
      </c>
    </row>
    <row r="373" spans="1:10" ht="12.75" customHeight="1">
      <c r="A373" s="1">
        <v>46191</v>
      </c>
      <c r="B373" s="2">
        <v>3</v>
      </c>
      <c r="C373" s="7">
        <v>-3.7888650451799899</v>
      </c>
      <c r="D373" s="7">
        <v>-4.1847960000000004</v>
      </c>
      <c r="E373" s="7">
        <v>0.395930954820016</v>
      </c>
      <c r="F373" s="7">
        <f t="shared" si="15"/>
        <v>3.7888650451799899</v>
      </c>
      <c r="G373" s="7">
        <f t="shared" si="16"/>
        <v>4.1847960000000004</v>
      </c>
      <c r="H373" s="7">
        <f t="shared" si="17"/>
        <v>0.39593095482001051</v>
      </c>
      <c r="I373" s="8">
        <v>9.4611769562964507E-2</v>
      </c>
      <c r="J373" s="2" t="s">
        <v>67</v>
      </c>
    </row>
    <row r="374" spans="1:10" ht="12.75" customHeight="1">
      <c r="A374" s="1">
        <v>46190</v>
      </c>
      <c r="B374" s="2">
        <v>22</v>
      </c>
      <c r="C374" s="7">
        <v>-5.80872211863106</v>
      </c>
      <c r="D374" s="7">
        <v>-6.414358</v>
      </c>
      <c r="E374" s="7">
        <v>0.60563588136893998</v>
      </c>
      <c r="F374" s="7">
        <f t="shared" si="15"/>
        <v>5.80872211863106</v>
      </c>
      <c r="G374" s="7">
        <f t="shared" si="16"/>
        <v>6.414358</v>
      </c>
      <c r="H374" s="7">
        <f t="shared" si="17"/>
        <v>0.60563588136893998</v>
      </c>
      <c r="I374" s="8">
        <v>9.4418783823562599E-2</v>
      </c>
      <c r="J374" s="2" t="s">
        <v>67</v>
      </c>
    </row>
    <row r="375" spans="1:10" ht="12.75" customHeight="1">
      <c r="A375" s="1">
        <v>46199</v>
      </c>
      <c r="B375" s="2">
        <v>1</v>
      </c>
      <c r="C375" s="7">
        <v>-4.4911776067225597</v>
      </c>
      <c r="D375" s="7">
        <v>-4.1039209999999997</v>
      </c>
      <c r="E375" s="7">
        <v>-0.38725660672255702</v>
      </c>
      <c r="F375" s="7">
        <f t="shared" si="15"/>
        <v>4.4911776067225597</v>
      </c>
      <c r="G375" s="7">
        <f t="shared" si="16"/>
        <v>4.1039209999999997</v>
      </c>
      <c r="H375" s="7">
        <f t="shared" si="17"/>
        <v>0.38725660672256002</v>
      </c>
      <c r="I375" s="8">
        <v>9.43625880523912E-2</v>
      </c>
      <c r="J375" s="2" t="s">
        <v>67</v>
      </c>
    </row>
    <row r="376" spans="1:10" ht="12.75" customHeight="1">
      <c r="A376" s="1">
        <v>46201</v>
      </c>
      <c r="B376" s="2">
        <v>17</v>
      </c>
      <c r="C376" s="7">
        <v>-3.3542606177319798</v>
      </c>
      <c r="D376" s="7">
        <v>-3.0661330000000002</v>
      </c>
      <c r="E376" s="7">
        <v>0.63706206646802399</v>
      </c>
      <c r="F376" s="7">
        <f t="shared" si="15"/>
        <v>3.3542606177319798</v>
      </c>
      <c r="G376" s="7">
        <f t="shared" si="16"/>
        <v>3.0661330000000002</v>
      </c>
      <c r="H376" s="7">
        <f t="shared" si="17"/>
        <v>0.28812761773197959</v>
      </c>
      <c r="I376" s="8">
        <v>9.3971010954833303E-2</v>
      </c>
      <c r="J376" s="2" t="s">
        <v>67</v>
      </c>
    </row>
    <row r="377" spans="1:10" ht="12.75" customHeight="1">
      <c r="A377" s="1">
        <v>46198</v>
      </c>
      <c r="B377" s="2">
        <v>2</v>
      </c>
      <c r="C377" s="7">
        <v>-4.1502746678157099</v>
      </c>
      <c r="D377" s="7">
        <v>-3.795302</v>
      </c>
      <c r="E377" s="7">
        <v>-0.35497266781571302</v>
      </c>
      <c r="F377" s="7">
        <f t="shared" si="15"/>
        <v>4.1502746678157099</v>
      </c>
      <c r="G377" s="7">
        <f t="shared" si="16"/>
        <v>3.795302</v>
      </c>
      <c r="H377" s="7">
        <f t="shared" si="17"/>
        <v>0.35497266781570991</v>
      </c>
      <c r="I377" s="8">
        <v>9.3529491939169304E-2</v>
      </c>
      <c r="J377" s="2" t="s">
        <v>67</v>
      </c>
    </row>
    <row r="378" spans="1:10" ht="12.75" customHeight="1">
      <c r="A378" s="1">
        <v>46176</v>
      </c>
      <c r="B378" s="2">
        <v>21</v>
      </c>
      <c r="C378" s="7">
        <v>-5.8457825451010503</v>
      </c>
      <c r="D378" s="7">
        <v>-5.3468080000000002</v>
      </c>
      <c r="E378" s="7">
        <v>-0.49897454510105299</v>
      </c>
      <c r="F378" s="7">
        <f t="shared" si="15"/>
        <v>5.8457825451010503</v>
      </c>
      <c r="G378" s="7">
        <f t="shared" si="16"/>
        <v>5.3468080000000002</v>
      </c>
      <c r="H378" s="7">
        <f t="shared" si="17"/>
        <v>0.4989745451010501</v>
      </c>
      <c r="I378" s="8">
        <v>9.3321949301537102E-2</v>
      </c>
      <c r="J378" s="2" t="s">
        <v>67</v>
      </c>
    </row>
    <row r="379" spans="1:10" ht="12.75" customHeight="1">
      <c r="A379" s="1">
        <v>46186</v>
      </c>
      <c r="B379" s="2">
        <v>9</v>
      </c>
      <c r="C379" s="7">
        <v>-3.0640235911523699</v>
      </c>
      <c r="D379" s="7">
        <v>-2.8028040000000001</v>
      </c>
      <c r="E379" s="7">
        <v>0.37926253084762901</v>
      </c>
      <c r="F379" s="7">
        <f t="shared" si="15"/>
        <v>3.0640235911523699</v>
      </c>
      <c r="G379" s="7">
        <f t="shared" si="16"/>
        <v>2.8028040000000001</v>
      </c>
      <c r="H379" s="7">
        <f t="shared" si="17"/>
        <v>0.26121959115236981</v>
      </c>
      <c r="I379" s="8">
        <v>9.3199378605272096E-2</v>
      </c>
      <c r="J379" s="2" t="s">
        <v>67</v>
      </c>
    </row>
    <row r="380" spans="1:10" ht="12.75" customHeight="1">
      <c r="A380" s="1">
        <v>46190</v>
      </c>
      <c r="B380" s="2">
        <v>10</v>
      </c>
      <c r="C380" s="7">
        <v>-3.61691791374921</v>
      </c>
      <c r="D380" s="7">
        <v>-3.988108</v>
      </c>
      <c r="E380" s="7">
        <v>1.0379736640507999</v>
      </c>
      <c r="F380" s="7">
        <f t="shared" si="15"/>
        <v>3.61691791374921</v>
      </c>
      <c r="G380" s="7">
        <f t="shared" si="16"/>
        <v>3.988108</v>
      </c>
      <c r="H380" s="7">
        <f t="shared" si="17"/>
        <v>0.37119008625078997</v>
      </c>
      <c r="I380" s="8">
        <v>9.3074231252211495E-2</v>
      </c>
      <c r="J380" s="2" t="s">
        <v>67</v>
      </c>
    </row>
    <row r="381" spans="1:10" ht="12.75" customHeight="1">
      <c r="A381" s="1">
        <v>46193</v>
      </c>
      <c r="B381" s="2">
        <v>19</v>
      </c>
      <c r="C381" s="7">
        <v>-4.5848704439230596</v>
      </c>
      <c r="D381" s="7">
        <v>-4.1945009999999998</v>
      </c>
      <c r="E381" s="7">
        <v>-0.20153731792306301</v>
      </c>
      <c r="F381" s="7">
        <f t="shared" si="15"/>
        <v>4.5848704439230596</v>
      </c>
      <c r="G381" s="7">
        <f t="shared" si="16"/>
        <v>4.1945009999999998</v>
      </c>
      <c r="H381" s="7">
        <f t="shared" si="17"/>
        <v>0.39036944392305983</v>
      </c>
      <c r="I381" s="8">
        <v>9.3066956933152006E-2</v>
      </c>
      <c r="J381" s="2" t="s">
        <v>67</v>
      </c>
    </row>
    <row r="382" spans="1:10" ht="12.75" customHeight="1">
      <c r="A382" s="1">
        <v>46185</v>
      </c>
      <c r="B382" s="2">
        <v>1</v>
      </c>
      <c r="C382" s="7">
        <v>-4.3038614541161904</v>
      </c>
      <c r="D382" s="7">
        <v>-3.9376419999999999</v>
      </c>
      <c r="E382" s="7">
        <v>-0.36621945411618501</v>
      </c>
      <c r="F382" s="7">
        <f t="shared" si="15"/>
        <v>4.3038614541161904</v>
      </c>
      <c r="G382" s="7">
        <f t="shared" si="16"/>
        <v>3.9376419999999999</v>
      </c>
      <c r="H382" s="7">
        <f t="shared" si="17"/>
        <v>0.3662194541161905</v>
      </c>
      <c r="I382" s="8">
        <v>9.3004761254625201E-2</v>
      </c>
      <c r="J382" s="2" t="s">
        <v>67</v>
      </c>
    </row>
    <row r="383" spans="1:10" ht="12.75" customHeight="1">
      <c r="A383" s="1">
        <v>46174</v>
      </c>
      <c r="B383" s="2">
        <v>15</v>
      </c>
      <c r="C383" s="7">
        <v>-4.1687604380989702</v>
      </c>
      <c r="D383" s="7">
        <v>-3.8140649999999998</v>
      </c>
      <c r="E383" s="7">
        <v>0.34841046090102701</v>
      </c>
      <c r="F383" s="7">
        <f t="shared" si="15"/>
        <v>4.1687604380989702</v>
      </c>
      <c r="G383" s="7">
        <f t="shared" si="16"/>
        <v>3.8140649999999998</v>
      </c>
      <c r="H383" s="7">
        <f t="shared" si="17"/>
        <v>0.35469543809897042</v>
      </c>
      <c r="I383" s="8">
        <v>9.2996694628689702E-2</v>
      </c>
      <c r="J383" s="2" t="s">
        <v>67</v>
      </c>
    </row>
    <row r="384" spans="1:10" ht="12.75" customHeight="1">
      <c r="A384" s="1">
        <v>46195</v>
      </c>
      <c r="B384" s="2">
        <v>2</v>
      </c>
      <c r="C384" s="7">
        <v>-3.28842635780742</v>
      </c>
      <c r="D384" s="7">
        <v>-3.6251410000000002</v>
      </c>
      <c r="E384" s="7">
        <v>0.33671464219258301</v>
      </c>
      <c r="F384" s="7">
        <f t="shared" si="15"/>
        <v>3.28842635780742</v>
      </c>
      <c r="G384" s="7">
        <f t="shared" si="16"/>
        <v>3.6251410000000002</v>
      </c>
      <c r="H384" s="7">
        <f t="shared" si="17"/>
        <v>0.33671464219258018</v>
      </c>
      <c r="I384" s="8">
        <v>9.2883185010619804E-2</v>
      </c>
      <c r="J384" s="2" t="s">
        <v>67</v>
      </c>
    </row>
    <row r="385" spans="1:10" ht="12.75" customHeight="1">
      <c r="A385" s="1">
        <v>46187</v>
      </c>
      <c r="B385" s="2">
        <v>22</v>
      </c>
      <c r="C385" s="7">
        <v>-4.5222735114311199</v>
      </c>
      <c r="D385" s="7">
        <v>-4.983841</v>
      </c>
      <c r="E385" s="7">
        <v>0.46156748856887703</v>
      </c>
      <c r="F385" s="7">
        <f t="shared" si="15"/>
        <v>4.5222735114311199</v>
      </c>
      <c r="G385" s="7">
        <f t="shared" si="16"/>
        <v>4.983841</v>
      </c>
      <c r="H385" s="7">
        <f t="shared" si="17"/>
        <v>0.46156748856888008</v>
      </c>
      <c r="I385" s="8">
        <v>9.2612803773008998E-2</v>
      </c>
      <c r="J385" s="2" t="s">
        <v>67</v>
      </c>
    </row>
    <row r="386" spans="1:10" ht="12.75" customHeight="1">
      <c r="A386" s="1">
        <v>46201</v>
      </c>
      <c r="B386" s="2">
        <v>5</v>
      </c>
      <c r="C386" s="7">
        <v>-3.27197959290829</v>
      </c>
      <c r="D386" s="7">
        <v>-3.6050840000000002</v>
      </c>
      <c r="E386" s="7">
        <v>0.33310440709171002</v>
      </c>
      <c r="F386" s="7">
        <f t="shared" ref="F386:F449" si="18">ABS(C386)</f>
        <v>3.27197959290829</v>
      </c>
      <c r="G386" s="7">
        <f t="shared" ref="G386:G449" si="19">ABS(D386)</f>
        <v>3.6050840000000002</v>
      </c>
      <c r="H386" s="7">
        <f t="shared" ref="H386:H449" si="20">ABS(G386-F386)</f>
        <v>0.33310440709171019</v>
      </c>
      <c r="I386" s="8">
        <v>9.2398514734111703E-2</v>
      </c>
      <c r="J386" s="2" t="s">
        <v>67</v>
      </c>
    </row>
    <row r="387" spans="1:10" ht="12.75" customHeight="1">
      <c r="A387" s="1">
        <v>46179</v>
      </c>
      <c r="B387" s="2">
        <v>16</v>
      </c>
      <c r="C387" s="7">
        <v>-3.9148492730494699</v>
      </c>
      <c r="D387" s="7">
        <v>-3.5850270000000002</v>
      </c>
      <c r="E387" s="7">
        <v>0.22368713275053301</v>
      </c>
      <c r="F387" s="7">
        <f t="shared" si="18"/>
        <v>3.9148492730494699</v>
      </c>
      <c r="G387" s="7">
        <f t="shared" si="19"/>
        <v>3.5850270000000002</v>
      </c>
      <c r="H387" s="7">
        <f t="shared" si="20"/>
        <v>0.32982227304946976</v>
      </c>
      <c r="I387" s="8">
        <v>9.1999941157895504E-2</v>
      </c>
      <c r="J387" s="2" t="s">
        <v>67</v>
      </c>
    </row>
    <row r="388" spans="1:10" ht="12.75" customHeight="1">
      <c r="A388" s="1">
        <v>46199</v>
      </c>
      <c r="B388" s="2">
        <v>4</v>
      </c>
      <c r="C388" s="7">
        <v>-4.2204841153790502</v>
      </c>
      <c r="D388" s="7">
        <v>-3.8651779999999998</v>
      </c>
      <c r="E388" s="7">
        <v>-0.35530611537904899</v>
      </c>
      <c r="F388" s="7">
        <f t="shared" si="18"/>
        <v>4.2204841153790502</v>
      </c>
      <c r="G388" s="7">
        <f t="shared" si="19"/>
        <v>3.8651779999999998</v>
      </c>
      <c r="H388" s="7">
        <f t="shared" si="20"/>
        <v>0.35530611537905044</v>
      </c>
      <c r="I388" s="8">
        <v>9.1924903685948994E-2</v>
      </c>
      <c r="J388" s="2" t="s">
        <v>67</v>
      </c>
    </row>
    <row r="389" spans="1:10" ht="12.75" customHeight="1">
      <c r="A389" s="1">
        <v>46183</v>
      </c>
      <c r="B389" s="2">
        <v>10</v>
      </c>
      <c r="C389" s="7">
        <v>-4.2861671937515498</v>
      </c>
      <c r="D389" s="7">
        <v>-3.9305249999999998</v>
      </c>
      <c r="E389" s="7">
        <v>5.6220537248454397E-2</v>
      </c>
      <c r="F389" s="7">
        <f t="shared" si="18"/>
        <v>4.2861671937515498</v>
      </c>
      <c r="G389" s="7">
        <f t="shared" si="19"/>
        <v>3.9305249999999998</v>
      </c>
      <c r="H389" s="7">
        <f t="shared" si="20"/>
        <v>0.35564219375154993</v>
      </c>
      <c r="I389" s="8">
        <v>9.0482109578630204E-2</v>
      </c>
      <c r="J389" s="2" t="s">
        <v>67</v>
      </c>
    </row>
    <row r="390" spans="1:10" ht="12.75" customHeight="1">
      <c r="A390" s="1">
        <v>46199</v>
      </c>
      <c r="B390" s="2">
        <v>2</v>
      </c>
      <c r="C390" s="7">
        <v>-4.3698553248565801</v>
      </c>
      <c r="D390" s="7">
        <v>-4.008165</v>
      </c>
      <c r="E390" s="7">
        <v>-0.36169032485657698</v>
      </c>
      <c r="F390" s="7">
        <f t="shared" si="18"/>
        <v>4.3698553248565801</v>
      </c>
      <c r="G390" s="7">
        <f t="shared" si="19"/>
        <v>4.008165</v>
      </c>
      <c r="H390" s="7">
        <f t="shared" si="20"/>
        <v>0.36169032485658015</v>
      </c>
      <c r="I390" s="8">
        <v>9.0238382116648502E-2</v>
      </c>
      <c r="J390" s="2" t="s">
        <v>67</v>
      </c>
    </row>
    <row r="391" spans="1:10" ht="12.75" customHeight="1">
      <c r="A391" s="1">
        <v>46203</v>
      </c>
      <c r="B391" s="2">
        <v>24</v>
      </c>
      <c r="C391" s="7">
        <v>-5.2479611964673598</v>
      </c>
      <c r="D391" s="7">
        <v>-4.8136799999999997</v>
      </c>
      <c r="E391" s="7">
        <v>-0.43428119646735702</v>
      </c>
      <c r="F391" s="7">
        <f t="shared" si="18"/>
        <v>5.2479611964673598</v>
      </c>
      <c r="G391" s="7">
        <f t="shared" si="19"/>
        <v>4.8136799999999997</v>
      </c>
      <c r="H391" s="7">
        <f t="shared" si="20"/>
        <v>0.43428119646736008</v>
      </c>
      <c r="I391" s="8">
        <v>9.0218127600371595E-2</v>
      </c>
      <c r="J391" s="2" t="s">
        <v>67</v>
      </c>
    </row>
    <row r="392" spans="1:10" ht="12.75" customHeight="1">
      <c r="A392" s="1">
        <v>46199</v>
      </c>
      <c r="B392" s="2">
        <v>3</v>
      </c>
      <c r="C392" s="7">
        <v>-4.1700373274489104</v>
      </c>
      <c r="D392" s="7">
        <v>-3.8257110000000001</v>
      </c>
      <c r="E392" s="7">
        <v>-0.34432632744890801</v>
      </c>
      <c r="F392" s="7">
        <f t="shared" si="18"/>
        <v>4.1700373274489104</v>
      </c>
      <c r="G392" s="7">
        <f t="shared" si="19"/>
        <v>3.8257110000000001</v>
      </c>
      <c r="H392" s="7">
        <f t="shared" si="20"/>
        <v>0.34432632744891034</v>
      </c>
      <c r="I392" s="8">
        <v>9.0003224877390806E-2</v>
      </c>
      <c r="J392" s="2" t="s">
        <v>67</v>
      </c>
    </row>
    <row r="393" spans="1:10" ht="12.75" customHeight="1">
      <c r="A393" s="1">
        <v>46203</v>
      </c>
      <c r="B393" s="2">
        <v>1</v>
      </c>
      <c r="C393" s="7">
        <v>-4.6707356513849598</v>
      </c>
      <c r="D393" s="7">
        <v>-4.2863749999999996</v>
      </c>
      <c r="E393" s="7">
        <v>-0.384360651384964</v>
      </c>
      <c r="F393" s="7">
        <f t="shared" si="18"/>
        <v>4.6707356513849598</v>
      </c>
      <c r="G393" s="7">
        <f t="shared" si="19"/>
        <v>4.2863749999999996</v>
      </c>
      <c r="H393" s="7">
        <f t="shared" si="20"/>
        <v>0.38436065138496023</v>
      </c>
      <c r="I393" s="8">
        <v>8.9670327814286896E-2</v>
      </c>
      <c r="J393" s="2" t="s">
        <v>67</v>
      </c>
    </row>
    <row r="394" spans="1:10" ht="12.75" customHeight="1">
      <c r="A394" s="1">
        <v>46195</v>
      </c>
      <c r="B394" s="2">
        <v>22</v>
      </c>
      <c r="C394" s="7">
        <v>-5.8689530205916798</v>
      </c>
      <c r="D394" s="7">
        <v>-6.4460610000000003</v>
      </c>
      <c r="E394" s="7">
        <v>0.57710797940832104</v>
      </c>
      <c r="F394" s="7">
        <f t="shared" si="18"/>
        <v>5.8689530205916798</v>
      </c>
      <c r="G394" s="7">
        <f t="shared" si="19"/>
        <v>6.4460610000000003</v>
      </c>
      <c r="H394" s="7">
        <f t="shared" si="20"/>
        <v>0.57710797940832048</v>
      </c>
      <c r="I394" s="8">
        <v>8.9528780352578302E-2</v>
      </c>
      <c r="J394" s="2" t="s">
        <v>67</v>
      </c>
    </row>
    <row r="395" spans="1:10" ht="12.75" customHeight="1">
      <c r="A395" s="1">
        <v>46188</v>
      </c>
      <c r="B395" s="2">
        <v>11</v>
      </c>
      <c r="C395" s="7">
        <v>-3.9185196837382001</v>
      </c>
      <c r="D395" s="7">
        <v>-3.5999080000000001</v>
      </c>
      <c r="E395" s="7">
        <v>0.49913381606180501</v>
      </c>
      <c r="F395" s="7">
        <f t="shared" si="18"/>
        <v>3.9185196837382001</v>
      </c>
      <c r="G395" s="7">
        <f t="shared" si="19"/>
        <v>3.5999080000000001</v>
      </c>
      <c r="H395" s="7">
        <f t="shared" si="20"/>
        <v>0.31861168373820004</v>
      </c>
      <c r="I395" s="8">
        <v>8.8505507290240606E-2</v>
      </c>
      <c r="J395" s="2" t="s">
        <v>67</v>
      </c>
    </row>
    <row r="396" spans="1:10" ht="12.75" customHeight="1">
      <c r="A396" s="1">
        <v>46201</v>
      </c>
      <c r="B396" s="2">
        <v>20</v>
      </c>
      <c r="C396" s="7">
        <v>-4.8975801521445197</v>
      </c>
      <c r="D396" s="7">
        <v>-4.5018260000000003</v>
      </c>
      <c r="E396" s="7">
        <v>-0.36171716434451601</v>
      </c>
      <c r="F396" s="7">
        <f t="shared" si="18"/>
        <v>4.8975801521445197</v>
      </c>
      <c r="G396" s="7">
        <f t="shared" si="19"/>
        <v>4.5018260000000003</v>
      </c>
      <c r="H396" s="7">
        <f t="shared" si="20"/>
        <v>0.39575415214451937</v>
      </c>
      <c r="I396" s="8">
        <v>8.7909695342404698E-2</v>
      </c>
      <c r="J396" s="2" t="s">
        <v>67</v>
      </c>
    </row>
    <row r="397" spans="1:10" ht="12.75" customHeight="1">
      <c r="A397" s="1">
        <v>46192</v>
      </c>
      <c r="B397" s="2">
        <v>7</v>
      </c>
      <c r="C397" s="7">
        <v>-2.9631125481420799</v>
      </c>
      <c r="D397" s="7">
        <v>-3.2459989999999999</v>
      </c>
      <c r="E397" s="7">
        <v>0.43755891885791898</v>
      </c>
      <c r="F397" s="7">
        <f t="shared" si="18"/>
        <v>2.9631125481420799</v>
      </c>
      <c r="G397" s="7">
        <f t="shared" si="19"/>
        <v>3.2459989999999999</v>
      </c>
      <c r="H397" s="7">
        <f t="shared" si="20"/>
        <v>0.28288645185791994</v>
      </c>
      <c r="I397" s="8">
        <v>8.7149272645468803E-2</v>
      </c>
      <c r="J397" s="2" t="s">
        <v>67</v>
      </c>
    </row>
    <row r="398" spans="1:10" ht="12.75" customHeight="1">
      <c r="A398" s="1">
        <v>46175</v>
      </c>
      <c r="B398" s="2">
        <v>22</v>
      </c>
      <c r="C398" s="7">
        <v>-5.5184387096789003</v>
      </c>
      <c r="D398" s="7">
        <v>-5.0763619999999996</v>
      </c>
      <c r="E398" s="7">
        <v>-0.44207670967889501</v>
      </c>
      <c r="F398" s="7">
        <f t="shared" si="18"/>
        <v>5.5184387096789003</v>
      </c>
      <c r="G398" s="7">
        <f t="shared" si="19"/>
        <v>5.0763619999999996</v>
      </c>
      <c r="H398" s="7">
        <f t="shared" si="20"/>
        <v>0.44207670967890067</v>
      </c>
      <c r="I398" s="8">
        <v>8.7085339792334598E-2</v>
      </c>
      <c r="J398" s="2" t="s">
        <v>67</v>
      </c>
    </row>
    <row r="399" spans="1:10" ht="12.75" customHeight="1">
      <c r="A399" s="1">
        <v>46185</v>
      </c>
      <c r="B399" s="2">
        <v>23</v>
      </c>
      <c r="C399" s="7">
        <v>-4.8810596534536002</v>
      </c>
      <c r="D399" s="7">
        <v>-5.3377499999999998</v>
      </c>
      <c r="E399" s="7">
        <v>0.456690346546405</v>
      </c>
      <c r="F399" s="7">
        <f t="shared" si="18"/>
        <v>4.8810596534536002</v>
      </c>
      <c r="G399" s="7">
        <f t="shared" si="19"/>
        <v>5.3377499999999998</v>
      </c>
      <c r="H399" s="7">
        <f t="shared" si="20"/>
        <v>0.45669034654639962</v>
      </c>
      <c r="I399" s="8">
        <v>8.5558586772779693E-2</v>
      </c>
      <c r="J399" s="2" t="s">
        <v>67</v>
      </c>
    </row>
    <row r="400" spans="1:10" ht="12.75" customHeight="1">
      <c r="A400" s="1">
        <v>46202</v>
      </c>
      <c r="B400" s="2">
        <v>23</v>
      </c>
      <c r="C400" s="7">
        <v>-5.8917621306596697</v>
      </c>
      <c r="D400" s="7">
        <v>-5.4328589999999997</v>
      </c>
      <c r="E400" s="7">
        <v>-0.45890313065966498</v>
      </c>
      <c r="F400" s="7">
        <f t="shared" si="18"/>
        <v>5.8917621306596697</v>
      </c>
      <c r="G400" s="7">
        <f t="shared" si="19"/>
        <v>5.4328589999999997</v>
      </c>
      <c r="H400" s="7">
        <f t="shared" si="20"/>
        <v>0.45890313065967003</v>
      </c>
      <c r="I400" s="8">
        <v>8.4468073009011393E-2</v>
      </c>
      <c r="J400" s="2" t="s">
        <v>67</v>
      </c>
    </row>
    <row r="401" spans="1:10" ht="12.75" customHeight="1">
      <c r="A401" s="1">
        <v>46188</v>
      </c>
      <c r="B401" s="2">
        <v>23</v>
      </c>
      <c r="C401" s="7">
        <v>-5.0865069392756199</v>
      </c>
      <c r="D401" s="7">
        <v>-5.5532009999999996</v>
      </c>
      <c r="E401" s="7">
        <v>0.46669406072438202</v>
      </c>
      <c r="F401" s="7">
        <f t="shared" si="18"/>
        <v>5.0865069392756199</v>
      </c>
      <c r="G401" s="7">
        <f t="shared" si="19"/>
        <v>5.5532009999999996</v>
      </c>
      <c r="H401" s="7">
        <f t="shared" si="20"/>
        <v>0.46669406072437969</v>
      </c>
      <c r="I401" s="8">
        <v>8.4040548995864203E-2</v>
      </c>
      <c r="J401" s="2" t="s">
        <v>67</v>
      </c>
    </row>
    <row r="402" spans="1:10" ht="12.75" customHeight="1">
      <c r="A402" s="1">
        <v>46188</v>
      </c>
      <c r="B402" s="2">
        <v>16</v>
      </c>
      <c r="C402" s="7">
        <v>-4.5409591479011597</v>
      </c>
      <c r="D402" s="7">
        <v>-4.1893250000000002</v>
      </c>
      <c r="E402" s="7">
        <v>0.18487805029884399</v>
      </c>
      <c r="F402" s="7">
        <f t="shared" si="18"/>
        <v>4.5409591479011597</v>
      </c>
      <c r="G402" s="7">
        <f t="shared" si="19"/>
        <v>4.1893250000000002</v>
      </c>
      <c r="H402" s="7">
        <f t="shared" si="20"/>
        <v>0.35163414790115954</v>
      </c>
      <c r="I402" s="8">
        <v>8.3935752872158695E-2</v>
      </c>
      <c r="J402" s="2" t="s">
        <v>67</v>
      </c>
    </row>
    <row r="403" spans="1:10" ht="12.75" customHeight="1">
      <c r="A403" s="1">
        <v>46179</v>
      </c>
      <c r="B403" s="2">
        <v>11</v>
      </c>
      <c r="C403" s="7">
        <v>-3.2631397763233498</v>
      </c>
      <c r="D403" s="7">
        <v>-3.5617350000000001</v>
      </c>
      <c r="E403" s="7">
        <v>1.33725654427665</v>
      </c>
      <c r="F403" s="7">
        <f t="shared" si="18"/>
        <v>3.2631397763233498</v>
      </c>
      <c r="G403" s="7">
        <f t="shared" si="19"/>
        <v>3.5617350000000001</v>
      </c>
      <c r="H403" s="7">
        <f t="shared" si="20"/>
        <v>0.29859522367665026</v>
      </c>
      <c r="I403" s="8">
        <v>8.3834205429840394E-2</v>
      </c>
      <c r="J403" s="2" t="s">
        <v>67</v>
      </c>
    </row>
    <row r="404" spans="1:10" ht="12.75" customHeight="1">
      <c r="A404" s="1">
        <v>46196</v>
      </c>
      <c r="B404" s="2">
        <v>16</v>
      </c>
      <c r="C404" s="7">
        <v>-4.7993741737177702</v>
      </c>
      <c r="D404" s="7">
        <v>-4.4306559999999999</v>
      </c>
      <c r="E404" s="7">
        <v>0.16908698928223301</v>
      </c>
      <c r="F404" s="7">
        <f t="shared" si="18"/>
        <v>4.7993741737177702</v>
      </c>
      <c r="G404" s="7">
        <f t="shared" si="19"/>
        <v>4.4306559999999999</v>
      </c>
      <c r="H404" s="7">
        <f t="shared" si="20"/>
        <v>0.36871817371777027</v>
      </c>
      <c r="I404" s="8">
        <v>8.3219770101259805E-2</v>
      </c>
      <c r="J404" s="2" t="s">
        <v>67</v>
      </c>
    </row>
    <row r="405" spans="1:10" ht="12.75" customHeight="1">
      <c r="A405" s="1">
        <v>46197</v>
      </c>
      <c r="B405" s="2">
        <v>21</v>
      </c>
      <c r="C405" s="7">
        <v>-6.4794853068515801</v>
      </c>
      <c r="D405" s="7">
        <v>-5.9828089999999996</v>
      </c>
      <c r="E405" s="7">
        <v>-0.49667630685157699</v>
      </c>
      <c r="F405" s="7">
        <f t="shared" si="18"/>
        <v>6.4794853068515801</v>
      </c>
      <c r="G405" s="7">
        <f t="shared" si="19"/>
        <v>5.9828089999999996</v>
      </c>
      <c r="H405" s="7">
        <f t="shared" si="20"/>
        <v>0.49667630685158048</v>
      </c>
      <c r="I405" s="8">
        <v>8.3017242711839398E-2</v>
      </c>
      <c r="J405" s="2" t="s">
        <v>67</v>
      </c>
    </row>
    <row r="406" spans="1:10" ht="12.75" customHeight="1">
      <c r="A406" s="1">
        <v>46176</v>
      </c>
      <c r="B406" s="2">
        <v>8</v>
      </c>
      <c r="C406" s="7">
        <v>-2.97754442801567</v>
      </c>
      <c r="D406" s="7">
        <v>-2.7510439999999998</v>
      </c>
      <c r="E406" s="7">
        <v>0.14332024298432799</v>
      </c>
      <c r="F406" s="7">
        <f t="shared" si="18"/>
        <v>2.97754442801567</v>
      </c>
      <c r="G406" s="7">
        <f t="shared" si="19"/>
        <v>2.7510439999999998</v>
      </c>
      <c r="H406" s="7">
        <f t="shared" si="20"/>
        <v>0.22650042801567016</v>
      </c>
      <c r="I406" s="8">
        <v>8.2332535581281896E-2</v>
      </c>
      <c r="J406" s="2" t="s">
        <v>67</v>
      </c>
    </row>
    <row r="407" spans="1:10" ht="12.75" customHeight="1">
      <c r="A407" s="1">
        <v>46201</v>
      </c>
      <c r="B407" s="2">
        <v>22</v>
      </c>
      <c r="C407" s="7">
        <v>-5.1282754222690698</v>
      </c>
      <c r="D407" s="7">
        <v>-4.7386280000000003</v>
      </c>
      <c r="E407" s="7">
        <v>-0.38964742226906701</v>
      </c>
      <c r="F407" s="7">
        <f t="shared" si="18"/>
        <v>5.1282754222690698</v>
      </c>
      <c r="G407" s="7">
        <f t="shared" si="19"/>
        <v>4.7386280000000003</v>
      </c>
      <c r="H407" s="7">
        <f t="shared" si="20"/>
        <v>0.38964742226906957</v>
      </c>
      <c r="I407" s="8">
        <v>8.2227898511777503E-2</v>
      </c>
      <c r="J407" s="2" t="s">
        <v>67</v>
      </c>
    </row>
    <row r="408" spans="1:10" ht="12.75" customHeight="1">
      <c r="A408" s="1">
        <v>46179</v>
      </c>
      <c r="B408" s="2">
        <v>4</v>
      </c>
      <c r="C408" s="7">
        <v>-3.50866631632229</v>
      </c>
      <c r="D408" s="7">
        <v>-3.2421169999999999</v>
      </c>
      <c r="E408" s="7">
        <v>-0.26654931632229301</v>
      </c>
      <c r="F408" s="7">
        <f t="shared" si="18"/>
        <v>3.50866631632229</v>
      </c>
      <c r="G408" s="7">
        <f t="shared" si="19"/>
        <v>3.2421169999999999</v>
      </c>
      <c r="H408" s="7">
        <f t="shared" si="20"/>
        <v>0.26654931632229006</v>
      </c>
      <c r="I408" s="8">
        <v>8.2214588900490798E-2</v>
      </c>
      <c r="J408" s="2" t="s">
        <v>67</v>
      </c>
    </row>
    <row r="409" spans="1:10" ht="12.75" customHeight="1">
      <c r="A409" s="1">
        <v>46176</v>
      </c>
      <c r="B409" s="2">
        <v>23</v>
      </c>
      <c r="C409" s="7">
        <v>-4.8850176168709396</v>
      </c>
      <c r="D409" s="7">
        <v>-4.514119</v>
      </c>
      <c r="E409" s="7">
        <v>-0.370898616870942</v>
      </c>
      <c r="F409" s="7">
        <f t="shared" si="18"/>
        <v>4.8850176168709396</v>
      </c>
      <c r="G409" s="7">
        <f t="shared" si="19"/>
        <v>4.514119</v>
      </c>
      <c r="H409" s="7">
        <f t="shared" si="20"/>
        <v>0.37089861687093961</v>
      </c>
      <c r="I409" s="8">
        <v>8.2164120367881704E-2</v>
      </c>
      <c r="J409" s="2" t="s">
        <v>67</v>
      </c>
    </row>
    <row r="410" spans="1:10" ht="12.75" customHeight="1">
      <c r="A410" s="1">
        <v>46185</v>
      </c>
      <c r="B410" s="2">
        <v>4</v>
      </c>
      <c r="C410" s="7">
        <v>-4.1102061741656302</v>
      </c>
      <c r="D410" s="7">
        <v>-3.802419</v>
      </c>
      <c r="E410" s="7">
        <v>-0.30778717416563001</v>
      </c>
      <c r="F410" s="7">
        <f t="shared" si="18"/>
        <v>4.1102061741656302</v>
      </c>
      <c r="G410" s="7">
        <f t="shared" si="19"/>
        <v>3.802419</v>
      </c>
      <c r="H410" s="7">
        <f t="shared" si="20"/>
        <v>0.30778717416563017</v>
      </c>
      <c r="I410" s="8">
        <v>8.0945096835890407E-2</v>
      </c>
      <c r="J410" s="2" t="s">
        <v>67</v>
      </c>
    </row>
    <row r="411" spans="1:10" ht="12.75" customHeight="1">
      <c r="A411" s="1">
        <v>46185</v>
      </c>
      <c r="B411" s="2">
        <v>15</v>
      </c>
      <c r="C411" s="7">
        <v>-4.4406962641540799</v>
      </c>
      <c r="D411" s="7">
        <v>-4.1103909999999999</v>
      </c>
      <c r="E411" s="7">
        <v>-1.80074221540747E-2</v>
      </c>
      <c r="F411" s="7">
        <f t="shared" si="18"/>
        <v>4.4406962641540799</v>
      </c>
      <c r="G411" s="7">
        <f t="shared" si="19"/>
        <v>4.1103909999999999</v>
      </c>
      <c r="H411" s="7">
        <f t="shared" si="20"/>
        <v>0.33030526415408001</v>
      </c>
      <c r="I411" s="8">
        <v>8.0358599499189901E-2</v>
      </c>
      <c r="J411" s="2" t="s">
        <v>67</v>
      </c>
    </row>
    <row r="412" spans="1:10" ht="12.75" customHeight="1">
      <c r="A412" s="1">
        <v>46194</v>
      </c>
      <c r="B412" s="2">
        <v>21</v>
      </c>
      <c r="C412" s="7">
        <v>-4.7649781613236399</v>
      </c>
      <c r="D412" s="7">
        <v>-5.1805289999999999</v>
      </c>
      <c r="E412" s="7">
        <v>0.41569913107635997</v>
      </c>
      <c r="F412" s="7">
        <f t="shared" si="18"/>
        <v>4.7649781613236399</v>
      </c>
      <c r="G412" s="7">
        <f t="shared" si="19"/>
        <v>5.1805289999999999</v>
      </c>
      <c r="H412" s="7">
        <f t="shared" si="20"/>
        <v>0.41555083867636</v>
      </c>
      <c r="I412" s="8">
        <v>8.0213977892288596E-2</v>
      </c>
      <c r="J412" s="2" t="s">
        <v>67</v>
      </c>
    </row>
    <row r="413" spans="1:10" ht="12.75" customHeight="1">
      <c r="A413" s="1">
        <v>46201</v>
      </c>
      <c r="B413" s="2">
        <v>4</v>
      </c>
      <c r="C413" s="7">
        <v>-3.2994050169126798</v>
      </c>
      <c r="D413" s="7">
        <v>-3.5863209999999999</v>
      </c>
      <c r="E413" s="7">
        <v>0.28691598308731803</v>
      </c>
      <c r="F413" s="7">
        <f t="shared" si="18"/>
        <v>3.2994050169126798</v>
      </c>
      <c r="G413" s="7">
        <f t="shared" si="19"/>
        <v>3.5863209999999999</v>
      </c>
      <c r="H413" s="7">
        <f t="shared" si="20"/>
        <v>0.28691598308732003</v>
      </c>
      <c r="I413" s="8">
        <v>8.0002872884863893E-2</v>
      </c>
      <c r="J413" s="2" t="s">
        <v>67</v>
      </c>
    </row>
    <row r="414" spans="1:10" ht="12.75" customHeight="1">
      <c r="A414" s="1">
        <v>46174</v>
      </c>
      <c r="B414" s="2">
        <v>14</v>
      </c>
      <c r="C414" s="7">
        <v>-4.0796579487041003</v>
      </c>
      <c r="D414" s="7">
        <v>-3.7778330000000002</v>
      </c>
      <c r="E414" s="7">
        <v>0.46652766529589701</v>
      </c>
      <c r="F414" s="7">
        <f t="shared" si="18"/>
        <v>4.0796579487041003</v>
      </c>
      <c r="G414" s="7">
        <f t="shared" si="19"/>
        <v>3.7778330000000002</v>
      </c>
      <c r="H414" s="7">
        <f t="shared" si="20"/>
        <v>0.30182494870410004</v>
      </c>
      <c r="I414" s="8">
        <v>7.9893671505358602E-2</v>
      </c>
      <c r="J414" s="2" t="s">
        <v>67</v>
      </c>
    </row>
    <row r="415" spans="1:10" ht="12.75" customHeight="1">
      <c r="A415" s="1">
        <v>46197</v>
      </c>
      <c r="B415" s="2">
        <v>23</v>
      </c>
      <c r="C415" s="7">
        <v>-5.4981040988291596</v>
      </c>
      <c r="D415" s="7">
        <v>-5.0918900000000002</v>
      </c>
      <c r="E415" s="7">
        <v>-0.40621409882915599</v>
      </c>
      <c r="F415" s="7">
        <f t="shared" si="18"/>
        <v>5.4981040988291596</v>
      </c>
      <c r="G415" s="7">
        <f t="shared" si="19"/>
        <v>5.0918900000000002</v>
      </c>
      <c r="H415" s="7">
        <f t="shared" si="20"/>
        <v>0.40621409882915938</v>
      </c>
      <c r="I415" s="8">
        <v>7.9776683869674195E-2</v>
      </c>
      <c r="J415" s="2" t="s">
        <v>67</v>
      </c>
    </row>
    <row r="416" spans="1:10" ht="12.75" customHeight="1">
      <c r="A416" s="1">
        <v>46190</v>
      </c>
      <c r="B416" s="2">
        <v>7</v>
      </c>
      <c r="C416" s="7">
        <v>-3.1459247469336602</v>
      </c>
      <c r="D416" s="7">
        <v>-3.4181010000000001</v>
      </c>
      <c r="E416" s="7">
        <v>0.36506358446634501</v>
      </c>
      <c r="F416" s="7">
        <f t="shared" si="18"/>
        <v>3.1459247469336602</v>
      </c>
      <c r="G416" s="7">
        <f t="shared" si="19"/>
        <v>3.4181010000000001</v>
      </c>
      <c r="H416" s="7">
        <f t="shared" si="20"/>
        <v>0.27217625306633986</v>
      </c>
      <c r="I416" s="8">
        <v>7.9627914174082298E-2</v>
      </c>
      <c r="J416" s="2" t="s">
        <v>67</v>
      </c>
    </row>
    <row r="417" spans="1:10" ht="12.75" customHeight="1">
      <c r="A417" s="1">
        <v>46192</v>
      </c>
      <c r="B417" s="2">
        <v>16</v>
      </c>
      <c r="C417" s="7">
        <v>-4.5984783331472903</v>
      </c>
      <c r="D417" s="7">
        <v>-4.2598479999999999</v>
      </c>
      <c r="E417" s="7">
        <v>0.25814887985271201</v>
      </c>
      <c r="F417" s="7">
        <f t="shared" si="18"/>
        <v>4.5984783331472903</v>
      </c>
      <c r="G417" s="7">
        <f t="shared" si="19"/>
        <v>4.2598479999999999</v>
      </c>
      <c r="H417" s="7">
        <f t="shared" si="20"/>
        <v>0.33863033314729041</v>
      </c>
      <c r="I417" s="8">
        <v>7.9493524920909997E-2</v>
      </c>
      <c r="J417" s="2" t="s">
        <v>67</v>
      </c>
    </row>
    <row r="418" spans="1:10" ht="12.75" customHeight="1">
      <c r="A418" s="1">
        <v>46185</v>
      </c>
      <c r="B418" s="2">
        <v>14</v>
      </c>
      <c r="C418" s="7">
        <v>-4.2899196571662399</v>
      </c>
      <c r="D418" s="7">
        <v>-3.975168</v>
      </c>
      <c r="E418" s="7">
        <v>5.99894488337573E-2</v>
      </c>
      <c r="F418" s="7">
        <f t="shared" si="18"/>
        <v>4.2899196571662399</v>
      </c>
      <c r="G418" s="7">
        <f t="shared" si="19"/>
        <v>3.975168</v>
      </c>
      <c r="H418" s="7">
        <f t="shared" si="20"/>
        <v>0.31475165716623987</v>
      </c>
      <c r="I418" s="8">
        <v>7.9179460381609695E-2</v>
      </c>
      <c r="J418" s="2" t="s">
        <v>67</v>
      </c>
    </row>
    <row r="419" spans="1:10" ht="12.75" customHeight="1">
      <c r="A419" s="1">
        <v>46188</v>
      </c>
      <c r="B419" s="2">
        <v>21</v>
      </c>
      <c r="C419" s="7">
        <v>-5.9830032094291399</v>
      </c>
      <c r="D419" s="7">
        <v>-6.494586</v>
      </c>
      <c r="E419" s="7">
        <v>0.51158279057086298</v>
      </c>
      <c r="F419" s="7">
        <f t="shared" si="18"/>
        <v>5.9830032094291399</v>
      </c>
      <c r="G419" s="7">
        <f t="shared" si="19"/>
        <v>6.494586</v>
      </c>
      <c r="H419" s="7">
        <f t="shared" si="20"/>
        <v>0.51158279057086009</v>
      </c>
      <c r="I419" s="8">
        <v>7.8770654599209705E-2</v>
      </c>
      <c r="J419" s="2" t="s">
        <v>67</v>
      </c>
    </row>
    <row r="420" spans="1:10" ht="12.75" customHeight="1">
      <c r="A420" s="1">
        <v>46198</v>
      </c>
      <c r="B420" s="2">
        <v>18</v>
      </c>
      <c r="C420" s="7">
        <v>-5.0266290466943104</v>
      </c>
      <c r="D420" s="7">
        <v>-4.6622820000000003</v>
      </c>
      <c r="E420" s="7">
        <v>-8.0433094694304305E-2</v>
      </c>
      <c r="F420" s="7">
        <f t="shared" si="18"/>
        <v>5.0266290466943104</v>
      </c>
      <c r="G420" s="7">
        <f t="shared" si="19"/>
        <v>4.6622820000000003</v>
      </c>
      <c r="H420" s="7">
        <f t="shared" si="20"/>
        <v>0.36434704669431017</v>
      </c>
      <c r="I420" s="8">
        <v>7.8147792581895401E-2</v>
      </c>
      <c r="J420" s="2" t="s">
        <v>67</v>
      </c>
    </row>
    <row r="421" spans="1:10" ht="12.75" customHeight="1">
      <c r="A421" s="1">
        <v>46174</v>
      </c>
      <c r="B421" s="2">
        <v>9</v>
      </c>
      <c r="C421" s="7">
        <v>-3.4457489408575901</v>
      </c>
      <c r="D421" s="7">
        <v>-3.7364250000000001</v>
      </c>
      <c r="E421" s="7">
        <v>0.71978004614240998</v>
      </c>
      <c r="F421" s="7">
        <f t="shared" si="18"/>
        <v>3.4457489408575901</v>
      </c>
      <c r="G421" s="7">
        <f t="shared" si="19"/>
        <v>3.7364250000000001</v>
      </c>
      <c r="H421" s="7">
        <f t="shared" si="20"/>
        <v>0.29067605914241001</v>
      </c>
      <c r="I421" s="8">
        <v>7.7795234520272705E-2</v>
      </c>
      <c r="J421" s="2" t="s">
        <v>67</v>
      </c>
    </row>
    <row r="422" spans="1:10" ht="12.75" customHeight="1">
      <c r="A422" s="1">
        <v>46193</v>
      </c>
      <c r="B422" s="2">
        <v>8</v>
      </c>
      <c r="C422" s="7">
        <v>-2.7392937834734199</v>
      </c>
      <c r="D422" s="7">
        <v>-2.54271</v>
      </c>
      <c r="E422" s="7">
        <v>0.45941728052658298</v>
      </c>
      <c r="F422" s="7">
        <f t="shared" si="18"/>
        <v>2.7392937834734199</v>
      </c>
      <c r="G422" s="7">
        <f t="shared" si="19"/>
        <v>2.54271</v>
      </c>
      <c r="H422" s="7">
        <f t="shared" si="20"/>
        <v>0.19658378347341987</v>
      </c>
      <c r="I422" s="8">
        <v>7.7312703168437094E-2</v>
      </c>
      <c r="J422" s="2" t="s">
        <v>67</v>
      </c>
    </row>
    <row r="423" spans="1:10" ht="12.75" customHeight="1">
      <c r="A423" s="1">
        <v>46189</v>
      </c>
      <c r="B423" s="2">
        <v>7</v>
      </c>
      <c r="C423" s="7">
        <v>-2.9794385259539302</v>
      </c>
      <c r="D423" s="7">
        <v>-3.2278829999999998</v>
      </c>
      <c r="E423" s="7">
        <v>0.35876198544606902</v>
      </c>
      <c r="F423" s="7">
        <f t="shared" si="18"/>
        <v>2.9794385259539302</v>
      </c>
      <c r="G423" s="7">
        <f t="shared" si="19"/>
        <v>3.2278829999999998</v>
      </c>
      <c r="H423" s="7">
        <f t="shared" si="20"/>
        <v>0.24844447404606962</v>
      </c>
      <c r="I423" s="8">
        <v>7.6968240189024401E-2</v>
      </c>
      <c r="J423" s="2" t="s">
        <v>67</v>
      </c>
    </row>
    <row r="424" spans="1:10" ht="12.75" customHeight="1">
      <c r="A424" s="1">
        <v>46193</v>
      </c>
      <c r="B424" s="2">
        <v>23</v>
      </c>
      <c r="C424" s="7">
        <v>-4.5961366232301799</v>
      </c>
      <c r="D424" s="7">
        <v>-4.9780179999999996</v>
      </c>
      <c r="E424" s="7">
        <v>0.38188137676981598</v>
      </c>
      <c r="F424" s="7">
        <f t="shared" si="18"/>
        <v>4.5961366232301799</v>
      </c>
      <c r="G424" s="7">
        <f t="shared" si="19"/>
        <v>4.9780179999999996</v>
      </c>
      <c r="H424" s="7">
        <f t="shared" si="20"/>
        <v>0.3818813767698197</v>
      </c>
      <c r="I424" s="8">
        <v>7.6713538755748906E-2</v>
      </c>
      <c r="J424" s="2" t="s">
        <v>67</v>
      </c>
    </row>
    <row r="425" spans="1:10" ht="12.75" customHeight="1">
      <c r="A425" s="1">
        <v>46197</v>
      </c>
      <c r="B425" s="2">
        <v>20</v>
      </c>
      <c r="C425" s="7">
        <v>-6.0876869615641303</v>
      </c>
      <c r="D425" s="7">
        <v>-5.6547799999999997</v>
      </c>
      <c r="E425" s="7">
        <v>-0.42915242056413</v>
      </c>
      <c r="F425" s="7">
        <f t="shared" si="18"/>
        <v>6.0876869615641303</v>
      </c>
      <c r="G425" s="7">
        <f t="shared" si="19"/>
        <v>5.6547799999999997</v>
      </c>
      <c r="H425" s="7">
        <f t="shared" si="20"/>
        <v>0.43290696156413055</v>
      </c>
      <c r="I425" s="8">
        <v>7.6555933487090597E-2</v>
      </c>
      <c r="J425" s="2" t="s">
        <v>67</v>
      </c>
    </row>
    <row r="426" spans="1:10" ht="12.75" customHeight="1">
      <c r="A426" s="1">
        <v>46195</v>
      </c>
      <c r="B426" s="2">
        <v>1</v>
      </c>
      <c r="C426" s="7">
        <v>-3.3633158868306801</v>
      </c>
      <c r="D426" s="7">
        <v>-3.6406689999999999</v>
      </c>
      <c r="E426" s="7">
        <v>0.27735311316932498</v>
      </c>
      <c r="F426" s="7">
        <f t="shared" si="18"/>
        <v>3.3633158868306801</v>
      </c>
      <c r="G426" s="7">
        <f t="shared" si="19"/>
        <v>3.6406689999999999</v>
      </c>
      <c r="H426" s="7">
        <f t="shared" si="20"/>
        <v>0.27735311316931988</v>
      </c>
      <c r="I426" s="8">
        <v>7.6181908646274804E-2</v>
      </c>
      <c r="J426" s="2" t="s">
        <v>67</v>
      </c>
    </row>
    <row r="427" spans="1:10" ht="12.75" customHeight="1">
      <c r="A427" s="1">
        <v>46182</v>
      </c>
      <c r="B427" s="2">
        <v>10</v>
      </c>
      <c r="C427" s="7">
        <v>-4.0979368107539296</v>
      </c>
      <c r="D427" s="7">
        <v>-3.8082419999999999</v>
      </c>
      <c r="E427" s="7">
        <v>0.20938157924606701</v>
      </c>
      <c r="F427" s="7">
        <f t="shared" si="18"/>
        <v>4.0979368107539296</v>
      </c>
      <c r="G427" s="7">
        <f t="shared" si="19"/>
        <v>3.8082419999999999</v>
      </c>
      <c r="H427" s="7">
        <f t="shared" si="20"/>
        <v>0.28969481075392967</v>
      </c>
      <c r="I427" s="8">
        <v>7.6070483638889894E-2</v>
      </c>
      <c r="J427" s="2" t="s">
        <v>67</v>
      </c>
    </row>
    <row r="428" spans="1:10" ht="12.75" customHeight="1">
      <c r="A428" s="1">
        <v>46185</v>
      </c>
      <c r="B428" s="2">
        <v>17</v>
      </c>
      <c r="C428" s="7">
        <v>-4.8218337651696404</v>
      </c>
      <c r="D428" s="7">
        <v>-4.481122</v>
      </c>
      <c r="E428" s="7">
        <v>-0.237658899169643</v>
      </c>
      <c r="F428" s="7">
        <f t="shared" si="18"/>
        <v>4.8218337651696404</v>
      </c>
      <c r="G428" s="7">
        <f t="shared" si="19"/>
        <v>4.481122</v>
      </c>
      <c r="H428" s="7">
        <f t="shared" si="20"/>
        <v>0.3407117651696403</v>
      </c>
      <c r="I428" s="8">
        <v>7.60326911808345E-2</v>
      </c>
      <c r="J428" s="2" t="s">
        <v>67</v>
      </c>
    </row>
    <row r="429" spans="1:10" ht="12.75" customHeight="1">
      <c r="A429" s="1">
        <v>46202</v>
      </c>
      <c r="B429" s="2">
        <v>12</v>
      </c>
      <c r="C429" s="7">
        <v>-4.8016131714288299</v>
      </c>
      <c r="D429" s="7">
        <v>-4.4636529999999999</v>
      </c>
      <c r="E429" s="7">
        <v>0.41539498257116902</v>
      </c>
      <c r="F429" s="7">
        <f t="shared" si="18"/>
        <v>4.8016131714288299</v>
      </c>
      <c r="G429" s="7">
        <f t="shared" si="19"/>
        <v>4.4636529999999999</v>
      </c>
      <c r="H429" s="7">
        <f t="shared" si="20"/>
        <v>0.33796017142883006</v>
      </c>
      <c r="I429" s="8">
        <v>7.57138091668038E-2</v>
      </c>
      <c r="J429" s="2" t="s">
        <v>67</v>
      </c>
    </row>
    <row r="430" spans="1:10" ht="12.75" customHeight="1">
      <c r="A430" s="1">
        <v>46175</v>
      </c>
      <c r="B430" s="2">
        <v>18</v>
      </c>
      <c r="C430" s="7">
        <v>-4.1386257745768802</v>
      </c>
      <c r="D430" s="7">
        <v>-3.847709</v>
      </c>
      <c r="E430" s="7">
        <v>-5.2369815576875797E-2</v>
      </c>
      <c r="F430" s="7">
        <f t="shared" si="18"/>
        <v>4.1386257745768802</v>
      </c>
      <c r="G430" s="7">
        <f t="shared" si="19"/>
        <v>3.847709</v>
      </c>
      <c r="H430" s="7">
        <f t="shared" si="20"/>
        <v>0.29091677457688014</v>
      </c>
      <c r="I430" s="8">
        <v>7.5607790136124106E-2</v>
      </c>
      <c r="J430" s="2" t="s">
        <v>67</v>
      </c>
    </row>
    <row r="431" spans="1:10" ht="12.75" customHeight="1">
      <c r="A431" s="1">
        <v>46185</v>
      </c>
      <c r="B431" s="2">
        <v>22</v>
      </c>
      <c r="C431" s="7">
        <v>-5.6911585012116097</v>
      </c>
      <c r="D431" s="7">
        <v>-6.1549110000000002</v>
      </c>
      <c r="E431" s="7">
        <v>0.46375249878839397</v>
      </c>
      <c r="F431" s="7">
        <f t="shared" si="18"/>
        <v>5.6911585012116097</v>
      </c>
      <c r="G431" s="7">
        <f t="shared" si="19"/>
        <v>6.1549110000000002</v>
      </c>
      <c r="H431" s="7">
        <f t="shared" si="20"/>
        <v>0.46375249878839053</v>
      </c>
      <c r="I431" s="8">
        <v>7.5346743241030398E-2</v>
      </c>
      <c r="J431" s="2" t="s">
        <v>67</v>
      </c>
    </row>
    <row r="432" spans="1:10" ht="12.75" customHeight="1">
      <c r="A432" s="1">
        <v>46182</v>
      </c>
      <c r="B432" s="2">
        <v>5</v>
      </c>
      <c r="C432" s="7">
        <v>-3.9769593586896201</v>
      </c>
      <c r="D432" s="7">
        <v>-3.6988989999999999</v>
      </c>
      <c r="E432" s="7">
        <v>-0.278048712689621</v>
      </c>
      <c r="F432" s="7">
        <f t="shared" si="18"/>
        <v>3.9769593586896201</v>
      </c>
      <c r="G432" s="7">
        <f t="shared" si="19"/>
        <v>3.6988989999999999</v>
      </c>
      <c r="H432" s="7">
        <f t="shared" si="20"/>
        <v>0.2780603586896202</v>
      </c>
      <c r="I432" s="8">
        <v>7.5173817584535702E-2</v>
      </c>
      <c r="J432" s="2" t="s">
        <v>67</v>
      </c>
    </row>
    <row r="433" spans="1:10" ht="12.75" customHeight="1">
      <c r="A433" s="1">
        <v>46188</v>
      </c>
      <c r="B433" s="2">
        <v>20</v>
      </c>
      <c r="C433" s="7">
        <v>-5.6319756059134001</v>
      </c>
      <c r="D433" s="7">
        <v>-6.0889170000000004</v>
      </c>
      <c r="E433" s="7">
        <v>0.4664337898866</v>
      </c>
      <c r="F433" s="7">
        <f t="shared" si="18"/>
        <v>5.6319756059134001</v>
      </c>
      <c r="G433" s="7">
        <f t="shared" si="19"/>
        <v>6.0889170000000004</v>
      </c>
      <c r="H433" s="7">
        <f t="shared" si="20"/>
        <v>0.45694139408660028</v>
      </c>
      <c r="I433" s="8">
        <v>7.5044773000945794E-2</v>
      </c>
      <c r="J433" s="2" t="s">
        <v>67</v>
      </c>
    </row>
    <row r="434" spans="1:10" ht="12.75" customHeight="1">
      <c r="A434" s="1">
        <v>46203</v>
      </c>
      <c r="B434" s="2">
        <v>23</v>
      </c>
      <c r="C434" s="7">
        <v>-5.8720606011108396</v>
      </c>
      <c r="D434" s="7">
        <v>-5.4632680000000002</v>
      </c>
      <c r="E434" s="7">
        <v>-0.40879260111083798</v>
      </c>
      <c r="F434" s="7">
        <f t="shared" si="18"/>
        <v>5.8720606011108396</v>
      </c>
      <c r="G434" s="7">
        <f t="shared" si="19"/>
        <v>5.4632680000000002</v>
      </c>
      <c r="H434" s="7">
        <f t="shared" si="20"/>
        <v>0.40879260111083937</v>
      </c>
      <c r="I434" s="8">
        <v>7.4825654006143993E-2</v>
      </c>
      <c r="J434" s="2" t="s">
        <v>67</v>
      </c>
    </row>
    <row r="435" spans="1:10" ht="12.75" customHeight="1">
      <c r="A435" s="1">
        <v>46190</v>
      </c>
      <c r="B435" s="2">
        <v>23</v>
      </c>
      <c r="C435" s="7">
        <v>-5.2458379839299099</v>
      </c>
      <c r="D435" s="7">
        <v>-5.6690139999999998</v>
      </c>
      <c r="E435" s="7">
        <v>0.42317601607009098</v>
      </c>
      <c r="F435" s="7">
        <f t="shared" si="18"/>
        <v>5.2458379839299099</v>
      </c>
      <c r="G435" s="7">
        <f t="shared" si="19"/>
        <v>5.6690139999999998</v>
      </c>
      <c r="H435" s="7">
        <f t="shared" si="20"/>
        <v>0.42317601607008992</v>
      </c>
      <c r="I435" s="8">
        <v>7.4647198978533197E-2</v>
      </c>
      <c r="J435" s="2" t="s">
        <v>67</v>
      </c>
    </row>
    <row r="436" spans="1:10" ht="12.75" customHeight="1">
      <c r="A436" s="1">
        <v>46198</v>
      </c>
      <c r="B436" s="2">
        <v>5</v>
      </c>
      <c r="C436" s="7">
        <v>-3.9662382270038301</v>
      </c>
      <c r="D436" s="7">
        <v>-3.6911350000000001</v>
      </c>
      <c r="E436" s="7">
        <v>-0.27510322700383</v>
      </c>
      <c r="F436" s="7">
        <f t="shared" si="18"/>
        <v>3.9662382270038301</v>
      </c>
      <c r="G436" s="7">
        <f t="shared" si="19"/>
        <v>3.6911350000000001</v>
      </c>
      <c r="H436" s="7">
        <f t="shared" si="20"/>
        <v>0.27510322700383005</v>
      </c>
      <c r="I436" s="8">
        <v>7.4530795271326999E-2</v>
      </c>
      <c r="J436" s="2" t="s">
        <v>67</v>
      </c>
    </row>
    <row r="437" spans="1:10" ht="12.75" customHeight="1">
      <c r="A437" s="1">
        <v>46185</v>
      </c>
      <c r="B437" s="2">
        <v>24</v>
      </c>
      <c r="C437" s="7">
        <v>-4.3511269128501597</v>
      </c>
      <c r="D437" s="7">
        <v>-4.699808</v>
      </c>
      <c r="E437" s="7">
        <v>0.34868108714983798</v>
      </c>
      <c r="F437" s="7">
        <f t="shared" si="18"/>
        <v>4.3511269128501597</v>
      </c>
      <c r="G437" s="7">
        <f t="shared" si="19"/>
        <v>4.699808</v>
      </c>
      <c r="H437" s="7">
        <f t="shared" si="20"/>
        <v>0.34868108714984025</v>
      </c>
      <c r="I437" s="8">
        <v>7.4190496111721599E-2</v>
      </c>
      <c r="J437" s="2" t="s">
        <v>67</v>
      </c>
    </row>
    <row r="438" spans="1:10" ht="12.75" customHeight="1">
      <c r="A438" s="1">
        <v>46189</v>
      </c>
      <c r="B438" s="2">
        <v>11</v>
      </c>
      <c r="C438" s="7">
        <v>-3.7867930315581901</v>
      </c>
      <c r="D438" s="7">
        <v>-3.527444</v>
      </c>
      <c r="E438" s="7">
        <v>0.54368989944180601</v>
      </c>
      <c r="F438" s="7">
        <f t="shared" si="18"/>
        <v>3.7867930315581901</v>
      </c>
      <c r="G438" s="7">
        <f t="shared" si="19"/>
        <v>3.527444</v>
      </c>
      <c r="H438" s="7">
        <f t="shared" si="20"/>
        <v>0.25934903155819011</v>
      </c>
      <c r="I438" s="8">
        <v>7.3523217252547193E-2</v>
      </c>
      <c r="J438" s="2" t="s">
        <v>67</v>
      </c>
    </row>
    <row r="439" spans="1:10" ht="12.75" customHeight="1">
      <c r="A439" s="1">
        <v>46200</v>
      </c>
      <c r="B439" s="2">
        <v>10</v>
      </c>
      <c r="C439" s="7">
        <v>-3.7674581408058998</v>
      </c>
      <c r="D439" s="7">
        <v>-3.5132099999999999</v>
      </c>
      <c r="E439" s="7">
        <v>0.58874756919410198</v>
      </c>
      <c r="F439" s="7">
        <f t="shared" si="18"/>
        <v>3.7674581408058998</v>
      </c>
      <c r="G439" s="7">
        <f t="shared" si="19"/>
        <v>3.5132099999999999</v>
      </c>
      <c r="H439" s="7">
        <f t="shared" si="20"/>
        <v>0.25424814080589986</v>
      </c>
      <c r="I439" s="8">
        <v>7.2369183967340003E-2</v>
      </c>
      <c r="J439" s="2" t="s">
        <v>67</v>
      </c>
    </row>
    <row r="440" spans="1:10" ht="12.75" customHeight="1">
      <c r="A440" s="1">
        <v>46177</v>
      </c>
      <c r="B440" s="2">
        <v>13</v>
      </c>
      <c r="C440" s="7">
        <v>-3.7659611295490101</v>
      </c>
      <c r="D440" s="7">
        <v>-3.5119159999999998</v>
      </c>
      <c r="E440" s="7">
        <v>0.33060800945098601</v>
      </c>
      <c r="F440" s="7">
        <f t="shared" si="18"/>
        <v>3.7659611295490101</v>
      </c>
      <c r="G440" s="7">
        <f t="shared" si="19"/>
        <v>3.5119159999999998</v>
      </c>
      <c r="H440" s="7">
        <f t="shared" si="20"/>
        <v>0.25404512954901026</v>
      </c>
      <c r="I440" s="8">
        <v>7.2338042694931798E-2</v>
      </c>
      <c r="J440" s="2" t="s">
        <v>67</v>
      </c>
    </row>
    <row r="441" spans="1:10" ht="12.75" customHeight="1">
      <c r="A441" s="1">
        <v>46190</v>
      </c>
      <c r="B441" s="2">
        <v>17</v>
      </c>
      <c r="C441" s="7">
        <v>-4.6994002480428501</v>
      </c>
      <c r="D441" s="7">
        <v>-4.3873069999999998</v>
      </c>
      <c r="E441" s="7">
        <v>-0.167455104042846</v>
      </c>
      <c r="F441" s="7">
        <f t="shared" si="18"/>
        <v>4.6994002480428501</v>
      </c>
      <c r="G441" s="7">
        <f t="shared" si="19"/>
        <v>4.3873069999999998</v>
      </c>
      <c r="H441" s="7">
        <f t="shared" si="20"/>
        <v>0.31209324804285021</v>
      </c>
      <c r="I441" s="8">
        <v>7.1135493377337405E-2</v>
      </c>
      <c r="J441" s="2" t="s">
        <v>67</v>
      </c>
    </row>
    <row r="442" spans="1:10" ht="12.75" customHeight="1">
      <c r="A442" s="1">
        <v>46189</v>
      </c>
      <c r="B442" s="2">
        <v>19</v>
      </c>
      <c r="C442" s="7">
        <v>-5.1294454138585204</v>
      </c>
      <c r="D442" s="7">
        <v>-5.5176160000000003</v>
      </c>
      <c r="E442" s="7">
        <v>0.39723635014148601</v>
      </c>
      <c r="F442" s="7">
        <f t="shared" si="18"/>
        <v>5.1294454138585204</v>
      </c>
      <c r="G442" s="7">
        <f t="shared" si="19"/>
        <v>5.5176160000000003</v>
      </c>
      <c r="H442" s="7">
        <f t="shared" si="20"/>
        <v>0.38817058614147992</v>
      </c>
      <c r="I442" s="8">
        <v>7.0351141895609606E-2</v>
      </c>
      <c r="J442" s="2" t="s">
        <v>67</v>
      </c>
    </row>
    <row r="443" spans="1:10" ht="12.75" customHeight="1">
      <c r="A443" s="1">
        <v>46201</v>
      </c>
      <c r="B443" s="2">
        <v>24</v>
      </c>
      <c r="C443" s="7">
        <v>-3.92013121395558</v>
      </c>
      <c r="D443" s="7">
        <v>-3.6626669999999999</v>
      </c>
      <c r="E443" s="7">
        <v>-0.257464213955577</v>
      </c>
      <c r="F443" s="7">
        <f t="shared" si="18"/>
        <v>3.92013121395558</v>
      </c>
      <c r="G443" s="7">
        <f t="shared" si="19"/>
        <v>3.6626669999999999</v>
      </c>
      <c r="H443" s="7">
        <f t="shared" si="20"/>
        <v>0.25746421395558006</v>
      </c>
      <c r="I443" s="8">
        <v>7.0294191078680304E-2</v>
      </c>
      <c r="J443" s="2" t="s">
        <v>67</v>
      </c>
    </row>
    <row r="444" spans="1:10" ht="12.75" customHeight="1">
      <c r="A444" s="1">
        <v>46186</v>
      </c>
      <c r="B444" s="2">
        <v>16</v>
      </c>
      <c r="C444" s="7">
        <v>-3.4060227339387401</v>
      </c>
      <c r="D444" s="7">
        <v>-3.6633140000000002</v>
      </c>
      <c r="E444" s="7">
        <v>0.87284383106126395</v>
      </c>
      <c r="F444" s="7">
        <f t="shared" si="18"/>
        <v>3.4060227339387401</v>
      </c>
      <c r="G444" s="7">
        <f t="shared" si="19"/>
        <v>3.6633140000000002</v>
      </c>
      <c r="H444" s="7">
        <f t="shared" si="20"/>
        <v>0.25729126606126007</v>
      </c>
      <c r="I444" s="8">
        <v>7.0234565221890297E-2</v>
      </c>
      <c r="J444" s="2" t="s">
        <v>67</v>
      </c>
    </row>
    <row r="445" spans="1:10" ht="12.75" customHeight="1">
      <c r="A445" s="1">
        <v>46189</v>
      </c>
      <c r="B445" s="2">
        <v>10</v>
      </c>
      <c r="C445" s="7">
        <v>-4.0538146995741897</v>
      </c>
      <c r="D445" s="7">
        <v>-3.7881849999999999</v>
      </c>
      <c r="E445" s="7">
        <v>0.32987427642580702</v>
      </c>
      <c r="F445" s="7">
        <f t="shared" si="18"/>
        <v>4.0538146995741897</v>
      </c>
      <c r="G445" s="7">
        <f t="shared" si="19"/>
        <v>3.7881849999999999</v>
      </c>
      <c r="H445" s="7">
        <f t="shared" si="20"/>
        <v>0.2656296995741898</v>
      </c>
      <c r="I445" s="8">
        <v>7.0120572140535201E-2</v>
      </c>
      <c r="J445" s="2" t="s">
        <v>67</v>
      </c>
    </row>
    <row r="446" spans="1:10" ht="12.75" customHeight="1">
      <c r="A446" s="1">
        <v>46179</v>
      </c>
      <c r="B446" s="2">
        <v>5</v>
      </c>
      <c r="C446" s="7">
        <v>-3.4530985464315802</v>
      </c>
      <c r="D446" s="7">
        <v>-3.227236</v>
      </c>
      <c r="E446" s="7">
        <v>-0.22586254643157999</v>
      </c>
      <c r="F446" s="7">
        <f t="shared" si="18"/>
        <v>3.4530985464315802</v>
      </c>
      <c r="G446" s="7">
        <f t="shared" si="19"/>
        <v>3.227236</v>
      </c>
      <c r="H446" s="7">
        <f t="shared" si="20"/>
        <v>0.22586254643158021</v>
      </c>
      <c r="I446" s="8">
        <v>6.9986374232185095E-2</v>
      </c>
      <c r="J446" s="2" t="s">
        <v>67</v>
      </c>
    </row>
    <row r="447" spans="1:10" ht="12.75" customHeight="1">
      <c r="A447" s="1">
        <v>46177</v>
      </c>
      <c r="B447" s="2">
        <v>20</v>
      </c>
      <c r="C447" s="7">
        <v>-5.4451798856413998</v>
      </c>
      <c r="D447" s="7">
        <v>-5.0905959999999997</v>
      </c>
      <c r="E447" s="7">
        <v>-0.35454506564140198</v>
      </c>
      <c r="F447" s="7">
        <f t="shared" si="18"/>
        <v>5.4451798856413998</v>
      </c>
      <c r="G447" s="7">
        <f t="shared" si="19"/>
        <v>5.0905959999999997</v>
      </c>
      <c r="H447" s="7">
        <f t="shared" si="20"/>
        <v>0.35458388564140009</v>
      </c>
      <c r="I447" s="8">
        <v>6.9654689871559705E-2</v>
      </c>
      <c r="J447" s="2" t="s">
        <v>67</v>
      </c>
    </row>
    <row r="448" spans="1:10" ht="12.75" customHeight="1">
      <c r="A448" s="1">
        <v>46183</v>
      </c>
      <c r="B448" s="2">
        <v>5</v>
      </c>
      <c r="C448" s="7">
        <v>-3.9301184037320098</v>
      </c>
      <c r="D448" s="7">
        <v>-3.6743130000000002</v>
      </c>
      <c r="E448" s="7">
        <v>-0.25580540373201099</v>
      </c>
      <c r="F448" s="7">
        <f t="shared" si="18"/>
        <v>3.9301184037320098</v>
      </c>
      <c r="G448" s="7">
        <f t="shared" si="19"/>
        <v>3.6743130000000002</v>
      </c>
      <c r="H448" s="7">
        <f t="shared" si="20"/>
        <v>0.25580540373200966</v>
      </c>
      <c r="I448" s="8">
        <v>6.9619927244089094E-2</v>
      </c>
      <c r="J448" s="2" t="s">
        <v>67</v>
      </c>
    </row>
    <row r="449" spans="1:10" ht="12.75" customHeight="1">
      <c r="A449" s="1">
        <v>46190</v>
      </c>
      <c r="B449" s="2">
        <v>24</v>
      </c>
      <c r="C449" s="7">
        <v>-4.5743738086486303</v>
      </c>
      <c r="D449" s="7">
        <v>-4.914612</v>
      </c>
      <c r="E449" s="7">
        <v>0.34023819135136901</v>
      </c>
      <c r="F449" s="7">
        <f t="shared" si="18"/>
        <v>4.5743738086486303</v>
      </c>
      <c r="G449" s="7">
        <f t="shared" si="19"/>
        <v>4.914612</v>
      </c>
      <c r="H449" s="7">
        <f t="shared" si="20"/>
        <v>0.34023819135136968</v>
      </c>
      <c r="I449" s="8">
        <v>6.9229919137333604E-2</v>
      </c>
      <c r="J449" s="2" t="s">
        <v>67</v>
      </c>
    </row>
    <row r="450" spans="1:10" ht="12.75" customHeight="1">
      <c r="A450" s="1">
        <v>46180</v>
      </c>
      <c r="B450" s="2">
        <v>19</v>
      </c>
      <c r="C450" s="7">
        <v>-3.9556336764278601</v>
      </c>
      <c r="D450" s="7">
        <v>-3.7008399999999999</v>
      </c>
      <c r="E450" s="7">
        <v>-9.6862658627862294E-2</v>
      </c>
      <c r="F450" s="7">
        <f t="shared" ref="F450:F513" si="21">ABS(C450)</f>
        <v>3.9556336764278601</v>
      </c>
      <c r="G450" s="7">
        <f t="shared" ref="G450:G513" si="22">ABS(D450)</f>
        <v>3.7008399999999999</v>
      </c>
      <c r="H450" s="7">
        <f t="shared" ref="H450:H513" si="23">ABS(G450-F450)</f>
        <v>0.25479367642786022</v>
      </c>
      <c r="I450" s="8">
        <v>6.8847525542272095E-2</v>
      </c>
      <c r="J450" s="2" t="s">
        <v>67</v>
      </c>
    </row>
    <row r="451" spans="1:10" ht="12.75" customHeight="1">
      <c r="A451" s="1">
        <v>46194</v>
      </c>
      <c r="B451" s="2">
        <v>22</v>
      </c>
      <c r="C451" s="7">
        <v>-4.6321991275456398</v>
      </c>
      <c r="D451" s="7">
        <v>-4.9741359999999997</v>
      </c>
      <c r="E451" s="7">
        <v>0.341936872454356</v>
      </c>
      <c r="F451" s="7">
        <f t="shared" si="21"/>
        <v>4.6321991275456398</v>
      </c>
      <c r="G451" s="7">
        <f t="shared" si="22"/>
        <v>4.9741359999999997</v>
      </c>
      <c r="H451" s="7">
        <f t="shared" si="23"/>
        <v>0.34193687245435989</v>
      </c>
      <c r="I451" s="8">
        <v>6.8742968116343395E-2</v>
      </c>
      <c r="J451" s="2" t="s">
        <v>67</v>
      </c>
    </row>
    <row r="452" spans="1:10" ht="12.75" customHeight="1">
      <c r="A452" s="1">
        <v>46184</v>
      </c>
      <c r="B452" s="2">
        <v>16</v>
      </c>
      <c r="C452" s="7">
        <v>-4.5269311885931103</v>
      </c>
      <c r="D452" s="7">
        <v>-4.2359090000000004</v>
      </c>
      <c r="E452" s="7">
        <v>0.22424020040688999</v>
      </c>
      <c r="F452" s="7">
        <f t="shared" si="21"/>
        <v>4.5269311885931103</v>
      </c>
      <c r="G452" s="7">
        <f t="shared" si="22"/>
        <v>4.2359090000000004</v>
      </c>
      <c r="H452" s="7">
        <f t="shared" si="23"/>
        <v>0.29102218859310991</v>
      </c>
      <c r="I452" s="8">
        <v>6.8703597880197503E-2</v>
      </c>
      <c r="J452" s="2" t="s">
        <v>67</v>
      </c>
    </row>
    <row r="453" spans="1:10" ht="12.75" customHeight="1">
      <c r="A453" s="1">
        <v>46201</v>
      </c>
      <c r="B453" s="2">
        <v>3</v>
      </c>
      <c r="C453" s="7">
        <v>-3.3204987300537399</v>
      </c>
      <c r="D453" s="7">
        <v>-3.5636760000000001</v>
      </c>
      <c r="E453" s="7">
        <v>0.24317726994625899</v>
      </c>
      <c r="F453" s="7">
        <f t="shared" si="21"/>
        <v>3.3204987300537399</v>
      </c>
      <c r="G453" s="7">
        <f t="shared" si="22"/>
        <v>3.5636760000000001</v>
      </c>
      <c r="H453" s="7">
        <f t="shared" si="23"/>
        <v>0.24317726994626021</v>
      </c>
      <c r="I453" s="8">
        <v>6.8237760656765303E-2</v>
      </c>
      <c r="J453" s="2" t="s">
        <v>67</v>
      </c>
    </row>
    <row r="454" spans="1:10" ht="12.75" customHeight="1">
      <c r="A454" s="1">
        <v>46201</v>
      </c>
      <c r="B454" s="2">
        <v>6</v>
      </c>
      <c r="C454" s="7">
        <v>-2.9033863096402102</v>
      </c>
      <c r="D454" s="7">
        <v>-3.1159520000000001</v>
      </c>
      <c r="E454" s="7">
        <v>0.22561063375979001</v>
      </c>
      <c r="F454" s="7">
        <f t="shared" si="21"/>
        <v>2.9033863096402102</v>
      </c>
      <c r="G454" s="7">
        <f t="shared" si="22"/>
        <v>3.1159520000000001</v>
      </c>
      <c r="H454" s="7">
        <f t="shared" si="23"/>
        <v>0.21256569035978989</v>
      </c>
      <c r="I454" s="8">
        <v>6.8218538141726806E-2</v>
      </c>
      <c r="J454" s="2" t="s">
        <v>67</v>
      </c>
    </row>
    <row r="455" spans="1:10" ht="12.75" customHeight="1">
      <c r="A455" s="1">
        <v>46177</v>
      </c>
      <c r="B455" s="2">
        <v>24</v>
      </c>
      <c r="C455" s="7">
        <v>-4.23830419416658</v>
      </c>
      <c r="D455" s="7">
        <v>-3.9693450000000001</v>
      </c>
      <c r="E455" s="7">
        <v>-0.26895919416658298</v>
      </c>
      <c r="F455" s="7">
        <f t="shared" si="21"/>
        <v>4.23830419416658</v>
      </c>
      <c r="G455" s="7">
        <f t="shared" si="22"/>
        <v>3.9693450000000001</v>
      </c>
      <c r="H455" s="7">
        <f t="shared" si="23"/>
        <v>0.26895919416657987</v>
      </c>
      <c r="I455" s="8">
        <v>6.7759087246531402E-2</v>
      </c>
      <c r="J455" s="2" t="s">
        <v>67</v>
      </c>
    </row>
    <row r="456" spans="1:10" ht="12.75" customHeight="1">
      <c r="A456" s="1">
        <v>46180</v>
      </c>
      <c r="B456" s="2">
        <v>18</v>
      </c>
      <c r="C456" s="7">
        <v>-3.4240453891609901</v>
      </c>
      <c r="D456" s="7">
        <v>-3.6723720000000002</v>
      </c>
      <c r="E456" s="7">
        <v>0.68409094523901104</v>
      </c>
      <c r="F456" s="7">
        <f t="shared" si="21"/>
        <v>3.4240453891609901</v>
      </c>
      <c r="G456" s="7">
        <f t="shared" si="22"/>
        <v>3.6723720000000002</v>
      </c>
      <c r="H456" s="7">
        <f t="shared" si="23"/>
        <v>0.24832661083901009</v>
      </c>
      <c r="I456" s="8">
        <v>6.7620222253903101E-2</v>
      </c>
      <c r="J456" s="2" t="s">
        <v>67</v>
      </c>
    </row>
    <row r="457" spans="1:10" ht="12.75" customHeight="1">
      <c r="A457" s="1">
        <v>46188</v>
      </c>
      <c r="B457" s="2">
        <v>22</v>
      </c>
      <c r="C457" s="7">
        <v>-5.8933687383148099</v>
      </c>
      <c r="D457" s="7">
        <v>-6.3192490000000001</v>
      </c>
      <c r="E457" s="7">
        <v>0.425880261685189</v>
      </c>
      <c r="F457" s="7">
        <f t="shared" si="21"/>
        <v>5.8933687383148099</v>
      </c>
      <c r="G457" s="7">
        <f t="shared" si="22"/>
        <v>6.3192490000000001</v>
      </c>
      <c r="H457" s="7">
        <f t="shared" si="23"/>
        <v>0.42588026168519022</v>
      </c>
      <c r="I457" s="8">
        <v>6.7394125739496699E-2</v>
      </c>
      <c r="J457" s="2" t="s">
        <v>67</v>
      </c>
    </row>
    <row r="458" spans="1:10" ht="12.75" customHeight="1">
      <c r="A458" s="1">
        <v>46201</v>
      </c>
      <c r="B458" s="2">
        <v>21</v>
      </c>
      <c r="C458" s="7">
        <v>-5.2269360145689596</v>
      </c>
      <c r="D458" s="7">
        <v>-4.8990840000000002</v>
      </c>
      <c r="E458" s="7">
        <v>-0.327778903568955</v>
      </c>
      <c r="F458" s="7">
        <f t="shared" si="21"/>
        <v>5.2269360145689596</v>
      </c>
      <c r="G458" s="7">
        <f t="shared" si="22"/>
        <v>4.8990840000000002</v>
      </c>
      <c r="H458" s="7">
        <f t="shared" si="23"/>
        <v>0.3278520145689594</v>
      </c>
      <c r="I458" s="8">
        <v>6.6921084547428802E-2</v>
      </c>
      <c r="J458" s="2" t="s">
        <v>67</v>
      </c>
    </row>
    <row r="459" spans="1:10" ht="12.75" customHeight="1">
      <c r="A459" s="1">
        <v>46183</v>
      </c>
      <c r="B459" s="2">
        <v>4</v>
      </c>
      <c r="C459" s="7">
        <v>-3.9543892577022</v>
      </c>
      <c r="D459" s="7">
        <v>-3.7066629999999998</v>
      </c>
      <c r="E459" s="7">
        <v>-0.2477262577022</v>
      </c>
      <c r="F459" s="7">
        <f t="shared" si="21"/>
        <v>3.9543892577022</v>
      </c>
      <c r="G459" s="7">
        <f t="shared" si="22"/>
        <v>3.7066629999999998</v>
      </c>
      <c r="H459" s="7">
        <f t="shared" si="23"/>
        <v>0.24772625770220014</v>
      </c>
      <c r="I459" s="8">
        <v>6.6832689592282807E-2</v>
      </c>
      <c r="J459" s="2" t="s">
        <v>67</v>
      </c>
    </row>
    <row r="460" spans="1:10" ht="12.75" customHeight="1">
      <c r="A460" s="1">
        <v>46202</v>
      </c>
      <c r="B460" s="2">
        <v>14</v>
      </c>
      <c r="C460" s="7">
        <v>-4.9244637025955598</v>
      </c>
      <c r="D460" s="7">
        <v>-4.6163449999999999</v>
      </c>
      <c r="E460" s="7">
        <v>0.29194274140443699</v>
      </c>
      <c r="F460" s="7">
        <f t="shared" si="21"/>
        <v>4.9244637025955598</v>
      </c>
      <c r="G460" s="7">
        <f t="shared" si="22"/>
        <v>4.6163449999999999</v>
      </c>
      <c r="H460" s="7">
        <f t="shared" si="23"/>
        <v>0.30811870259555985</v>
      </c>
      <c r="I460" s="8">
        <v>6.6745163672897803E-2</v>
      </c>
      <c r="J460" s="2" t="s">
        <v>67</v>
      </c>
    </row>
    <row r="461" spans="1:10" ht="12.75" customHeight="1">
      <c r="A461" s="1">
        <v>46194</v>
      </c>
      <c r="B461" s="2">
        <v>1</v>
      </c>
      <c r="C461" s="7">
        <v>-3.7193113497510599</v>
      </c>
      <c r="D461" s="7">
        <v>-3.489271</v>
      </c>
      <c r="E461" s="7">
        <v>-0.230040349751057</v>
      </c>
      <c r="F461" s="7">
        <f t="shared" si="21"/>
        <v>3.7193113497510599</v>
      </c>
      <c r="G461" s="7">
        <f t="shared" si="22"/>
        <v>3.489271</v>
      </c>
      <c r="H461" s="7">
        <f t="shared" si="23"/>
        <v>0.23004034975105991</v>
      </c>
      <c r="I461" s="8">
        <v>6.5927911518210397E-2</v>
      </c>
      <c r="J461" s="2" t="s">
        <v>67</v>
      </c>
    </row>
    <row r="462" spans="1:10" ht="12.75" customHeight="1">
      <c r="A462" s="1">
        <v>46181</v>
      </c>
      <c r="B462" s="2">
        <v>19</v>
      </c>
      <c r="C462" s="7">
        <v>-4.9855630225200098</v>
      </c>
      <c r="D462" s="7">
        <v>-4.67781</v>
      </c>
      <c r="E462" s="7">
        <v>-0.28039850952001399</v>
      </c>
      <c r="F462" s="7">
        <f t="shared" si="21"/>
        <v>4.9855630225200098</v>
      </c>
      <c r="G462" s="7">
        <f t="shared" si="22"/>
        <v>4.67781</v>
      </c>
      <c r="H462" s="7">
        <f t="shared" si="23"/>
        <v>0.3077530225200098</v>
      </c>
      <c r="I462" s="8">
        <v>6.5789979182569194E-2</v>
      </c>
      <c r="J462" s="2" t="s">
        <v>67</v>
      </c>
    </row>
    <row r="463" spans="1:10" ht="12.75" customHeight="1">
      <c r="A463" s="1">
        <v>46183</v>
      </c>
      <c r="B463" s="2">
        <v>18</v>
      </c>
      <c r="C463" s="7">
        <v>-4.9812958407744397</v>
      </c>
      <c r="D463" s="7">
        <v>-4.6758689999999996</v>
      </c>
      <c r="E463" s="7">
        <v>-0.20089169777443699</v>
      </c>
      <c r="F463" s="7">
        <f t="shared" si="21"/>
        <v>4.9812958407744397</v>
      </c>
      <c r="G463" s="7">
        <f t="shared" si="22"/>
        <v>4.6758689999999996</v>
      </c>
      <c r="H463" s="7">
        <f t="shared" si="23"/>
        <v>0.30542684077444004</v>
      </c>
      <c r="I463" s="8">
        <v>6.53198027520525E-2</v>
      </c>
      <c r="J463" s="2" t="s">
        <v>67</v>
      </c>
    </row>
    <row r="464" spans="1:10" ht="12.75" customHeight="1">
      <c r="A464" s="1">
        <v>46198</v>
      </c>
      <c r="B464" s="2">
        <v>4</v>
      </c>
      <c r="C464" s="7">
        <v>-3.9858848213880602</v>
      </c>
      <c r="D464" s="7">
        <v>-3.7416010000000002</v>
      </c>
      <c r="E464" s="7">
        <v>-0.24428382138805499</v>
      </c>
      <c r="F464" s="7">
        <f t="shared" si="21"/>
        <v>3.9858848213880602</v>
      </c>
      <c r="G464" s="7">
        <f t="shared" si="22"/>
        <v>3.7416010000000002</v>
      </c>
      <c r="H464" s="7">
        <f t="shared" si="23"/>
        <v>0.24428382138806004</v>
      </c>
      <c r="I464" s="8">
        <v>6.5288581382155597E-2</v>
      </c>
      <c r="J464" s="2" t="s">
        <v>67</v>
      </c>
    </row>
    <row r="465" spans="1:10" ht="12.75" customHeight="1">
      <c r="A465" s="1">
        <v>46182</v>
      </c>
      <c r="B465" s="2">
        <v>2</v>
      </c>
      <c r="C465" s="7">
        <v>-4.1055921429486197</v>
      </c>
      <c r="D465" s="7">
        <v>-3.8554729999999999</v>
      </c>
      <c r="E465" s="7">
        <v>-0.25011914294861798</v>
      </c>
      <c r="F465" s="7">
        <f t="shared" si="21"/>
        <v>4.1055921429486197</v>
      </c>
      <c r="G465" s="7">
        <f t="shared" si="22"/>
        <v>3.8554729999999999</v>
      </c>
      <c r="H465" s="7">
        <f t="shared" si="23"/>
        <v>0.25011914294861981</v>
      </c>
      <c r="I465" s="8">
        <v>6.4873789272708704E-2</v>
      </c>
      <c r="J465" s="2" t="s">
        <v>67</v>
      </c>
    </row>
    <row r="466" spans="1:10" ht="12.75" customHeight="1">
      <c r="A466" s="1">
        <v>46186</v>
      </c>
      <c r="B466" s="2">
        <v>20</v>
      </c>
      <c r="C466" s="7">
        <v>-4.9290575669871597</v>
      </c>
      <c r="D466" s="7">
        <v>-5.2685209999999998</v>
      </c>
      <c r="E466" s="7">
        <v>0.35853440501284001</v>
      </c>
      <c r="F466" s="7">
        <f t="shared" si="21"/>
        <v>4.9290575669871597</v>
      </c>
      <c r="G466" s="7">
        <f t="shared" si="22"/>
        <v>5.2685209999999998</v>
      </c>
      <c r="H466" s="7">
        <f t="shared" si="23"/>
        <v>0.3394634330128401</v>
      </c>
      <c r="I466" s="8">
        <v>6.4432396304928904E-2</v>
      </c>
      <c r="J466" s="2" t="s">
        <v>67</v>
      </c>
    </row>
    <row r="467" spans="1:10" ht="12.75" customHeight="1">
      <c r="A467" s="1">
        <v>46181</v>
      </c>
      <c r="B467" s="2">
        <v>9</v>
      </c>
      <c r="C467" s="7">
        <v>-3.8417612215391301</v>
      </c>
      <c r="D467" s="7">
        <v>-3.6154359999999999</v>
      </c>
      <c r="E467" s="7">
        <v>0.115376182460868</v>
      </c>
      <c r="F467" s="7">
        <f t="shared" si="21"/>
        <v>3.8417612215391301</v>
      </c>
      <c r="G467" s="7">
        <f t="shared" si="22"/>
        <v>3.6154359999999999</v>
      </c>
      <c r="H467" s="7">
        <f t="shared" si="23"/>
        <v>0.22632522153913026</v>
      </c>
      <c r="I467" s="8">
        <v>6.2599703476740196E-2</v>
      </c>
      <c r="J467" s="2" t="s">
        <v>67</v>
      </c>
    </row>
    <row r="468" spans="1:10" ht="12.75" customHeight="1">
      <c r="A468" s="1">
        <v>46184</v>
      </c>
      <c r="B468" s="2">
        <v>18</v>
      </c>
      <c r="C468" s="7">
        <v>-4.98725027304463</v>
      </c>
      <c r="D468" s="7">
        <v>-4.6939849999999996</v>
      </c>
      <c r="E468" s="7">
        <v>-0.16219666004463201</v>
      </c>
      <c r="F468" s="7">
        <f t="shared" si="21"/>
        <v>4.98725027304463</v>
      </c>
      <c r="G468" s="7">
        <f t="shared" si="22"/>
        <v>4.6939849999999996</v>
      </c>
      <c r="H468" s="7">
        <f t="shared" si="23"/>
        <v>0.29326527304463035</v>
      </c>
      <c r="I468" s="8">
        <v>6.24768236465673E-2</v>
      </c>
      <c r="J468" s="2" t="s">
        <v>67</v>
      </c>
    </row>
    <row r="469" spans="1:10" ht="12.75" customHeight="1">
      <c r="A469" s="1">
        <v>46192</v>
      </c>
      <c r="B469" s="2">
        <v>6</v>
      </c>
      <c r="C469" s="7">
        <v>-3.3233592639240199</v>
      </c>
      <c r="D469" s="7">
        <v>-3.5436190000000001</v>
      </c>
      <c r="E469" s="7">
        <v>0.23693551407598101</v>
      </c>
      <c r="F469" s="7">
        <f t="shared" si="21"/>
        <v>3.3233592639240199</v>
      </c>
      <c r="G469" s="7">
        <f t="shared" si="22"/>
        <v>3.5436190000000001</v>
      </c>
      <c r="H469" s="7">
        <f t="shared" si="23"/>
        <v>0.22025973607598015</v>
      </c>
      <c r="I469" s="8">
        <v>6.2156720594392603E-2</v>
      </c>
      <c r="J469" s="2" t="s">
        <v>67</v>
      </c>
    </row>
    <row r="470" spans="1:10" ht="12.75" customHeight="1">
      <c r="A470" s="1">
        <v>46197</v>
      </c>
      <c r="B470" s="2">
        <v>22</v>
      </c>
      <c r="C470" s="7">
        <v>-6.2296923297608204</v>
      </c>
      <c r="D470" s="7">
        <v>-5.8657019999999997</v>
      </c>
      <c r="E470" s="7">
        <v>-0.36399032976081602</v>
      </c>
      <c r="F470" s="7">
        <f t="shared" si="21"/>
        <v>6.2296923297608204</v>
      </c>
      <c r="G470" s="7">
        <f t="shared" si="22"/>
        <v>5.8657019999999997</v>
      </c>
      <c r="H470" s="7">
        <f t="shared" si="23"/>
        <v>0.36399032976082069</v>
      </c>
      <c r="I470" s="8">
        <v>6.2054009862897302E-2</v>
      </c>
      <c r="J470" s="2" t="s">
        <v>67</v>
      </c>
    </row>
    <row r="471" spans="1:10" ht="12.75" customHeight="1">
      <c r="A471" s="1">
        <v>46191</v>
      </c>
      <c r="B471" s="2">
        <v>23</v>
      </c>
      <c r="C471" s="7">
        <v>-5.1986447803945701</v>
      </c>
      <c r="D471" s="7">
        <v>-5.5415549999999998</v>
      </c>
      <c r="E471" s="7">
        <v>0.342910219605431</v>
      </c>
      <c r="F471" s="7">
        <f t="shared" si="21"/>
        <v>5.1986447803945701</v>
      </c>
      <c r="G471" s="7">
        <f t="shared" si="22"/>
        <v>5.5415549999999998</v>
      </c>
      <c r="H471" s="7">
        <f t="shared" si="23"/>
        <v>0.34291021960542967</v>
      </c>
      <c r="I471" s="8">
        <v>6.1879782769535097E-2</v>
      </c>
      <c r="J471" s="2" t="s">
        <v>67</v>
      </c>
    </row>
    <row r="472" spans="1:10" ht="12.75" customHeight="1">
      <c r="A472" s="1">
        <v>46190</v>
      </c>
      <c r="B472" s="2">
        <v>15</v>
      </c>
      <c r="C472" s="7">
        <v>-4.5714111050786101</v>
      </c>
      <c r="D472" s="7">
        <v>-4.3051380000000004</v>
      </c>
      <c r="E472" s="7">
        <v>0.20948022892139301</v>
      </c>
      <c r="F472" s="7">
        <f t="shared" si="21"/>
        <v>4.5714111050786101</v>
      </c>
      <c r="G472" s="7">
        <f t="shared" si="22"/>
        <v>4.3051380000000004</v>
      </c>
      <c r="H472" s="7">
        <f t="shared" si="23"/>
        <v>0.2662731050786098</v>
      </c>
      <c r="I472" s="8">
        <v>6.1850074278363899E-2</v>
      </c>
      <c r="J472" s="2" t="s">
        <v>67</v>
      </c>
    </row>
    <row r="473" spans="1:10" ht="12.75" customHeight="1">
      <c r="A473" s="1">
        <v>46192</v>
      </c>
      <c r="B473" s="2">
        <v>23</v>
      </c>
      <c r="C473" s="7">
        <v>-5.0199690878379304</v>
      </c>
      <c r="D473" s="7">
        <v>-5.3474550000000001</v>
      </c>
      <c r="E473" s="7">
        <v>0.32748591216207001</v>
      </c>
      <c r="F473" s="7">
        <f t="shared" si="21"/>
        <v>5.0199690878379304</v>
      </c>
      <c r="G473" s="7">
        <f t="shared" si="22"/>
        <v>5.3474550000000001</v>
      </c>
      <c r="H473" s="7">
        <f t="shared" si="23"/>
        <v>0.32748591216206968</v>
      </c>
      <c r="I473" s="8">
        <v>6.12414526465523E-2</v>
      </c>
      <c r="J473" s="2" t="s">
        <v>67</v>
      </c>
    </row>
    <row r="474" spans="1:10" ht="12.75" customHeight="1">
      <c r="A474" s="1">
        <v>46195</v>
      </c>
      <c r="B474" s="2">
        <v>24</v>
      </c>
      <c r="C474" s="7">
        <v>-4.4500809856435604</v>
      </c>
      <c r="D474" s="7">
        <v>-4.739922</v>
      </c>
      <c r="E474" s="7">
        <v>0.28984101435644299</v>
      </c>
      <c r="F474" s="7">
        <f t="shared" si="21"/>
        <v>4.4500809856435604</v>
      </c>
      <c r="G474" s="7">
        <f t="shared" si="22"/>
        <v>4.739922</v>
      </c>
      <c r="H474" s="7">
        <f t="shared" si="23"/>
        <v>0.28984101435643961</v>
      </c>
      <c r="I474" s="8">
        <v>6.1148899571858498E-2</v>
      </c>
      <c r="J474" s="2" t="s">
        <v>67</v>
      </c>
    </row>
    <row r="475" spans="1:10" ht="12.75" customHeight="1">
      <c r="A475" s="1">
        <v>46193</v>
      </c>
      <c r="B475" s="2">
        <v>24</v>
      </c>
      <c r="C475" s="7">
        <v>-3.9873838701501598</v>
      </c>
      <c r="D475" s="7">
        <v>-4.2462609999999996</v>
      </c>
      <c r="E475" s="7">
        <v>0.25887712984983802</v>
      </c>
      <c r="F475" s="7">
        <f t="shared" si="21"/>
        <v>3.9873838701501598</v>
      </c>
      <c r="G475" s="7">
        <f t="shared" si="22"/>
        <v>4.2462609999999996</v>
      </c>
      <c r="H475" s="7">
        <f t="shared" si="23"/>
        <v>0.25887712984983979</v>
      </c>
      <c r="I475" s="8">
        <v>6.0965901495418702E-2</v>
      </c>
      <c r="J475" s="2" t="s">
        <v>67</v>
      </c>
    </row>
    <row r="476" spans="1:10" ht="12.75" customHeight="1">
      <c r="A476" s="1">
        <v>46174</v>
      </c>
      <c r="B476" s="2">
        <v>16</v>
      </c>
      <c r="C476" s="7">
        <v>-4.0584598328246999</v>
      </c>
      <c r="D476" s="7">
        <v>-3.8257110000000001</v>
      </c>
      <c r="E476" s="7">
        <v>0.3962005141753</v>
      </c>
      <c r="F476" s="7">
        <f t="shared" si="21"/>
        <v>4.0584598328246999</v>
      </c>
      <c r="G476" s="7">
        <f t="shared" si="22"/>
        <v>3.8257110000000001</v>
      </c>
      <c r="H476" s="7">
        <f t="shared" si="23"/>
        <v>0.23274883282469983</v>
      </c>
      <c r="I476" s="8">
        <v>6.0838059337127298E-2</v>
      </c>
      <c r="J476" s="2" t="s">
        <v>67</v>
      </c>
    </row>
    <row r="477" spans="1:10" ht="12.75" customHeight="1">
      <c r="A477" s="1">
        <v>46181</v>
      </c>
      <c r="B477" s="2">
        <v>20</v>
      </c>
      <c r="C477" s="7">
        <v>-5.8241818857172296</v>
      </c>
      <c r="D477" s="7">
        <v>-5.4904419999999998</v>
      </c>
      <c r="E477" s="7">
        <v>-0.33285996571722898</v>
      </c>
      <c r="F477" s="7">
        <f t="shared" si="21"/>
        <v>5.8241818857172296</v>
      </c>
      <c r="G477" s="7">
        <f t="shared" si="22"/>
        <v>5.4904419999999998</v>
      </c>
      <c r="H477" s="7">
        <f t="shared" si="23"/>
        <v>0.33373988571722979</v>
      </c>
      <c r="I477" s="8">
        <v>6.0785613565762002E-2</v>
      </c>
      <c r="J477" s="2" t="s">
        <v>67</v>
      </c>
    </row>
    <row r="478" spans="1:10" ht="12.75" customHeight="1">
      <c r="A478" s="1">
        <v>46179</v>
      </c>
      <c r="B478" s="2">
        <v>7</v>
      </c>
      <c r="C478" s="7">
        <v>-2.5186794679044802</v>
      </c>
      <c r="D478" s="7">
        <v>-2.681168</v>
      </c>
      <c r="E478" s="7">
        <v>0.31407907929551598</v>
      </c>
      <c r="F478" s="7">
        <f t="shared" si="21"/>
        <v>2.5186794679044802</v>
      </c>
      <c r="G478" s="7">
        <f t="shared" si="22"/>
        <v>2.681168</v>
      </c>
      <c r="H478" s="7">
        <f t="shared" si="23"/>
        <v>0.16248853209551983</v>
      </c>
      <c r="I478" s="8">
        <v>6.0603636958040802E-2</v>
      </c>
      <c r="J478" s="2" t="s">
        <v>67</v>
      </c>
    </row>
    <row r="479" spans="1:10" ht="12.75" customHeight="1">
      <c r="A479" s="1">
        <v>46189</v>
      </c>
      <c r="B479" s="2">
        <v>5</v>
      </c>
      <c r="C479" s="7">
        <v>-3.6360039283763901</v>
      </c>
      <c r="D479" s="7">
        <v>-3.869707</v>
      </c>
      <c r="E479" s="7">
        <v>0.23370307162360901</v>
      </c>
      <c r="F479" s="7">
        <f t="shared" si="21"/>
        <v>3.6360039283763901</v>
      </c>
      <c r="G479" s="7">
        <f t="shared" si="22"/>
        <v>3.869707</v>
      </c>
      <c r="H479" s="7">
        <f t="shared" si="23"/>
        <v>0.23370307162360993</v>
      </c>
      <c r="I479" s="8">
        <v>6.0392962987535999E-2</v>
      </c>
      <c r="J479" s="2" t="s">
        <v>67</v>
      </c>
    </row>
    <row r="480" spans="1:10" ht="12.75" customHeight="1">
      <c r="A480" s="1">
        <v>46177</v>
      </c>
      <c r="B480" s="2">
        <v>14</v>
      </c>
      <c r="C480" s="7">
        <v>-4.10526949795661</v>
      </c>
      <c r="D480" s="7">
        <v>-3.871648</v>
      </c>
      <c r="E480" s="7">
        <v>0.21925650404339</v>
      </c>
      <c r="F480" s="7">
        <f t="shared" si="21"/>
        <v>4.10526949795661</v>
      </c>
      <c r="G480" s="7">
        <f t="shared" si="22"/>
        <v>3.871648</v>
      </c>
      <c r="H480" s="7">
        <f t="shared" si="23"/>
        <v>0.23362149795661002</v>
      </c>
      <c r="I480" s="8">
        <v>6.0341616272091399E-2</v>
      </c>
      <c r="J480" s="2" t="s">
        <v>67</v>
      </c>
    </row>
    <row r="481" spans="1:10" ht="12.75" customHeight="1">
      <c r="A481" s="1">
        <v>46176</v>
      </c>
      <c r="B481" s="2">
        <v>2</v>
      </c>
      <c r="C481" s="7">
        <v>-3.7946539020713299</v>
      </c>
      <c r="D481" s="7">
        <v>-3.5792039999999998</v>
      </c>
      <c r="E481" s="7">
        <v>-0.215449902071326</v>
      </c>
      <c r="F481" s="7">
        <f t="shared" si="21"/>
        <v>3.7946539020713299</v>
      </c>
      <c r="G481" s="7">
        <f t="shared" si="22"/>
        <v>3.5792039999999998</v>
      </c>
      <c r="H481" s="7">
        <f t="shared" si="23"/>
        <v>0.21544990207133008</v>
      </c>
      <c r="I481" s="8">
        <v>6.01949210135342E-2</v>
      </c>
      <c r="J481" s="2" t="s">
        <v>67</v>
      </c>
    </row>
    <row r="482" spans="1:10" ht="12.75" customHeight="1">
      <c r="A482" s="1">
        <v>46186</v>
      </c>
      <c r="B482" s="2">
        <v>21</v>
      </c>
      <c r="C482" s="7">
        <v>-5.3113401445021902</v>
      </c>
      <c r="D482" s="7">
        <v>-5.6502509999999999</v>
      </c>
      <c r="E482" s="7">
        <v>0.33893802949781598</v>
      </c>
      <c r="F482" s="7">
        <f t="shared" si="21"/>
        <v>5.3113401445021902</v>
      </c>
      <c r="G482" s="7">
        <f t="shared" si="22"/>
        <v>5.6502509999999999</v>
      </c>
      <c r="H482" s="7">
        <f t="shared" si="23"/>
        <v>0.33891085549780975</v>
      </c>
      <c r="I482" s="8">
        <v>5.9981557544579199E-2</v>
      </c>
      <c r="J482" s="2" t="s">
        <v>67</v>
      </c>
    </row>
    <row r="483" spans="1:10" ht="12.75" customHeight="1">
      <c r="A483" s="1">
        <v>46178</v>
      </c>
      <c r="B483" s="2">
        <v>17</v>
      </c>
      <c r="C483" s="7">
        <v>-4.1350126997562704</v>
      </c>
      <c r="D483" s="7">
        <v>-3.9046449999999999</v>
      </c>
      <c r="E483" s="7">
        <v>0.208878659243731</v>
      </c>
      <c r="F483" s="7">
        <f t="shared" si="21"/>
        <v>4.1350126997562704</v>
      </c>
      <c r="G483" s="7">
        <f t="shared" si="22"/>
        <v>3.9046449999999999</v>
      </c>
      <c r="H483" s="7">
        <f t="shared" si="23"/>
        <v>0.23036769975627047</v>
      </c>
      <c r="I483" s="8">
        <v>5.8998372388852E-2</v>
      </c>
      <c r="J483" s="2" t="s">
        <v>67</v>
      </c>
    </row>
    <row r="484" spans="1:10" ht="12.75" customHeight="1">
      <c r="A484" s="1">
        <v>46186</v>
      </c>
      <c r="B484" s="2">
        <v>24</v>
      </c>
      <c r="C484" s="7">
        <v>-3.7448676976692199</v>
      </c>
      <c r="D484" s="7">
        <v>-3.97905</v>
      </c>
      <c r="E484" s="7">
        <v>0.234182302330779</v>
      </c>
      <c r="F484" s="7">
        <f t="shared" si="21"/>
        <v>3.7448676976692199</v>
      </c>
      <c r="G484" s="7">
        <f t="shared" si="22"/>
        <v>3.97905</v>
      </c>
      <c r="H484" s="7">
        <f t="shared" si="23"/>
        <v>0.23418230233078008</v>
      </c>
      <c r="I484" s="8">
        <v>5.8853822477922903E-2</v>
      </c>
      <c r="J484" s="2" t="s">
        <v>67</v>
      </c>
    </row>
    <row r="485" spans="1:10" ht="12.75" customHeight="1">
      <c r="A485" s="1">
        <v>46179</v>
      </c>
      <c r="B485" s="2">
        <v>10</v>
      </c>
      <c r="C485" s="7">
        <v>-3.1524366083112199</v>
      </c>
      <c r="D485" s="7">
        <v>-3.3488720000000001</v>
      </c>
      <c r="E485" s="7">
        <v>1.0844029070887899</v>
      </c>
      <c r="F485" s="7">
        <f t="shared" si="21"/>
        <v>3.1524366083112199</v>
      </c>
      <c r="G485" s="7">
        <f t="shared" si="22"/>
        <v>3.3488720000000001</v>
      </c>
      <c r="H485" s="7">
        <f t="shared" si="23"/>
        <v>0.19643539168878021</v>
      </c>
      <c r="I485" s="8">
        <v>5.8657181190796402E-2</v>
      </c>
      <c r="J485" s="2" t="s">
        <v>67</v>
      </c>
    </row>
    <row r="486" spans="1:10" ht="12.75" customHeight="1">
      <c r="A486" s="1">
        <v>46196</v>
      </c>
      <c r="B486" s="2">
        <v>19</v>
      </c>
      <c r="C486" s="7">
        <v>-5.4298564527978401</v>
      </c>
      <c r="D486" s="7">
        <v>-5.129416</v>
      </c>
      <c r="E486" s="7">
        <v>-0.24728099179784199</v>
      </c>
      <c r="F486" s="7">
        <f t="shared" si="21"/>
        <v>5.4298564527978401</v>
      </c>
      <c r="G486" s="7">
        <f t="shared" si="22"/>
        <v>5.129416</v>
      </c>
      <c r="H486" s="7">
        <f t="shared" si="23"/>
        <v>0.30044045279784015</v>
      </c>
      <c r="I486" s="8">
        <v>5.85720582611826E-2</v>
      </c>
      <c r="J486" s="2" t="s">
        <v>67</v>
      </c>
    </row>
    <row r="487" spans="1:10" ht="12.75" customHeight="1">
      <c r="A487" s="1">
        <v>46203</v>
      </c>
      <c r="B487" s="2">
        <v>20</v>
      </c>
      <c r="C487" s="7">
        <v>-6.5059199026823604</v>
      </c>
      <c r="D487" s="7">
        <v>-6.1464999999999996</v>
      </c>
      <c r="E487" s="7">
        <v>-0.35910998968235602</v>
      </c>
      <c r="F487" s="7">
        <f t="shared" si="21"/>
        <v>6.5059199026823604</v>
      </c>
      <c r="G487" s="7">
        <f t="shared" si="22"/>
        <v>6.1464999999999996</v>
      </c>
      <c r="H487" s="7">
        <f t="shared" si="23"/>
        <v>0.35941990268236079</v>
      </c>
      <c r="I487" s="8">
        <v>5.8475539360994998E-2</v>
      </c>
      <c r="J487" s="2" t="s">
        <v>67</v>
      </c>
    </row>
    <row r="488" spans="1:10" ht="12.75" customHeight="1">
      <c r="A488" s="1">
        <v>46180</v>
      </c>
      <c r="B488" s="2">
        <v>3</v>
      </c>
      <c r="C488" s="7">
        <v>-3.4395106193150902</v>
      </c>
      <c r="D488" s="7">
        <v>-3.2505280000000001</v>
      </c>
      <c r="E488" s="7">
        <v>-0.188982619315089</v>
      </c>
      <c r="F488" s="7">
        <f t="shared" si="21"/>
        <v>3.4395106193150902</v>
      </c>
      <c r="G488" s="7">
        <f t="shared" si="22"/>
        <v>3.2505280000000001</v>
      </c>
      <c r="H488" s="7">
        <f t="shared" si="23"/>
        <v>0.18898261931509008</v>
      </c>
      <c r="I488" s="8">
        <v>5.81390528908192E-2</v>
      </c>
      <c r="J488" s="2" t="s">
        <v>67</v>
      </c>
    </row>
    <row r="489" spans="1:10" ht="12.75" customHeight="1">
      <c r="A489" s="1">
        <v>46186</v>
      </c>
      <c r="B489" s="2">
        <v>17</v>
      </c>
      <c r="C489" s="7">
        <v>-3.4540868845380501</v>
      </c>
      <c r="D489" s="7">
        <v>-3.6652550000000002</v>
      </c>
      <c r="E489" s="7">
        <v>0.75910788646194705</v>
      </c>
      <c r="F489" s="7">
        <f t="shared" si="21"/>
        <v>3.4540868845380501</v>
      </c>
      <c r="G489" s="7">
        <f t="shared" si="22"/>
        <v>3.6652550000000002</v>
      </c>
      <c r="H489" s="7">
        <f t="shared" si="23"/>
        <v>0.21116811546195002</v>
      </c>
      <c r="I489" s="8">
        <v>5.76134854087769E-2</v>
      </c>
      <c r="J489" s="2" t="s">
        <v>67</v>
      </c>
    </row>
    <row r="490" spans="1:10" ht="12.75" customHeight="1">
      <c r="A490" s="1">
        <v>46198</v>
      </c>
      <c r="B490" s="2">
        <v>9</v>
      </c>
      <c r="C490" s="7">
        <v>-3.9851296233603599</v>
      </c>
      <c r="D490" s="7">
        <v>-3.7681279999999999</v>
      </c>
      <c r="E490" s="7">
        <v>0.247617487639644</v>
      </c>
      <c r="F490" s="7">
        <f t="shared" si="21"/>
        <v>3.9851296233603599</v>
      </c>
      <c r="G490" s="7">
        <f t="shared" si="22"/>
        <v>3.7681279999999999</v>
      </c>
      <c r="H490" s="7">
        <f t="shared" si="23"/>
        <v>0.21700162336036</v>
      </c>
      <c r="I490" s="8">
        <v>5.7588708069459503E-2</v>
      </c>
      <c r="J490" s="2" t="s">
        <v>67</v>
      </c>
    </row>
    <row r="491" spans="1:10" ht="12.75" customHeight="1">
      <c r="A491" s="1">
        <v>46200</v>
      </c>
      <c r="B491" s="2">
        <v>19</v>
      </c>
      <c r="C491" s="7">
        <v>-4.8639113745166602</v>
      </c>
      <c r="D491" s="7">
        <v>-4.6046990000000001</v>
      </c>
      <c r="E491" s="7">
        <v>-0.15645130551665601</v>
      </c>
      <c r="F491" s="7">
        <f t="shared" si="21"/>
        <v>4.8639113745166602</v>
      </c>
      <c r="G491" s="7">
        <f t="shared" si="22"/>
        <v>4.6046990000000001</v>
      </c>
      <c r="H491" s="7">
        <f t="shared" si="23"/>
        <v>0.25921237451666013</v>
      </c>
      <c r="I491" s="8">
        <v>5.6293011664096997E-2</v>
      </c>
      <c r="J491" s="2" t="s">
        <v>67</v>
      </c>
    </row>
    <row r="492" spans="1:10" ht="12.75" customHeight="1">
      <c r="A492" s="1">
        <v>46182</v>
      </c>
      <c r="B492" s="2">
        <v>9</v>
      </c>
      <c r="C492" s="7">
        <v>-3.84618162237614</v>
      </c>
      <c r="D492" s="7">
        <v>-4.0754530000000004</v>
      </c>
      <c r="E492" s="7">
        <v>0.53170893962386101</v>
      </c>
      <c r="F492" s="7">
        <f t="shared" si="21"/>
        <v>3.84618162237614</v>
      </c>
      <c r="G492" s="7">
        <f t="shared" si="22"/>
        <v>4.0754530000000004</v>
      </c>
      <c r="H492" s="7">
        <f t="shared" si="23"/>
        <v>0.22927137762386041</v>
      </c>
      <c r="I492" s="8">
        <v>5.6256660946368699E-2</v>
      </c>
      <c r="J492" s="2" t="s">
        <v>67</v>
      </c>
    </row>
    <row r="493" spans="1:10" ht="12.75" customHeight="1">
      <c r="A493" s="1">
        <v>46190</v>
      </c>
      <c r="B493" s="2">
        <v>11</v>
      </c>
      <c r="C493" s="7">
        <v>-3.6804238802959501</v>
      </c>
      <c r="D493" s="7">
        <v>-3.4853890000000001</v>
      </c>
      <c r="E493" s="7">
        <v>0.62660335970405101</v>
      </c>
      <c r="F493" s="7">
        <f t="shared" si="21"/>
        <v>3.6804238802959501</v>
      </c>
      <c r="G493" s="7">
        <f t="shared" si="22"/>
        <v>3.4853890000000001</v>
      </c>
      <c r="H493" s="7">
        <f t="shared" si="23"/>
        <v>0.19503488029595006</v>
      </c>
      <c r="I493" s="8">
        <v>5.5957851561461103E-2</v>
      </c>
      <c r="J493" s="2" t="s">
        <v>67</v>
      </c>
    </row>
    <row r="494" spans="1:10" ht="12.75" customHeight="1">
      <c r="A494" s="1">
        <v>46198</v>
      </c>
      <c r="B494" s="2">
        <v>8</v>
      </c>
      <c r="C494" s="7">
        <v>-3.4448905125159901</v>
      </c>
      <c r="D494" s="7">
        <v>-3.2628210000000002</v>
      </c>
      <c r="E494" s="7">
        <v>0.234487850484007</v>
      </c>
      <c r="F494" s="7">
        <f t="shared" si="21"/>
        <v>3.4448905125159901</v>
      </c>
      <c r="G494" s="7">
        <f t="shared" si="22"/>
        <v>3.2628210000000002</v>
      </c>
      <c r="H494" s="7">
        <f t="shared" si="23"/>
        <v>0.18206951251598991</v>
      </c>
      <c r="I494" s="8">
        <v>5.5801256800784599E-2</v>
      </c>
      <c r="J494" s="2" t="s">
        <v>67</v>
      </c>
    </row>
    <row r="495" spans="1:10" ht="12.75" customHeight="1">
      <c r="A495" s="1">
        <v>46179</v>
      </c>
      <c r="B495" s="2">
        <v>22</v>
      </c>
      <c r="C495" s="7">
        <v>-5.27299809657345</v>
      </c>
      <c r="D495" s="7">
        <v>-4.9954869999999998</v>
      </c>
      <c r="E495" s="7">
        <v>-0.27751109657345102</v>
      </c>
      <c r="F495" s="7">
        <f t="shared" si="21"/>
        <v>5.27299809657345</v>
      </c>
      <c r="G495" s="7">
        <f t="shared" si="22"/>
        <v>4.9954869999999998</v>
      </c>
      <c r="H495" s="7">
        <f t="shared" si="23"/>
        <v>0.27751109657345019</v>
      </c>
      <c r="I495" s="8">
        <v>5.5552360875616498E-2</v>
      </c>
      <c r="J495" s="2" t="s">
        <v>67</v>
      </c>
    </row>
    <row r="496" spans="1:10" ht="12.75" customHeight="1">
      <c r="A496" s="1">
        <v>46175</v>
      </c>
      <c r="B496" s="2">
        <v>3</v>
      </c>
      <c r="C496" s="7">
        <v>-3.3910381317440499</v>
      </c>
      <c r="D496" s="7">
        <v>-3.5902029999999998</v>
      </c>
      <c r="E496" s="7">
        <v>0.199164868255956</v>
      </c>
      <c r="F496" s="7">
        <f t="shared" si="21"/>
        <v>3.3910381317440499</v>
      </c>
      <c r="G496" s="7">
        <f t="shared" si="22"/>
        <v>3.5902029999999998</v>
      </c>
      <c r="H496" s="7">
        <f t="shared" si="23"/>
        <v>0.19916486825594992</v>
      </c>
      <c r="I496" s="8">
        <v>5.5474542318625301E-2</v>
      </c>
      <c r="J496" s="2" t="s">
        <v>67</v>
      </c>
    </row>
    <row r="497" spans="1:10" ht="12.75" customHeight="1">
      <c r="A497" s="1">
        <v>46200</v>
      </c>
      <c r="B497" s="2">
        <v>2</v>
      </c>
      <c r="C497" s="7">
        <v>-3.8236424383140801</v>
      </c>
      <c r="D497" s="7">
        <v>-4.0476320000000001</v>
      </c>
      <c r="E497" s="7">
        <v>0.22398956168591799</v>
      </c>
      <c r="F497" s="7">
        <f t="shared" si="21"/>
        <v>3.8236424383140801</v>
      </c>
      <c r="G497" s="7">
        <f t="shared" si="22"/>
        <v>4.0476320000000001</v>
      </c>
      <c r="H497" s="7">
        <f t="shared" si="23"/>
        <v>0.22398956168591999</v>
      </c>
      <c r="I497" s="8">
        <v>5.5338420510045901E-2</v>
      </c>
      <c r="J497" s="2" t="s">
        <v>67</v>
      </c>
    </row>
    <row r="498" spans="1:10" ht="12.75" customHeight="1">
      <c r="A498" s="1">
        <v>46176</v>
      </c>
      <c r="B498" s="2">
        <v>20</v>
      </c>
      <c r="C498" s="7">
        <v>-5.3474351845163604</v>
      </c>
      <c r="D498" s="7">
        <v>-5.0685979999999997</v>
      </c>
      <c r="E498" s="7">
        <v>-0.27355637051635601</v>
      </c>
      <c r="F498" s="7">
        <f t="shared" si="21"/>
        <v>5.3474351845163604</v>
      </c>
      <c r="G498" s="7">
        <f t="shared" si="22"/>
        <v>5.0685979999999997</v>
      </c>
      <c r="H498" s="7">
        <f t="shared" si="23"/>
        <v>0.27883718451636064</v>
      </c>
      <c r="I498" s="8">
        <v>5.5012684871902702E-2</v>
      </c>
      <c r="J498" s="2" t="s">
        <v>67</v>
      </c>
    </row>
    <row r="499" spans="1:10" ht="12.75" customHeight="1">
      <c r="A499" s="1">
        <v>46185</v>
      </c>
      <c r="B499" s="2">
        <v>5</v>
      </c>
      <c r="C499" s="7">
        <v>-4.1095053703343902</v>
      </c>
      <c r="D499" s="7">
        <v>-3.8962340000000002</v>
      </c>
      <c r="E499" s="7">
        <v>-0.213271370334391</v>
      </c>
      <c r="F499" s="7">
        <f t="shared" si="21"/>
        <v>4.1095053703343902</v>
      </c>
      <c r="G499" s="7">
        <f t="shared" si="22"/>
        <v>3.8962340000000002</v>
      </c>
      <c r="H499" s="7">
        <f t="shared" si="23"/>
        <v>0.21327137033439003</v>
      </c>
      <c r="I499" s="8">
        <v>5.4737823840762902E-2</v>
      </c>
      <c r="J499" s="2" t="s">
        <v>67</v>
      </c>
    </row>
    <row r="500" spans="1:10" ht="12.75" customHeight="1">
      <c r="A500" s="1">
        <v>46198</v>
      </c>
      <c r="B500" s="2">
        <v>22</v>
      </c>
      <c r="C500" s="7">
        <v>-6.5271303192840699</v>
      </c>
      <c r="D500" s="7">
        <v>-6.1904960000000004</v>
      </c>
      <c r="E500" s="7">
        <v>-0.33663431928406801</v>
      </c>
      <c r="F500" s="7">
        <f t="shared" si="21"/>
        <v>6.5271303192840699</v>
      </c>
      <c r="G500" s="7">
        <f t="shared" si="22"/>
        <v>6.1904960000000004</v>
      </c>
      <c r="H500" s="7">
        <f t="shared" si="23"/>
        <v>0.33663431928406951</v>
      </c>
      <c r="I500" s="8">
        <v>5.4379216024704198E-2</v>
      </c>
      <c r="J500" s="2" t="s">
        <v>67</v>
      </c>
    </row>
    <row r="501" spans="1:10" ht="12.75" customHeight="1">
      <c r="A501" s="1">
        <v>46187</v>
      </c>
      <c r="B501" s="2">
        <v>1</v>
      </c>
      <c r="C501" s="7">
        <v>-3.5809836184121302</v>
      </c>
      <c r="D501" s="7">
        <v>-3.3967499999999999</v>
      </c>
      <c r="E501" s="7">
        <v>-0.18423361841212499</v>
      </c>
      <c r="F501" s="7">
        <f t="shared" si="21"/>
        <v>3.5809836184121302</v>
      </c>
      <c r="G501" s="7">
        <f t="shared" si="22"/>
        <v>3.3967499999999999</v>
      </c>
      <c r="H501" s="7">
        <f t="shared" si="23"/>
        <v>0.18423361841213026</v>
      </c>
      <c r="I501" s="8">
        <v>5.4238203698277698E-2</v>
      </c>
      <c r="J501" s="2" t="s">
        <v>67</v>
      </c>
    </row>
    <row r="502" spans="1:10" ht="12.75" customHeight="1">
      <c r="A502" s="1">
        <v>46191</v>
      </c>
      <c r="B502" s="2">
        <v>6</v>
      </c>
      <c r="C502" s="7">
        <v>-3.5892566014111602</v>
      </c>
      <c r="D502" s="7">
        <v>-3.793361</v>
      </c>
      <c r="E502" s="7">
        <v>0.21717573958884401</v>
      </c>
      <c r="F502" s="7">
        <f t="shared" si="21"/>
        <v>3.5892566014111602</v>
      </c>
      <c r="G502" s="7">
        <f t="shared" si="22"/>
        <v>3.793361</v>
      </c>
      <c r="H502" s="7">
        <f t="shared" si="23"/>
        <v>0.20410439858883977</v>
      </c>
      <c r="I502" s="8">
        <v>5.3805688039931902E-2</v>
      </c>
      <c r="J502" s="2" t="s">
        <v>67</v>
      </c>
    </row>
    <row r="503" spans="1:10" ht="12.75" customHeight="1">
      <c r="A503" s="1">
        <v>46194</v>
      </c>
      <c r="B503" s="2">
        <v>7</v>
      </c>
      <c r="C503" s="7">
        <v>-2.3875332369577</v>
      </c>
      <c r="D503" s="7">
        <v>-2.2683819999999999</v>
      </c>
      <c r="E503" s="7">
        <v>9.3937436642300406E-2</v>
      </c>
      <c r="F503" s="7">
        <f t="shared" si="21"/>
        <v>2.3875332369577</v>
      </c>
      <c r="G503" s="7">
        <f t="shared" si="22"/>
        <v>2.2683819999999999</v>
      </c>
      <c r="H503" s="7">
        <f t="shared" si="23"/>
        <v>0.11915123695770014</v>
      </c>
      <c r="I503" s="8">
        <v>5.2526971628984703E-2</v>
      </c>
      <c r="J503" s="2" t="s">
        <v>67</v>
      </c>
    </row>
    <row r="504" spans="1:10" ht="12.75" customHeight="1">
      <c r="A504" s="1">
        <v>46198</v>
      </c>
      <c r="B504" s="2">
        <v>3</v>
      </c>
      <c r="C504" s="7">
        <v>-3.9768653700159802</v>
      </c>
      <c r="D504" s="7">
        <v>-3.7791269999999999</v>
      </c>
      <c r="E504" s="7">
        <v>-0.197738370015975</v>
      </c>
      <c r="F504" s="7">
        <f t="shared" si="21"/>
        <v>3.9768653700159802</v>
      </c>
      <c r="G504" s="7">
        <f t="shared" si="22"/>
        <v>3.7791269999999999</v>
      </c>
      <c r="H504" s="7">
        <f t="shared" si="23"/>
        <v>0.19773837001598027</v>
      </c>
      <c r="I504" s="8">
        <v>5.2323822410830702E-2</v>
      </c>
      <c r="J504" s="2" t="s">
        <v>67</v>
      </c>
    </row>
    <row r="505" spans="1:10" ht="12.75" customHeight="1">
      <c r="A505" s="1">
        <v>46197</v>
      </c>
      <c r="B505" s="2">
        <v>8</v>
      </c>
      <c r="C505" s="7">
        <v>-3.3609097510482102</v>
      </c>
      <c r="D505" s="7">
        <v>-3.5462069999999999</v>
      </c>
      <c r="E505" s="7">
        <v>0.53187056295179003</v>
      </c>
      <c r="F505" s="7">
        <f t="shared" si="21"/>
        <v>3.3609097510482102</v>
      </c>
      <c r="G505" s="7">
        <f t="shared" si="22"/>
        <v>3.5462069999999999</v>
      </c>
      <c r="H505" s="7">
        <f t="shared" si="23"/>
        <v>0.18529724895178967</v>
      </c>
      <c r="I505" s="8">
        <v>5.2252237094955301E-2</v>
      </c>
      <c r="J505" s="2" t="s">
        <v>67</v>
      </c>
    </row>
    <row r="506" spans="1:10" ht="12.75" customHeight="1">
      <c r="A506" s="1">
        <v>46188</v>
      </c>
      <c r="B506" s="2">
        <v>9</v>
      </c>
      <c r="C506" s="7">
        <v>-3.5976136129163399</v>
      </c>
      <c r="D506" s="7">
        <v>-3.795302</v>
      </c>
      <c r="E506" s="7">
        <v>0.64365345288366305</v>
      </c>
      <c r="F506" s="7">
        <f t="shared" si="21"/>
        <v>3.5976136129163399</v>
      </c>
      <c r="G506" s="7">
        <f t="shared" si="22"/>
        <v>3.795302</v>
      </c>
      <c r="H506" s="7">
        <f t="shared" si="23"/>
        <v>0.1976883870836601</v>
      </c>
      <c r="I506" s="8">
        <v>5.2087656551089601E-2</v>
      </c>
      <c r="J506" s="2" t="s">
        <v>67</v>
      </c>
    </row>
    <row r="507" spans="1:10" ht="12.75" customHeight="1">
      <c r="A507" s="1">
        <v>46186</v>
      </c>
      <c r="B507" s="2">
        <v>22</v>
      </c>
      <c r="C507" s="7">
        <v>-5.2579865751848702</v>
      </c>
      <c r="D507" s="7">
        <v>-5.5434960000000002</v>
      </c>
      <c r="E507" s="7">
        <v>0.28550942481512598</v>
      </c>
      <c r="F507" s="7">
        <f t="shared" si="21"/>
        <v>5.2579865751848702</v>
      </c>
      <c r="G507" s="7">
        <f t="shared" si="22"/>
        <v>5.5434960000000002</v>
      </c>
      <c r="H507" s="7">
        <f t="shared" si="23"/>
        <v>0.28550942481512998</v>
      </c>
      <c r="I507" s="8">
        <v>5.1503496135854802E-2</v>
      </c>
      <c r="J507" s="2" t="s">
        <v>67</v>
      </c>
    </row>
    <row r="508" spans="1:10" ht="12.75" customHeight="1">
      <c r="A508" s="1">
        <v>46195</v>
      </c>
      <c r="B508" s="2">
        <v>21</v>
      </c>
      <c r="C508" s="7">
        <v>-6.1625520367646001</v>
      </c>
      <c r="D508" s="7">
        <v>-6.4965270000000004</v>
      </c>
      <c r="E508" s="7">
        <v>0.33397496323539999</v>
      </c>
      <c r="F508" s="7">
        <f t="shared" si="21"/>
        <v>6.1625520367646001</v>
      </c>
      <c r="G508" s="7">
        <f t="shared" si="22"/>
        <v>6.4965270000000004</v>
      </c>
      <c r="H508" s="7">
        <f t="shared" si="23"/>
        <v>0.33397496323540032</v>
      </c>
      <c r="I508" s="8">
        <v>5.1408231388155597E-2</v>
      </c>
      <c r="J508" s="2" t="s">
        <v>67</v>
      </c>
    </row>
    <row r="509" spans="1:10" ht="12.75" customHeight="1">
      <c r="A509" s="1">
        <v>46195</v>
      </c>
      <c r="B509" s="2">
        <v>19</v>
      </c>
      <c r="C509" s="7">
        <v>-5.08167888033016</v>
      </c>
      <c r="D509" s="7">
        <v>-4.8337370000000002</v>
      </c>
      <c r="E509" s="7">
        <v>-0.15353811033015799</v>
      </c>
      <c r="F509" s="7">
        <f t="shared" si="21"/>
        <v>5.08167888033016</v>
      </c>
      <c r="G509" s="7">
        <f t="shared" si="22"/>
        <v>4.8337370000000002</v>
      </c>
      <c r="H509" s="7">
        <f t="shared" si="23"/>
        <v>0.24794188033015985</v>
      </c>
      <c r="I509" s="8">
        <v>5.1294036131911601E-2</v>
      </c>
      <c r="J509" s="2" t="s">
        <v>67</v>
      </c>
    </row>
    <row r="510" spans="1:10" ht="12.75" customHeight="1">
      <c r="A510" s="1">
        <v>46190</v>
      </c>
      <c r="B510" s="2">
        <v>6</v>
      </c>
      <c r="C510" s="7">
        <v>-3.4963651095202701</v>
      </c>
      <c r="D510" s="7">
        <v>-3.6853120000000001</v>
      </c>
      <c r="E510" s="7">
        <v>0.20070378627973101</v>
      </c>
      <c r="F510" s="7">
        <f t="shared" si="21"/>
        <v>3.4963651095202701</v>
      </c>
      <c r="G510" s="7">
        <f t="shared" si="22"/>
        <v>3.6853120000000001</v>
      </c>
      <c r="H510" s="7">
        <f t="shared" si="23"/>
        <v>0.18894689047973001</v>
      </c>
      <c r="I510" s="8">
        <v>5.1270256217039699E-2</v>
      </c>
      <c r="J510" s="2" t="s">
        <v>67</v>
      </c>
    </row>
    <row r="511" spans="1:10" ht="12.75" customHeight="1">
      <c r="A511" s="1">
        <v>46190</v>
      </c>
      <c r="B511" s="2">
        <v>14</v>
      </c>
      <c r="C511" s="7">
        <v>-4.0592451813683796</v>
      </c>
      <c r="D511" s="7">
        <v>-4.2779639999999999</v>
      </c>
      <c r="E511" s="7">
        <v>0.94342740063162001</v>
      </c>
      <c r="F511" s="7">
        <f t="shared" si="21"/>
        <v>4.0592451813683796</v>
      </c>
      <c r="G511" s="7">
        <f t="shared" si="22"/>
        <v>4.2779639999999999</v>
      </c>
      <c r="H511" s="7">
        <f t="shared" si="23"/>
        <v>0.21871881863162024</v>
      </c>
      <c r="I511" s="8">
        <v>5.1126848807428002E-2</v>
      </c>
      <c r="J511" s="2" t="s">
        <v>67</v>
      </c>
    </row>
    <row r="512" spans="1:10" ht="12.75" customHeight="1">
      <c r="A512" s="1">
        <v>46181</v>
      </c>
      <c r="B512" s="2">
        <v>5</v>
      </c>
      <c r="C512" s="7">
        <v>-3.1177705770794599</v>
      </c>
      <c r="D512" s="7">
        <v>-3.285466</v>
      </c>
      <c r="E512" s="7">
        <v>0.16769542292054301</v>
      </c>
      <c r="F512" s="7">
        <f t="shared" si="21"/>
        <v>3.1177705770794599</v>
      </c>
      <c r="G512" s="7">
        <f t="shared" si="22"/>
        <v>3.285466</v>
      </c>
      <c r="H512" s="7">
        <f t="shared" si="23"/>
        <v>0.16769542292054007</v>
      </c>
      <c r="I512" s="8">
        <v>5.10415943797752E-2</v>
      </c>
      <c r="J512" s="2" t="s">
        <v>67</v>
      </c>
    </row>
    <row r="513" spans="1:10" ht="12.75" customHeight="1">
      <c r="A513" s="1">
        <v>46189</v>
      </c>
      <c r="B513" s="2">
        <v>15</v>
      </c>
      <c r="C513" s="7">
        <v>-4.3091335345560804</v>
      </c>
      <c r="D513" s="7">
        <v>-4.1000389999999998</v>
      </c>
      <c r="E513" s="7">
        <v>0.42756058244391998</v>
      </c>
      <c r="F513" s="7">
        <f t="shared" si="21"/>
        <v>4.3091335345560804</v>
      </c>
      <c r="G513" s="7">
        <f t="shared" si="22"/>
        <v>4.1000389999999998</v>
      </c>
      <c r="H513" s="7">
        <f t="shared" si="23"/>
        <v>0.20909453455608062</v>
      </c>
      <c r="I513" s="8">
        <v>5.0998181860240799E-2</v>
      </c>
      <c r="J513" s="2" t="s">
        <v>67</v>
      </c>
    </row>
    <row r="514" spans="1:10" ht="12.75" customHeight="1">
      <c r="A514" s="1">
        <v>46191</v>
      </c>
      <c r="B514" s="2">
        <v>18</v>
      </c>
      <c r="C514" s="7">
        <v>-4.9079094260779002</v>
      </c>
      <c r="D514" s="7">
        <v>-4.6739280000000001</v>
      </c>
      <c r="E514" s="7">
        <v>1.6800949922103601E-2</v>
      </c>
      <c r="F514" s="7">
        <f t="shared" ref="F514:F577" si="24">ABS(C514)</f>
        <v>4.9079094260779002</v>
      </c>
      <c r="G514" s="7">
        <f t="shared" ref="G514:G577" si="25">ABS(D514)</f>
        <v>4.6739280000000001</v>
      </c>
      <c r="H514" s="7">
        <f t="shared" ref="H514:H577" si="26">ABS(G514-F514)</f>
        <v>0.23398142607790007</v>
      </c>
      <c r="I514" s="8">
        <v>5.0060982128500103E-2</v>
      </c>
      <c r="J514" s="2" t="s">
        <v>67</v>
      </c>
    </row>
    <row r="515" spans="1:10" ht="12.75" customHeight="1">
      <c r="A515" s="1">
        <v>46188</v>
      </c>
      <c r="B515" s="2">
        <v>10</v>
      </c>
      <c r="C515" s="7">
        <v>-4.1348843365588301</v>
      </c>
      <c r="D515" s="7">
        <v>-3.9382890000000002</v>
      </c>
      <c r="E515" s="7">
        <v>0.45851726704117401</v>
      </c>
      <c r="F515" s="7">
        <f t="shared" si="24"/>
        <v>4.1348843365588301</v>
      </c>
      <c r="G515" s="7">
        <f t="shared" si="25"/>
        <v>3.9382890000000002</v>
      </c>
      <c r="H515" s="7">
        <f t="shared" si="26"/>
        <v>0.19659533655882999</v>
      </c>
      <c r="I515" s="8">
        <v>4.9918971553084598E-2</v>
      </c>
      <c r="J515" s="2" t="s">
        <v>67</v>
      </c>
    </row>
    <row r="516" spans="1:10" ht="12.75" customHeight="1">
      <c r="A516" s="1">
        <v>46179</v>
      </c>
      <c r="B516" s="2">
        <v>21</v>
      </c>
      <c r="C516" s="7">
        <v>-5.3681697799656298</v>
      </c>
      <c r="D516" s="7">
        <v>-5.1138880000000002</v>
      </c>
      <c r="E516" s="7">
        <v>-0.254277897965625</v>
      </c>
      <c r="F516" s="7">
        <f t="shared" si="24"/>
        <v>5.3681697799656298</v>
      </c>
      <c r="G516" s="7">
        <f t="shared" si="25"/>
        <v>5.1138880000000002</v>
      </c>
      <c r="H516" s="7">
        <f t="shared" si="26"/>
        <v>0.25428177996562962</v>
      </c>
      <c r="I516" s="8">
        <v>4.9723767897463703E-2</v>
      </c>
      <c r="J516" s="2" t="s">
        <v>67</v>
      </c>
    </row>
    <row r="517" spans="1:10" ht="12.75" customHeight="1">
      <c r="A517" s="1">
        <v>46198</v>
      </c>
      <c r="B517" s="2">
        <v>6</v>
      </c>
      <c r="C517" s="7">
        <v>-3.6877926269302099</v>
      </c>
      <c r="D517" s="7">
        <v>-3.5132099999999999</v>
      </c>
      <c r="E517" s="7">
        <v>-0.16132818493020701</v>
      </c>
      <c r="F517" s="7">
        <f t="shared" si="24"/>
        <v>3.6877926269302099</v>
      </c>
      <c r="G517" s="7">
        <f t="shared" si="25"/>
        <v>3.5132099999999999</v>
      </c>
      <c r="H517" s="7">
        <f t="shared" si="26"/>
        <v>0.17458262693020998</v>
      </c>
      <c r="I517" s="8">
        <v>4.9693194238376502E-2</v>
      </c>
      <c r="J517" s="2" t="s">
        <v>67</v>
      </c>
    </row>
    <row r="518" spans="1:10" ht="12.75" customHeight="1">
      <c r="A518" s="1">
        <v>46189</v>
      </c>
      <c r="B518" s="2">
        <v>16</v>
      </c>
      <c r="C518" s="7">
        <v>-4.2786151990516696</v>
      </c>
      <c r="D518" s="7">
        <v>-4.0767470000000001</v>
      </c>
      <c r="E518" s="7">
        <v>0.38492586294833198</v>
      </c>
      <c r="F518" s="7">
        <f t="shared" si="24"/>
        <v>4.2786151990516696</v>
      </c>
      <c r="G518" s="7">
        <f t="shared" si="25"/>
        <v>4.0767470000000001</v>
      </c>
      <c r="H518" s="7">
        <f t="shared" si="26"/>
        <v>0.20186819905166953</v>
      </c>
      <c r="I518" s="8">
        <v>4.95169798497841E-2</v>
      </c>
      <c r="J518" s="2" t="s">
        <v>67</v>
      </c>
    </row>
    <row r="519" spans="1:10" ht="12.75" customHeight="1">
      <c r="A519" s="1">
        <v>46191</v>
      </c>
      <c r="B519" s="2">
        <v>24</v>
      </c>
      <c r="C519" s="7">
        <v>-4.3787610174520202</v>
      </c>
      <c r="D519" s="7">
        <v>-4.6066399999999996</v>
      </c>
      <c r="E519" s="7">
        <v>0.227878982547979</v>
      </c>
      <c r="F519" s="7">
        <f t="shared" si="24"/>
        <v>4.3787610174520202</v>
      </c>
      <c r="G519" s="7">
        <f t="shared" si="25"/>
        <v>4.6066399999999996</v>
      </c>
      <c r="H519" s="7">
        <f t="shared" si="26"/>
        <v>0.22787898254797945</v>
      </c>
      <c r="I519" s="8">
        <v>4.94675039829418E-2</v>
      </c>
      <c r="J519" s="2" t="s">
        <v>68</v>
      </c>
    </row>
    <row r="520" spans="1:10" ht="12.75" customHeight="1">
      <c r="A520" s="1">
        <v>46184</v>
      </c>
      <c r="B520" s="2">
        <v>17</v>
      </c>
      <c r="C520" s="7">
        <v>-4.7087370575605103</v>
      </c>
      <c r="D520" s="7">
        <v>-4.4869450000000004</v>
      </c>
      <c r="E520" s="7">
        <v>0.178571542439487</v>
      </c>
      <c r="F520" s="7">
        <f t="shared" si="24"/>
        <v>4.7087370575605103</v>
      </c>
      <c r="G520" s="7">
        <f t="shared" si="25"/>
        <v>4.4869450000000004</v>
      </c>
      <c r="H520" s="7">
        <f t="shared" si="26"/>
        <v>0.2217920575605099</v>
      </c>
      <c r="I520" s="8">
        <v>4.9430527354472398E-2</v>
      </c>
      <c r="J520" s="2" t="s">
        <v>68</v>
      </c>
    </row>
    <row r="521" spans="1:10" ht="12.75" customHeight="1">
      <c r="A521" s="1">
        <v>46187</v>
      </c>
      <c r="B521" s="2">
        <v>2</v>
      </c>
      <c r="C521" s="7">
        <v>-3.4860852554845998</v>
      </c>
      <c r="D521" s="7">
        <v>-3.3223449999999999</v>
      </c>
      <c r="E521" s="7">
        <v>-0.163740255484599</v>
      </c>
      <c r="F521" s="7">
        <f t="shared" si="24"/>
        <v>3.4860852554845998</v>
      </c>
      <c r="G521" s="7">
        <f t="shared" si="25"/>
        <v>3.3223449999999999</v>
      </c>
      <c r="H521" s="7">
        <f t="shared" si="26"/>
        <v>0.16374025548459992</v>
      </c>
      <c r="I521" s="8">
        <v>4.9284543141846798E-2</v>
      </c>
      <c r="J521" s="2" t="s">
        <v>68</v>
      </c>
    </row>
    <row r="522" spans="1:10" ht="12.75" customHeight="1">
      <c r="A522" s="1">
        <v>46193</v>
      </c>
      <c r="B522" s="2">
        <v>3</v>
      </c>
      <c r="C522" s="7">
        <v>-3.7688609641826698</v>
      </c>
      <c r="D522" s="7">
        <v>-3.5921439999999998</v>
      </c>
      <c r="E522" s="7">
        <v>-0.17671696418266999</v>
      </c>
      <c r="F522" s="7">
        <f t="shared" si="24"/>
        <v>3.7688609641826698</v>
      </c>
      <c r="G522" s="7">
        <f t="shared" si="25"/>
        <v>3.5921439999999998</v>
      </c>
      <c r="H522" s="7">
        <f t="shared" si="26"/>
        <v>0.17671696418267002</v>
      </c>
      <c r="I522" s="8">
        <v>4.9195400903379601E-2</v>
      </c>
      <c r="J522" s="2" t="s">
        <v>68</v>
      </c>
    </row>
    <row r="523" spans="1:10" ht="12.75" customHeight="1">
      <c r="A523" s="1">
        <v>46194</v>
      </c>
      <c r="B523" s="2">
        <v>20</v>
      </c>
      <c r="C523" s="7">
        <v>-4.4115248057521903</v>
      </c>
      <c r="D523" s="7">
        <v>-4.6396369999999996</v>
      </c>
      <c r="E523" s="7">
        <v>0.27844607684781297</v>
      </c>
      <c r="F523" s="7">
        <f t="shared" si="24"/>
        <v>4.4115248057521903</v>
      </c>
      <c r="G523" s="7">
        <f t="shared" si="25"/>
        <v>4.6396369999999996</v>
      </c>
      <c r="H523" s="7">
        <f t="shared" si="26"/>
        <v>0.22811219424780926</v>
      </c>
      <c r="I523" s="8">
        <v>4.9165957217733501E-2</v>
      </c>
      <c r="J523" s="2" t="s">
        <v>68</v>
      </c>
    </row>
    <row r="524" spans="1:10" ht="12.75" customHeight="1">
      <c r="A524" s="1">
        <v>46191</v>
      </c>
      <c r="B524" s="2">
        <v>21</v>
      </c>
      <c r="C524" s="7">
        <v>-6.1265454371402797</v>
      </c>
      <c r="D524" s="7">
        <v>-6.4408849999999997</v>
      </c>
      <c r="E524" s="7">
        <v>0.31433956285971598</v>
      </c>
      <c r="F524" s="7">
        <f t="shared" si="24"/>
        <v>6.1265454371402797</v>
      </c>
      <c r="G524" s="7">
        <f t="shared" si="25"/>
        <v>6.4408849999999997</v>
      </c>
      <c r="H524" s="7">
        <f t="shared" si="26"/>
        <v>0.31433956285972009</v>
      </c>
      <c r="I524" s="8">
        <v>4.8803784396044297E-2</v>
      </c>
      <c r="J524" s="2" t="s">
        <v>68</v>
      </c>
    </row>
    <row r="525" spans="1:10" ht="12.75" customHeight="1">
      <c r="A525" s="1">
        <v>46183</v>
      </c>
      <c r="B525" s="2">
        <v>6</v>
      </c>
      <c r="C525" s="7">
        <v>-3.6383763128371398</v>
      </c>
      <c r="D525" s="7">
        <v>-3.469214</v>
      </c>
      <c r="E525" s="7">
        <v>-0.16244192383713599</v>
      </c>
      <c r="F525" s="7">
        <f t="shared" si="24"/>
        <v>3.6383763128371398</v>
      </c>
      <c r="G525" s="7">
        <f t="shared" si="25"/>
        <v>3.469214</v>
      </c>
      <c r="H525" s="7">
        <f t="shared" si="26"/>
        <v>0.16916231283713978</v>
      </c>
      <c r="I525" s="8">
        <v>4.87609910593974E-2</v>
      </c>
      <c r="J525" s="2" t="s">
        <v>68</v>
      </c>
    </row>
    <row r="526" spans="1:10" ht="12.75" customHeight="1">
      <c r="A526" s="1">
        <v>46196</v>
      </c>
      <c r="B526" s="2">
        <v>23</v>
      </c>
      <c r="C526" s="7">
        <v>-5.29974445347528</v>
      </c>
      <c r="D526" s="7">
        <v>-5.5706699999999998</v>
      </c>
      <c r="E526" s="7">
        <v>0.27092554652471901</v>
      </c>
      <c r="F526" s="7">
        <f t="shared" si="24"/>
        <v>5.29974445347528</v>
      </c>
      <c r="G526" s="7">
        <f t="shared" si="25"/>
        <v>5.5706699999999998</v>
      </c>
      <c r="H526" s="7">
        <f t="shared" si="26"/>
        <v>0.27092554652471978</v>
      </c>
      <c r="I526" s="8">
        <v>4.8634283941558103E-2</v>
      </c>
      <c r="J526" s="2" t="s">
        <v>68</v>
      </c>
    </row>
    <row r="527" spans="1:10" ht="12.75" customHeight="1">
      <c r="A527" s="1">
        <v>46186</v>
      </c>
      <c r="B527" s="2">
        <v>3</v>
      </c>
      <c r="C527" s="7">
        <v>-3.8764010077428401</v>
      </c>
      <c r="D527" s="7">
        <v>-4.073512</v>
      </c>
      <c r="E527" s="7">
        <v>0.197110992257157</v>
      </c>
      <c r="F527" s="7">
        <f t="shared" si="24"/>
        <v>3.8764010077428401</v>
      </c>
      <c r="G527" s="7">
        <f t="shared" si="25"/>
        <v>4.073512</v>
      </c>
      <c r="H527" s="7">
        <f t="shared" si="26"/>
        <v>0.19711099225715989</v>
      </c>
      <c r="I527" s="8">
        <v>4.8388464857144702E-2</v>
      </c>
      <c r="J527" s="2" t="s">
        <v>68</v>
      </c>
    </row>
    <row r="528" spans="1:10" ht="12.75" customHeight="1">
      <c r="A528" s="1">
        <v>46192</v>
      </c>
      <c r="B528" s="2">
        <v>21</v>
      </c>
      <c r="C528" s="7">
        <v>-6.0400042067673603</v>
      </c>
      <c r="D528" s="7">
        <v>-6.3470700000000004</v>
      </c>
      <c r="E528" s="7">
        <v>0.30707873323263801</v>
      </c>
      <c r="F528" s="7">
        <f t="shared" si="24"/>
        <v>6.0400042067673603</v>
      </c>
      <c r="G528" s="7">
        <f t="shared" si="25"/>
        <v>6.3470700000000004</v>
      </c>
      <c r="H528" s="7">
        <f t="shared" si="26"/>
        <v>0.30706579323264016</v>
      </c>
      <c r="I528" s="8">
        <v>4.8379140805543001E-2</v>
      </c>
      <c r="J528" s="2" t="s">
        <v>68</v>
      </c>
    </row>
    <row r="529" spans="1:10" ht="12.75" customHeight="1">
      <c r="A529" s="1">
        <v>46195</v>
      </c>
      <c r="B529" s="2">
        <v>4</v>
      </c>
      <c r="C529" s="7">
        <v>-3.2086776364674501</v>
      </c>
      <c r="D529" s="7">
        <v>-3.3715169999999999</v>
      </c>
      <c r="E529" s="7">
        <v>0.16283936353254699</v>
      </c>
      <c r="F529" s="7">
        <f t="shared" si="24"/>
        <v>3.2086776364674501</v>
      </c>
      <c r="G529" s="7">
        <f t="shared" si="25"/>
        <v>3.3715169999999999</v>
      </c>
      <c r="H529" s="7">
        <f t="shared" si="26"/>
        <v>0.1628393635325498</v>
      </c>
      <c r="I529" s="8">
        <v>4.8298544403764403E-2</v>
      </c>
      <c r="J529" s="2" t="s">
        <v>68</v>
      </c>
    </row>
    <row r="530" spans="1:10" ht="12.75" customHeight="1">
      <c r="A530" s="1">
        <v>46193</v>
      </c>
      <c r="B530" s="2">
        <v>21</v>
      </c>
      <c r="C530" s="7">
        <v>-5.6816981403880797</v>
      </c>
      <c r="D530" s="7">
        <v>-5.9685750000000004</v>
      </c>
      <c r="E530" s="7">
        <v>0.28690273961192098</v>
      </c>
      <c r="F530" s="7">
        <f t="shared" si="24"/>
        <v>5.6816981403880797</v>
      </c>
      <c r="G530" s="7">
        <f t="shared" si="25"/>
        <v>5.9685750000000004</v>
      </c>
      <c r="H530" s="7">
        <f t="shared" si="26"/>
        <v>0.28687685961192066</v>
      </c>
      <c r="I530" s="8">
        <v>4.8064548005499003E-2</v>
      </c>
      <c r="J530" s="2" t="s">
        <v>68</v>
      </c>
    </row>
    <row r="531" spans="1:10" ht="12.75" customHeight="1">
      <c r="A531" s="1">
        <v>46175</v>
      </c>
      <c r="B531" s="2">
        <v>21</v>
      </c>
      <c r="C531" s="7">
        <v>-5.5706227254750997</v>
      </c>
      <c r="D531" s="7">
        <v>-5.3170460000000004</v>
      </c>
      <c r="E531" s="7">
        <v>-0.25357672547510202</v>
      </c>
      <c r="F531" s="7">
        <f t="shared" si="24"/>
        <v>5.5706227254750997</v>
      </c>
      <c r="G531" s="7">
        <f t="shared" si="25"/>
        <v>5.3170460000000004</v>
      </c>
      <c r="H531" s="7">
        <f t="shared" si="26"/>
        <v>0.25357672547509935</v>
      </c>
      <c r="I531" s="8">
        <v>4.7691279231946097E-2</v>
      </c>
      <c r="J531" s="2" t="s">
        <v>68</v>
      </c>
    </row>
    <row r="532" spans="1:10" ht="12.75" customHeight="1">
      <c r="A532" s="1">
        <v>46176</v>
      </c>
      <c r="B532" s="2">
        <v>24</v>
      </c>
      <c r="C532" s="7">
        <v>-4.1836881966799897</v>
      </c>
      <c r="D532" s="7">
        <v>-3.9939309999999999</v>
      </c>
      <c r="E532" s="7">
        <v>-0.189757196679993</v>
      </c>
      <c r="F532" s="7">
        <f t="shared" si="24"/>
        <v>4.1836881966799897</v>
      </c>
      <c r="G532" s="7">
        <f t="shared" si="25"/>
        <v>3.9939309999999999</v>
      </c>
      <c r="H532" s="7">
        <f t="shared" si="26"/>
        <v>0.1897571966799898</v>
      </c>
      <c r="I532" s="8">
        <v>4.7511385820133797E-2</v>
      </c>
      <c r="J532" s="2" t="s">
        <v>68</v>
      </c>
    </row>
    <row r="533" spans="1:10" ht="12.75" customHeight="1">
      <c r="A533" s="1">
        <v>46195</v>
      </c>
      <c r="B533" s="2">
        <v>7</v>
      </c>
      <c r="C533" s="7">
        <v>-2.7241573722646502</v>
      </c>
      <c r="D533" s="7">
        <v>-2.6015869999999999</v>
      </c>
      <c r="E533" s="7">
        <v>6.0551331735354097E-2</v>
      </c>
      <c r="F533" s="7">
        <f t="shared" si="24"/>
        <v>2.7241573722646502</v>
      </c>
      <c r="G533" s="7">
        <f t="shared" si="25"/>
        <v>2.6015869999999999</v>
      </c>
      <c r="H533" s="7">
        <f t="shared" si="26"/>
        <v>0.12257037226465028</v>
      </c>
      <c r="I533" s="8">
        <v>4.7113693397393901E-2</v>
      </c>
      <c r="J533" s="2" t="s">
        <v>68</v>
      </c>
    </row>
    <row r="534" spans="1:10" ht="12.75" customHeight="1">
      <c r="A534" s="1">
        <v>46199</v>
      </c>
      <c r="B534" s="2">
        <v>22</v>
      </c>
      <c r="C534" s="7">
        <v>-5.7849023149984697</v>
      </c>
      <c r="D534" s="7">
        <v>-6.0708010000000003</v>
      </c>
      <c r="E534" s="7">
        <v>0.28589868500152599</v>
      </c>
      <c r="F534" s="7">
        <f t="shared" si="24"/>
        <v>5.7849023149984697</v>
      </c>
      <c r="G534" s="7">
        <f t="shared" si="25"/>
        <v>6.0708010000000003</v>
      </c>
      <c r="H534" s="7">
        <f t="shared" si="26"/>
        <v>0.28589868500153059</v>
      </c>
      <c r="I534" s="8">
        <v>4.7094063040696903E-2</v>
      </c>
      <c r="J534" s="2" t="s">
        <v>68</v>
      </c>
    </row>
    <row r="535" spans="1:10" ht="12.75" customHeight="1">
      <c r="A535" s="1">
        <v>46190</v>
      </c>
      <c r="B535" s="2">
        <v>1</v>
      </c>
      <c r="C535" s="7">
        <v>-4.04652441485434</v>
      </c>
      <c r="D535" s="7">
        <v>-4.2462609999999996</v>
      </c>
      <c r="E535" s="7">
        <v>0.199736585145662</v>
      </c>
      <c r="F535" s="7">
        <f t="shared" si="24"/>
        <v>4.04652441485434</v>
      </c>
      <c r="G535" s="7">
        <f t="shared" si="25"/>
        <v>4.2462609999999996</v>
      </c>
      <c r="H535" s="7">
        <f t="shared" si="26"/>
        <v>0.19973658514565962</v>
      </c>
      <c r="I535" s="8">
        <v>4.7038226134865899E-2</v>
      </c>
      <c r="J535" s="2" t="s">
        <v>68</v>
      </c>
    </row>
    <row r="536" spans="1:10" ht="12.75" customHeight="1">
      <c r="A536" s="1">
        <v>46182</v>
      </c>
      <c r="B536" s="2">
        <v>7</v>
      </c>
      <c r="C536" s="7">
        <v>-3.2091472448744001</v>
      </c>
      <c r="D536" s="7">
        <v>-3.365694</v>
      </c>
      <c r="E536" s="7">
        <v>0.20577413832559999</v>
      </c>
      <c r="F536" s="7">
        <f t="shared" si="24"/>
        <v>3.2091472448744001</v>
      </c>
      <c r="G536" s="7">
        <f t="shared" si="25"/>
        <v>3.365694</v>
      </c>
      <c r="H536" s="7">
        <f t="shared" si="26"/>
        <v>0.1565467551255999</v>
      </c>
      <c r="I536" s="8">
        <v>4.6512474136270202E-2</v>
      </c>
      <c r="J536" s="2" t="s">
        <v>68</v>
      </c>
    </row>
    <row r="537" spans="1:10" ht="12.75" customHeight="1">
      <c r="A537" s="1">
        <v>46188</v>
      </c>
      <c r="B537" s="2">
        <v>17</v>
      </c>
      <c r="C537" s="7">
        <v>-4.2339929910879102</v>
      </c>
      <c r="D537" s="7">
        <v>-4.4390669999999997</v>
      </c>
      <c r="E537" s="7">
        <v>0.59612818471209095</v>
      </c>
      <c r="F537" s="7">
        <f t="shared" si="24"/>
        <v>4.2339929910879102</v>
      </c>
      <c r="G537" s="7">
        <f t="shared" si="25"/>
        <v>4.4390669999999997</v>
      </c>
      <c r="H537" s="7">
        <f t="shared" si="26"/>
        <v>0.20507400891208949</v>
      </c>
      <c r="I537" s="8">
        <v>4.61975475729677E-2</v>
      </c>
      <c r="J537" s="2" t="s">
        <v>68</v>
      </c>
    </row>
    <row r="538" spans="1:10" ht="12.75" customHeight="1">
      <c r="A538" s="1">
        <v>46181</v>
      </c>
      <c r="B538" s="2">
        <v>3</v>
      </c>
      <c r="C538" s="7">
        <v>-3.1743882488130799</v>
      </c>
      <c r="D538" s="7">
        <v>-3.3268740000000001</v>
      </c>
      <c r="E538" s="7">
        <v>0.15248575118692301</v>
      </c>
      <c r="F538" s="7">
        <f t="shared" si="24"/>
        <v>3.1743882488130799</v>
      </c>
      <c r="G538" s="7">
        <f t="shared" si="25"/>
        <v>3.3268740000000001</v>
      </c>
      <c r="H538" s="7">
        <f t="shared" si="26"/>
        <v>0.1524857511869202</v>
      </c>
      <c r="I538" s="8">
        <v>4.58345435345381E-2</v>
      </c>
      <c r="J538" s="2" t="s">
        <v>68</v>
      </c>
    </row>
    <row r="539" spans="1:10" ht="12.75" customHeight="1">
      <c r="A539" s="1">
        <v>46176</v>
      </c>
      <c r="B539" s="2">
        <v>1</v>
      </c>
      <c r="C539" s="7">
        <v>-3.8444001864391999</v>
      </c>
      <c r="D539" s="7">
        <v>-3.6762540000000001</v>
      </c>
      <c r="E539" s="7">
        <v>-0.16814618643920201</v>
      </c>
      <c r="F539" s="7">
        <f t="shared" si="24"/>
        <v>3.8444001864391999</v>
      </c>
      <c r="G539" s="7">
        <f t="shared" si="25"/>
        <v>3.6762540000000001</v>
      </c>
      <c r="H539" s="7">
        <f t="shared" si="26"/>
        <v>0.16814618643919976</v>
      </c>
      <c r="I539" s="8">
        <v>4.5738457255456701E-2</v>
      </c>
      <c r="J539" s="2" t="s">
        <v>68</v>
      </c>
    </row>
    <row r="540" spans="1:10" ht="12.75" customHeight="1">
      <c r="A540" s="1">
        <v>46182</v>
      </c>
      <c r="B540" s="2">
        <v>3</v>
      </c>
      <c r="C540" s="7">
        <v>-3.9255835227235099</v>
      </c>
      <c r="D540" s="7">
        <v>-3.7538939999999998</v>
      </c>
      <c r="E540" s="7">
        <v>-0.17168952272350499</v>
      </c>
      <c r="F540" s="7">
        <f t="shared" si="24"/>
        <v>3.9255835227235099</v>
      </c>
      <c r="G540" s="7">
        <f t="shared" si="25"/>
        <v>3.7538939999999998</v>
      </c>
      <c r="H540" s="7">
        <f t="shared" si="26"/>
        <v>0.17168952272351001</v>
      </c>
      <c r="I540" s="8">
        <v>4.5736380069204101E-2</v>
      </c>
      <c r="J540" s="2" t="s">
        <v>68</v>
      </c>
    </row>
    <row r="541" spans="1:10" ht="12.75" customHeight="1">
      <c r="A541" s="1">
        <v>46194</v>
      </c>
      <c r="B541" s="2">
        <v>6</v>
      </c>
      <c r="C541" s="7">
        <v>-3.0572143898760999</v>
      </c>
      <c r="D541" s="7">
        <v>-2.9237929999999999</v>
      </c>
      <c r="E541" s="7">
        <v>-0.115638853676099</v>
      </c>
      <c r="F541" s="7">
        <f t="shared" si="24"/>
        <v>3.0572143898760999</v>
      </c>
      <c r="G541" s="7">
        <f t="shared" si="25"/>
        <v>2.9237929999999999</v>
      </c>
      <c r="H541" s="7">
        <f t="shared" si="26"/>
        <v>0.13342138987610008</v>
      </c>
      <c r="I541" s="8">
        <v>4.5632980815023101E-2</v>
      </c>
      <c r="J541" s="2" t="s">
        <v>68</v>
      </c>
    </row>
    <row r="542" spans="1:10" ht="12.75" customHeight="1">
      <c r="A542" s="1">
        <v>46183</v>
      </c>
      <c r="B542" s="2">
        <v>9</v>
      </c>
      <c r="C542" s="7">
        <v>-3.97457135261469</v>
      </c>
      <c r="D542" s="7">
        <v>-4.1640920000000001</v>
      </c>
      <c r="E542" s="7">
        <v>0.48174207938531199</v>
      </c>
      <c r="F542" s="7">
        <f t="shared" si="24"/>
        <v>3.97457135261469</v>
      </c>
      <c r="G542" s="7">
        <f t="shared" si="25"/>
        <v>4.1640920000000001</v>
      </c>
      <c r="H542" s="7">
        <f t="shared" si="26"/>
        <v>0.18952064738531016</v>
      </c>
      <c r="I542" s="8">
        <v>4.5513078814135799E-2</v>
      </c>
      <c r="J542" s="2" t="s">
        <v>68</v>
      </c>
    </row>
    <row r="543" spans="1:10" ht="12.75" customHeight="1">
      <c r="A543" s="1">
        <v>46191</v>
      </c>
      <c r="B543" s="2">
        <v>10</v>
      </c>
      <c r="C543" s="7">
        <v>-4.0535770269801201</v>
      </c>
      <c r="D543" s="7">
        <v>-4.2456139999999998</v>
      </c>
      <c r="E543" s="7">
        <v>0.75940615401988298</v>
      </c>
      <c r="F543" s="7">
        <f t="shared" si="24"/>
        <v>4.0535770269801201</v>
      </c>
      <c r="G543" s="7">
        <f t="shared" si="25"/>
        <v>4.2456139999999998</v>
      </c>
      <c r="H543" s="7">
        <f t="shared" si="26"/>
        <v>0.19203697301987965</v>
      </c>
      <c r="I543" s="8">
        <v>4.5231849390896799E-2</v>
      </c>
      <c r="J543" s="2" t="s">
        <v>68</v>
      </c>
    </row>
    <row r="544" spans="1:10" ht="12.75" customHeight="1">
      <c r="A544" s="1">
        <v>46190</v>
      </c>
      <c r="B544" s="2">
        <v>9</v>
      </c>
      <c r="C544" s="7">
        <v>-3.63500713859725</v>
      </c>
      <c r="D544" s="7">
        <v>-3.8069480000000002</v>
      </c>
      <c r="E544" s="7">
        <v>0.68204083740275201</v>
      </c>
      <c r="F544" s="7">
        <f t="shared" si="24"/>
        <v>3.63500713859725</v>
      </c>
      <c r="G544" s="7">
        <f t="shared" si="25"/>
        <v>3.8069480000000002</v>
      </c>
      <c r="H544" s="7">
        <f t="shared" si="26"/>
        <v>0.17194086140275022</v>
      </c>
      <c r="I544" s="8">
        <v>4.5165014442737898E-2</v>
      </c>
      <c r="J544" s="2" t="s">
        <v>68</v>
      </c>
    </row>
    <row r="545" spans="1:10" ht="12.75" customHeight="1">
      <c r="A545" s="1">
        <v>46195</v>
      </c>
      <c r="B545" s="2">
        <v>20</v>
      </c>
      <c r="C545" s="7">
        <v>-5.8094382234439799</v>
      </c>
      <c r="D545" s="7">
        <v>-6.083094</v>
      </c>
      <c r="E545" s="7">
        <v>0.28540788455602201</v>
      </c>
      <c r="F545" s="7">
        <f t="shared" si="24"/>
        <v>5.8094382234439799</v>
      </c>
      <c r="G545" s="7">
        <f t="shared" si="25"/>
        <v>6.083094</v>
      </c>
      <c r="H545" s="7">
        <f t="shared" si="26"/>
        <v>0.27365577655602014</v>
      </c>
      <c r="I545" s="8">
        <v>4.4986281085911503E-2</v>
      </c>
      <c r="J545" s="2" t="s">
        <v>68</v>
      </c>
    </row>
    <row r="546" spans="1:10" ht="12.75" customHeight="1">
      <c r="A546" s="1">
        <v>46179</v>
      </c>
      <c r="B546" s="2">
        <v>8</v>
      </c>
      <c r="C546" s="7">
        <v>-2.4170768690595099</v>
      </c>
      <c r="D546" s="7">
        <v>-2.5304169999999999</v>
      </c>
      <c r="E546" s="7">
        <v>0.64344172374049402</v>
      </c>
      <c r="F546" s="7">
        <f t="shared" si="24"/>
        <v>2.4170768690595099</v>
      </c>
      <c r="G546" s="7">
        <f t="shared" si="25"/>
        <v>2.5304169999999999</v>
      </c>
      <c r="H546" s="7">
        <f t="shared" si="26"/>
        <v>0.11334013094049</v>
      </c>
      <c r="I546" s="8">
        <v>4.4791088164715297E-2</v>
      </c>
      <c r="J546" s="2" t="s">
        <v>68</v>
      </c>
    </row>
    <row r="547" spans="1:10" ht="12.75" customHeight="1">
      <c r="A547" s="1">
        <v>46186</v>
      </c>
      <c r="B547" s="2">
        <v>4</v>
      </c>
      <c r="C547" s="7">
        <v>-3.8799738987806598</v>
      </c>
      <c r="D547" s="7">
        <v>-4.0618660000000002</v>
      </c>
      <c r="E547" s="7">
        <v>0.18189210121933999</v>
      </c>
      <c r="F547" s="7">
        <f t="shared" si="24"/>
        <v>3.8799738987806598</v>
      </c>
      <c r="G547" s="7">
        <f t="shared" si="25"/>
        <v>4.0618660000000002</v>
      </c>
      <c r="H547" s="7">
        <f t="shared" si="26"/>
        <v>0.18189210121934041</v>
      </c>
      <c r="I547" s="8">
        <v>4.4780428802757198E-2</v>
      </c>
      <c r="J547" s="2" t="s">
        <v>68</v>
      </c>
    </row>
    <row r="548" spans="1:10" ht="12.75" customHeight="1">
      <c r="A548" s="1">
        <v>46195</v>
      </c>
      <c r="B548" s="2">
        <v>3</v>
      </c>
      <c r="C548" s="7">
        <v>-3.2550743238809701</v>
      </c>
      <c r="D548" s="7">
        <v>-3.4058079999999999</v>
      </c>
      <c r="E548" s="7">
        <v>0.15073367611902999</v>
      </c>
      <c r="F548" s="7">
        <f t="shared" si="24"/>
        <v>3.2550743238809701</v>
      </c>
      <c r="G548" s="7">
        <f t="shared" si="25"/>
        <v>3.4058079999999999</v>
      </c>
      <c r="H548" s="7">
        <f t="shared" si="26"/>
        <v>0.15073367611902988</v>
      </c>
      <c r="I548" s="8">
        <v>4.4257831363080501E-2</v>
      </c>
      <c r="J548" s="2" t="s">
        <v>68</v>
      </c>
    </row>
    <row r="549" spans="1:10" ht="12.75" customHeight="1">
      <c r="A549" s="1">
        <v>46198</v>
      </c>
      <c r="B549" s="2">
        <v>20</v>
      </c>
      <c r="C549" s="7">
        <v>-6.3320272234330996</v>
      </c>
      <c r="D549" s="7">
        <v>-6.064978</v>
      </c>
      <c r="E549" s="7">
        <v>-0.26424318443310402</v>
      </c>
      <c r="F549" s="7">
        <f t="shared" si="24"/>
        <v>6.3320272234330996</v>
      </c>
      <c r="G549" s="7">
        <f t="shared" si="25"/>
        <v>6.064978</v>
      </c>
      <c r="H549" s="7">
        <f t="shared" si="26"/>
        <v>0.26704922343309967</v>
      </c>
      <c r="I549" s="8">
        <v>4.4031358965045501E-2</v>
      </c>
      <c r="J549" s="2" t="s">
        <v>68</v>
      </c>
    </row>
    <row r="550" spans="1:10" ht="12.75" customHeight="1">
      <c r="A550" s="1">
        <v>46196</v>
      </c>
      <c r="B550" s="2">
        <v>4</v>
      </c>
      <c r="C550" s="7">
        <v>-3.6721399146018499</v>
      </c>
      <c r="D550" s="7">
        <v>-3.8412389999999998</v>
      </c>
      <c r="E550" s="7">
        <v>0.16909908539815099</v>
      </c>
      <c r="F550" s="7">
        <f t="shared" si="24"/>
        <v>3.6721399146018499</v>
      </c>
      <c r="G550" s="7">
        <f t="shared" si="25"/>
        <v>3.8412389999999998</v>
      </c>
      <c r="H550" s="7">
        <f t="shared" si="26"/>
        <v>0.16909908539815</v>
      </c>
      <c r="I550" s="8">
        <v>4.4022016177111399E-2</v>
      </c>
      <c r="J550" s="2" t="s">
        <v>68</v>
      </c>
    </row>
    <row r="551" spans="1:10" ht="12.75" customHeight="1">
      <c r="A551" s="1">
        <v>46200</v>
      </c>
      <c r="B551" s="2">
        <v>21</v>
      </c>
      <c r="C551" s="7">
        <v>-6.2411067850914401</v>
      </c>
      <c r="D551" s="7">
        <v>-5.9815149999999999</v>
      </c>
      <c r="E551" s="7">
        <v>-0.25954649509144301</v>
      </c>
      <c r="F551" s="7">
        <f t="shared" si="24"/>
        <v>6.2411067850914401</v>
      </c>
      <c r="G551" s="7">
        <f t="shared" si="25"/>
        <v>5.9815149999999999</v>
      </c>
      <c r="H551" s="7">
        <f t="shared" si="26"/>
        <v>0.25959178509144021</v>
      </c>
      <c r="I551" s="8">
        <v>4.3399002609112003E-2</v>
      </c>
      <c r="J551" s="2" t="s">
        <v>68</v>
      </c>
    </row>
    <row r="552" spans="1:10" ht="12.75" customHeight="1">
      <c r="A552" s="1">
        <v>46193</v>
      </c>
      <c r="B552" s="2">
        <v>6</v>
      </c>
      <c r="C552" s="7">
        <v>-3.49069408284441</v>
      </c>
      <c r="D552" s="7">
        <v>-3.3462839999999998</v>
      </c>
      <c r="E552" s="7">
        <v>-0.13119575484441401</v>
      </c>
      <c r="F552" s="7">
        <f t="shared" si="24"/>
        <v>3.49069408284441</v>
      </c>
      <c r="G552" s="7">
        <f t="shared" si="25"/>
        <v>3.3462839999999998</v>
      </c>
      <c r="H552" s="7">
        <f t="shared" si="26"/>
        <v>0.14441008284441015</v>
      </c>
      <c r="I552" s="8">
        <v>4.31553576577524E-2</v>
      </c>
      <c r="J552" s="2" t="s">
        <v>68</v>
      </c>
    </row>
    <row r="553" spans="1:10" ht="12.75" customHeight="1">
      <c r="A553" s="1">
        <v>46179</v>
      </c>
      <c r="B553" s="2">
        <v>20</v>
      </c>
      <c r="C553" s="7">
        <v>-5.0659493959627797</v>
      </c>
      <c r="D553" s="7">
        <v>-4.856382</v>
      </c>
      <c r="E553" s="7">
        <v>-0.196149521762777</v>
      </c>
      <c r="F553" s="7">
        <f t="shared" si="24"/>
        <v>5.0659493959627797</v>
      </c>
      <c r="G553" s="7">
        <f t="shared" si="25"/>
        <v>4.856382</v>
      </c>
      <c r="H553" s="7">
        <f t="shared" si="26"/>
        <v>0.20956739596277973</v>
      </c>
      <c r="I553" s="8">
        <v>4.3152988369279201E-2</v>
      </c>
      <c r="J553" s="2" t="s">
        <v>68</v>
      </c>
    </row>
    <row r="554" spans="1:10" ht="12.75" customHeight="1">
      <c r="A554" s="1">
        <v>46186</v>
      </c>
      <c r="B554" s="2">
        <v>19</v>
      </c>
      <c r="C554" s="7">
        <v>-4.0716419203957201</v>
      </c>
      <c r="D554" s="7">
        <v>-4.2494959999999997</v>
      </c>
      <c r="E554" s="7">
        <v>0.32281895860427801</v>
      </c>
      <c r="F554" s="7">
        <f t="shared" si="24"/>
        <v>4.0716419203957201</v>
      </c>
      <c r="G554" s="7">
        <f t="shared" si="25"/>
        <v>4.2494959999999997</v>
      </c>
      <c r="H554" s="7">
        <f t="shared" si="26"/>
        <v>0.17785407960427957</v>
      </c>
      <c r="I554" s="8">
        <v>4.1852982001695703E-2</v>
      </c>
      <c r="J554" s="2" t="s">
        <v>68</v>
      </c>
    </row>
    <row r="555" spans="1:10" ht="12.75" customHeight="1">
      <c r="A555" s="1">
        <v>46203</v>
      </c>
      <c r="B555" s="2">
        <v>22</v>
      </c>
      <c r="C555" s="7">
        <v>-6.6201219569527003</v>
      </c>
      <c r="D555" s="7">
        <v>-6.3541869999999996</v>
      </c>
      <c r="E555" s="7">
        <v>-0.26593495695269798</v>
      </c>
      <c r="F555" s="7">
        <f t="shared" si="24"/>
        <v>6.6201219569527003</v>
      </c>
      <c r="G555" s="7">
        <f t="shared" si="25"/>
        <v>6.3541869999999996</v>
      </c>
      <c r="H555" s="7">
        <f t="shared" si="26"/>
        <v>0.26593495695270075</v>
      </c>
      <c r="I555" s="8">
        <v>4.18519248729535E-2</v>
      </c>
      <c r="J555" s="2" t="s">
        <v>68</v>
      </c>
    </row>
    <row r="556" spans="1:10" ht="12.75" customHeight="1">
      <c r="A556" s="1">
        <v>46176</v>
      </c>
      <c r="B556" s="2">
        <v>15</v>
      </c>
      <c r="C556" s="7">
        <v>-4.1956327365407899</v>
      </c>
      <c r="D556" s="7">
        <v>-4.0301629999999999</v>
      </c>
      <c r="E556" s="7">
        <v>0.482973720459207</v>
      </c>
      <c r="F556" s="7">
        <f t="shared" si="24"/>
        <v>4.1956327365407899</v>
      </c>
      <c r="G556" s="7">
        <f t="shared" si="25"/>
        <v>4.0301629999999999</v>
      </c>
      <c r="H556" s="7">
        <f t="shared" si="26"/>
        <v>0.16546973654079</v>
      </c>
      <c r="I556" s="8">
        <v>4.1057827323806299E-2</v>
      </c>
      <c r="J556" s="2" t="s">
        <v>68</v>
      </c>
    </row>
    <row r="557" spans="1:10" ht="12.75" customHeight="1">
      <c r="A557" s="1">
        <v>46197</v>
      </c>
      <c r="B557" s="2">
        <v>7</v>
      </c>
      <c r="C557" s="7">
        <v>-3.1442364482757701</v>
      </c>
      <c r="D557" s="7">
        <v>-3.0208430000000002</v>
      </c>
      <c r="E557" s="7">
        <v>-3.2115335275769999E-2</v>
      </c>
      <c r="F557" s="7">
        <f t="shared" si="24"/>
        <v>3.1442364482757701</v>
      </c>
      <c r="G557" s="7">
        <f t="shared" si="25"/>
        <v>3.0208430000000002</v>
      </c>
      <c r="H557" s="7">
        <f t="shared" si="26"/>
        <v>0.12339344827576992</v>
      </c>
      <c r="I557" s="8">
        <v>4.08473556142342E-2</v>
      </c>
      <c r="J557" s="2" t="s">
        <v>68</v>
      </c>
    </row>
    <row r="558" spans="1:10" ht="12.75" customHeight="1">
      <c r="A558" s="1">
        <v>46179</v>
      </c>
      <c r="B558" s="2">
        <v>12</v>
      </c>
      <c r="C558" s="7">
        <v>-3.42550298583649</v>
      </c>
      <c r="D558" s="7">
        <v>-3.5701459999999998</v>
      </c>
      <c r="E558" s="7">
        <v>1.1405566565635199</v>
      </c>
      <c r="F558" s="7">
        <f t="shared" si="24"/>
        <v>3.42550298583649</v>
      </c>
      <c r="G558" s="7">
        <f t="shared" si="25"/>
        <v>3.5701459999999998</v>
      </c>
      <c r="H558" s="7">
        <f t="shared" si="26"/>
        <v>0.14464301416350978</v>
      </c>
      <c r="I558" s="8">
        <v>4.0514593566625699E-2</v>
      </c>
      <c r="J558" s="2" t="s">
        <v>68</v>
      </c>
    </row>
    <row r="559" spans="1:10" ht="12.75" customHeight="1">
      <c r="A559" s="1">
        <v>46191</v>
      </c>
      <c r="B559" s="2">
        <v>20</v>
      </c>
      <c r="C559" s="7">
        <v>-5.7774372808096297</v>
      </c>
      <c r="D559" s="7">
        <v>-6.0209820000000001</v>
      </c>
      <c r="E559" s="7">
        <v>0.26175000519036801</v>
      </c>
      <c r="F559" s="7">
        <f t="shared" si="24"/>
        <v>5.7774372808096297</v>
      </c>
      <c r="G559" s="7">
        <f t="shared" si="25"/>
        <v>6.0209820000000001</v>
      </c>
      <c r="H559" s="7">
        <f t="shared" si="26"/>
        <v>0.24354471919037035</v>
      </c>
      <c r="I559" s="8">
        <v>4.0449335206510902E-2</v>
      </c>
      <c r="J559" s="2" t="s">
        <v>68</v>
      </c>
    </row>
    <row r="560" spans="1:10" ht="12.75" customHeight="1">
      <c r="A560" s="1">
        <v>46184</v>
      </c>
      <c r="B560" s="2">
        <v>20</v>
      </c>
      <c r="C560" s="7">
        <v>-6.0401235265592197</v>
      </c>
      <c r="D560" s="7">
        <v>-5.8068249999999999</v>
      </c>
      <c r="E560" s="7">
        <v>-0.22888145755921699</v>
      </c>
      <c r="F560" s="7">
        <f t="shared" si="24"/>
        <v>6.0401235265592197</v>
      </c>
      <c r="G560" s="7">
        <f t="shared" si="25"/>
        <v>5.8068249999999999</v>
      </c>
      <c r="H560" s="7">
        <f t="shared" si="26"/>
        <v>0.23329852655921979</v>
      </c>
      <c r="I560" s="8">
        <v>4.0176607106158203E-2</v>
      </c>
      <c r="J560" s="2" t="s">
        <v>68</v>
      </c>
    </row>
    <row r="561" spans="1:10" ht="12.75" customHeight="1">
      <c r="A561" s="1">
        <v>46200</v>
      </c>
      <c r="B561" s="2">
        <v>22</v>
      </c>
      <c r="C561" s="7">
        <v>-5.9733731009916697</v>
      </c>
      <c r="D561" s="7">
        <v>-5.7427720000000004</v>
      </c>
      <c r="E561" s="7">
        <v>-0.230601100991674</v>
      </c>
      <c r="F561" s="7">
        <f t="shared" si="24"/>
        <v>5.9733731009916697</v>
      </c>
      <c r="G561" s="7">
        <f t="shared" si="25"/>
        <v>5.7427720000000004</v>
      </c>
      <c r="H561" s="7">
        <f t="shared" si="26"/>
        <v>0.23060110099166931</v>
      </c>
      <c r="I561" s="8">
        <v>4.0155015903761103E-2</v>
      </c>
      <c r="J561" s="2" t="s">
        <v>68</v>
      </c>
    </row>
    <row r="562" spans="1:10" ht="12.75" customHeight="1">
      <c r="A562" s="1">
        <v>46180</v>
      </c>
      <c r="B562" s="2">
        <v>4</v>
      </c>
      <c r="C562" s="7">
        <v>-3.4266437583092002</v>
      </c>
      <c r="D562" s="7">
        <v>-3.294524</v>
      </c>
      <c r="E562" s="7">
        <v>-0.132119758309205</v>
      </c>
      <c r="F562" s="7">
        <f t="shared" si="24"/>
        <v>3.4266437583092002</v>
      </c>
      <c r="G562" s="7">
        <f t="shared" si="25"/>
        <v>3.294524</v>
      </c>
      <c r="H562" s="7">
        <f t="shared" si="26"/>
        <v>0.1321197583092002</v>
      </c>
      <c r="I562" s="8">
        <v>4.0102836801068797E-2</v>
      </c>
      <c r="J562" s="2" t="s">
        <v>68</v>
      </c>
    </row>
    <row r="563" spans="1:10" ht="12.75" customHeight="1">
      <c r="A563" s="1">
        <v>46175</v>
      </c>
      <c r="B563" s="2">
        <v>1</v>
      </c>
      <c r="C563" s="7">
        <v>-3.7990511325509502</v>
      </c>
      <c r="D563" s="7">
        <v>-3.6536089999999999</v>
      </c>
      <c r="E563" s="7">
        <v>-0.14544213255094501</v>
      </c>
      <c r="F563" s="7">
        <f t="shared" si="24"/>
        <v>3.7990511325509502</v>
      </c>
      <c r="G563" s="7">
        <f t="shared" si="25"/>
        <v>3.6536089999999999</v>
      </c>
      <c r="H563" s="7">
        <f t="shared" si="26"/>
        <v>0.14544213255095029</v>
      </c>
      <c r="I563" s="8">
        <v>3.9807798960136302E-2</v>
      </c>
      <c r="J563" s="2" t="s">
        <v>68</v>
      </c>
    </row>
    <row r="564" spans="1:10" ht="12.75" customHeight="1">
      <c r="A564" s="1">
        <v>46190</v>
      </c>
      <c r="B564" s="2">
        <v>3</v>
      </c>
      <c r="C564" s="7">
        <v>-3.9176462513702499</v>
      </c>
      <c r="D564" s="7">
        <v>-4.0793350000000004</v>
      </c>
      <c r="E564" s="7">
        <v>0.16168874862975399</v>
      </c>
      <c r="F564" s="7">
        <f t="shared" si="24"/>
        <v>3.9176462513702499</v>
      </c>
      <c r="G564" s="7">
        <f t="shared" si="25"/>
        <v>4.0793350000000004</v>
      </c>
      <c r="H564" s="7">
        <f t="shared" si="26"/>
        <v>0.16168874862975047</v>
      </c>
      <c r="I564" s="8">
        <v>3.9636055540855003E-2</v>
      </c>
      <c r="J564" s="2" t="s">
        <v>68</v>
      </c>
    </row>
    <row r="565" spans="1:10" ht="12.75" customHeight="1">
      <c r="A565" s="1">
        <v>46191</v>
      </c>
      <c r="B565" s="2">
        <v>17</v>
      </c>
      <c r="C565" s="7">
        <v>-4.4667608316293199</v>
      </c>
      <c r="D565" s="7">
        <v>-4.2967269999999997</v>
      </c>
      <c r="E565" s="7">
        <v>0.30034357937068301</v>
      </c>
      <c r="F565" s="7">
        <f t="shared" si="24"/>
        <v>4.4667608316293199</v>
      </c>
      <c r="G565" s="7">
        <f t="shared" si="25"/>
        <v>4.2967269999999997</v>
      </c>
      <c r="H565" s="7">
        <f t="shared" si="26"/>
        <v>0.17003383162932018</v>
      </c>
      <c r="I565" s="8">
        <v>3.9572872940104697E-2</v>
      </c>
      <c r="J565" s="2" t="s">
        <v>68</v>
      </c>
    </row>
    <row r="566" spans="1:10" ht="12.75" customHeight="1">
      <c r="A566" s="1">
        <v>46192</v>
      </c>
      <c r="B566" s="2">
        <v>22</v>
      </c>
      <c r="C566" s="7">
        <v>-5.8895310556472404</v>
      </c>
      <c r="D566" s="7">
        <v>-6.1316189999999997</v>
      </c>
      <c r="E566" s="7">
        <v>0.24208794435275999</v>
      </c>
      <c r="F566" s="7">
        <f t="shared" si="24"/>
        <v>5.8895310556472404</v>
      </c>
      <c r="G566" s="7">
        <f t="shared" si="25"/>
        <v>6.1316189999999997</v>
      </c>
      <c r="H566" s="7">
        <f t="shared" si="26"/>
        <v>0.24208794435275927</v>
      </c>
      <c r="I566" s="8">
        <v>3.9481896111412097E-2</v>
      </c>
      <c r="J566" s="2" t="s">
        <v>68</v>
      </c>
    </row>
    <row r="567" spans="1:10" ht="12.75" customHeight="1">
      <c r="A567" s="1">
        <v>46181</v>
      </c>
      <c r="B567" s="2">
        <v>2</v>
      </c>
      <c r="C567" s="7">
        <v>-3.2001500980861</v>
      </c>
      <c r="D567" s="7">
        <v>-3.3314029999999999</v>
      </c>
      <c r="E567" s="7">
        <v>0.13125290191389599</v>
      </c>
      <c r="F567" s="7">
        <f t="shared" si="24"/>
        <v>3.2001500980861</v>
      </c>
      <c r="G567" s="7">
        <f t="shared" si="25"/>
        <v>3.3314029999999999</v>
      </c>
      <c r="H567" s="7">
        <f t="shared" si="26"/>
        <v>0.13125290191389993</v>
      </c>
      <c r="I567" s="8">
        <v>3.9398686353435998E-2</v>
      </c>
      <c r="J567" s="2" t="s">
        <v>68</v>
      </c>
    </row>
    <row r="568" spans="1:10" ht="12.75" customHeight="1">
      <c r="A568" s="1">
        <v>46176</v>
      </c>
      <c r="B568" s="2">
        <v>14</v>
      </c>
      <c r="C568" s="7">
        <v>-4.14639897004822</v>
      </c>
      <c r="D568" s="7">
        <v>-3.9894020000000001</v>
      </c>
      <c r="E568" s="7">
        <v>0.46795197595177701</v>
      </c>
      <c r="F568" s="7">
        <f t="shared" si="24"/>
        <v>4.14639897004822</v>
      </c>
      <c r="G568" s="7">
        <f t="shared" si="25"/>
        <v>3.9894020000000001</v>
      </c>
      <c r="H568" s="7">
        <f t="shared" si="26"/>
        <v>0.15699697004821989</v>
      </c>
      <c r="I568" s="8">
        <v>3.93535096358359E-2</v>
      </c>
      <c r="J568" s="2" t="s">
        <v>68</v>
      </c>
    </row>
    <row r="569" spans="1:10" ht="12.75" customHeight="1">
      <c r="A569" s="1">
        <v>46197</v>
      </c>
      <c r="B569" s="2">
        <v>24</v>
      </c>
      <c r="C569" s="7">
        <v>-4.6530691782498304</v>
      </c>
      <c r="D569" s="7">
        <v>-4.4772400000000001</v>
      </c>
      <c r="E569" s="7">
        <v>-0.17582917824983399</v>
      </c>
      <c r="F569" s="7">
        <f t="shared" si="24"/>
        <v>4.6530691782498304</v>
      </c>
      <c r="G569" s="7">
        <f t="shared" si="25"/>
        <v>4.4772400000000001</v>
      </c>
      <c r="H569" s="7">
        <f t="shared" si="26"/>
        <v>0.17582917824983024</v>
      </c>
      <c r="I569" s="8">
        <v>3.9271778651542799E-2</v>
      </c>
      <c r="J569" s="2" t="s">
        <v>68</v>
      </c>
    </row>
    <row r="570" spans="1:10" ht="12.75" customHeight="1">
      <c r="A570" s="1">
        <v>46195</v>
      </c>
      <c r="B570" s="2">
        <v>5</v>
      </c>
      <c r="C570" s="7">
        <v>-3.2041484862448599</v>
      </c>
      <c r="D570" s="7">
        <v>-3.334638</v>
      </c>
      <c r="E570" s="7">
        <v>0.13048951375513701</v>
      </c>
      <c r="F570" s="7">
        <f t="shared" si="24"/>
        <v>3.2041484862448599</v>
      </c>
      <c r="G570" s="7">
        <f t="shared" si="25"/>
        <v>3.334638</v>
      </c>
      <c r="H570" s="7">
        <f t="shared" si="26"/>
        <v>0.13048951375514006</v>
      </c>
      <c r="I570" s="8">
        <v>3.9131538042551303E-2</v>
      </c>
      <c r="J570" s="2" t="s">
        <v>68</v>
      </c>
    </row>
    <row r="571" spans="1:10" ht="12.75" customHeight="1">
      <c r="A571" s="1">
        <v>46190</v>
      </c>
      <c r="B571" s="2">
        <v>2</v>
      </c>
      <c r="C571" s="7">
        <v>-4.0267018141406403</v>
      </c>
      <c r="D571" s="7">
        <v>-4.1906189999999999</v>
      </c>
      <c r="E571" s="7">
        <v>0.16391718585935999</v>
      </c>
      <c r="F571" s="7">
        <f t="shared" si="24"/>
        <v>4.0267018141406403</v>
      </c>
      <c r="G571" s="7">
        <f t="shared" si="25"/>
        <v>4.1906189999999999</v>
      </c>
      <c r="H571" s="7">
        <f t="shared" si="26"/>
        <v>0.16391718585935955</v>
      </c>
      <c r="I571" s="8">
        <v>3.9115268140425097E-2</v>
      </c>
      <c r="J571" s="2" t="s">
        <v>68</v>
      </c>
    </row>
    <row r="572" spans="1:10" ht="12.75" customHeight="1">
      <c r="A572" s="1">
        <v>46194</v>
      </c>
      <c r="B572" s="2">
        <v>23</v>
      </c>
      <c r="C572" s="7">
        <v>-4.0029158258899598</v>
      </c>
      <c r="D572" s="7">
        <v>-4.1634450000000003</v>
      </c>
      <c r="E572" s="7">
        <v>0.160529174110037</v>
      </c>
      <c r="F572" s="7">
        <f t="shared" si="24"/>
        <v>4.0029158258899598</v>
      </c>
      <c r="G572" s="7">
        <f t="shared" si="25"/>
        <v>4.1634450000000003</v>
      </c>
      <c r="H572" s="7">
        <f t="shared" si="26"/>
        <v>0.16052917411004053</v>
      </c>
      <c r="I572" s="8">
        <v>3.8556813914927997E-2</v>
      </c>
      <c r="J572" s="2" t="s">
        <v>68</v>
      </c>
    </row>
    <row r="573" spans="1:10" ht="12.75" customHeight="1">
      <c r="A573" s="1">
        <v>46197</v>
      </c>
      <c r="B573" s="2">
        <v>1</v>
      </c>
      <c r="C573" s="7">
        <v>-4.2564841310496497</v>
      </c>
      <c r="D573" s="7">
        <v>-4.0987450000000001</v>
      </c>
      <c r="E573" s="7">
        <v>-0.15773913104965201</v>
      </c>
      <c r="F573" s="7">
        <f t="shared" si="24"/>
        <v>4.2564841310496497</v>
      </c>
      <c r="G573" s="7">
        <f t="shared" si="25"/>
        <v>4.0987450000000001</v>
      </c>
      <c r="H573" s="7">
        <f t="shared" si="26"/>
        <v>0.15773913104964965</v>
      </c>
      <c r="I573" s="8">
        <v>3.8484738877303103E-2</v>
      </c>
      <c r="J573" s="2" t="s">
        <v>68</v>
      </c>
    </row>
    <row r="574" spans="1:10" ht="12.75" customHeight="1">
      <c r="A574" s="1">
        <v>46198</v>
      </c>
      <c r="B574" s="2">
        <v>23</v>
      </c>
      <c r="C574" s="7">
        <v>-5.6412443892893096</v>
      </c>
      <c r="D574" s="7">
        <v>-5.4341530000000002</v>
      </c>
      <c r="E574" s="7">
        <v>-0.207091389289315</v>
      </c>
      <c r="F574" s="7">
        <f t="shared" si="24"/>
        <v>5.6412443892893096</v>
      </c>
      <c r="G574" s="7">
        <f t="shared" si="25"/>
        <v>5.4341530000000002</v>
      </c>
      <c r="H574" s="7">
        <f t="shared" si="26"/>
        <v>0.20709138928930937</v>
      </c>
      <c r="I574" s="8">
        <v>3.8109230507369703E-2</v>
      </c>
      <c r="J574" s="2" t="s">
        <v>68</v>
      </c>
    </row>
    <row r="575" spans="1:10" ht="12.75" customHeight="1">
      <c r="A575" s="1">
        <v>46179</v>
      </c>
      <c r="B575" s="2">
        <v>15</v>
      </c>
      <c r="C575" s="7">
        <v>-3.72422970766053</v>
      </c>
      <c r="D575" s="7">
        <v>-3.5882619999999998</v>
      </c>
      <c r="E575" s="7">
        <v>0.72870198473947401</v>
      </c>
      <c r="F575" s="7">
        <f t="shared" si="24"/>
        <v>3.72422970766053</v>
      </c>
      <c r="G575" s="7">
        <f t="shared" si="25"/>
        <v>3.5882619999999998</v>
      </c>
      <c r="H575" s="7">
        <f t="shared" si="26"/>
        <v>0.13596770766053012</v>
      </c>
      <c r="I575" s="8">
        <v>3.7892357821286901E-2</v>
      </c>
      <c r="J575" s="2" t="s">
        <v>68</v>
      </c>
    </row>
    <row r="576" spans="1:10" ht="12.75" customHeight="1">
      <c r="A576" s="1">
        <v>46189</v>
      </c>
      <c r="B576" s="2">
        <v>9</v>
      </c>
      <c r="C576" s="7">
        <v>-3.84490690268807</v>
      </c>
      <c r="D576" s="7">
        <v>-3.7047219999999998</v>
      </c>
      <c r="E576" s="7">
        <v>0.28269817931193397</v>
      </c>
      <c r="F576" s="7">
        <f t="shared" si="24"/>
        <v>3.84490690268807</v>
      </c>
      <c r="G576" s="7">
        <f t="shared" si="25"/>
        <v>3.7047219999999998</v>
      </c>
      <c r="H576" s="7">
        <f t="shared" si="26"/>
        <v>0.14018490268807016</v>
      </c>
      <c r="I576" s="8">
        <v>3.7839520128113799E-2</v>
      </c>
      <c r="J576" s="2" t="s">
        <v>68</v>
      </c>
    </row>
    <row r="577" spans="1:10" ht="12.75" customHeight="1">
      <c r="A577" s="1">
        <v>46189</v>
      </c>
      <c r="B577" s="2">
        <v>3</v>
      </c>
      <c r="C577" s="7">
        <v>-3.7408365213645198</v>
      </c>
      <c r="D577" s="7">
        <v>-3.8858820000000001</v>
      </c>
      <c r="E577" s="7">
        <v>0.14504547863547701</v>
      </c>
      <c r="F577" s="7">
        <f t="shared" si="24"/>
        <v>3.7408365213645198</v>
      </c>
      <c r="G577" s="7">
        <f t="shared" si="25"/>
        <v>3.8858820000000001</v>
      </c>
      <c r="H577" s="7">
        <f t="shared" si="26"/>
        <v>0.14504547863548023</v>
      </c>
      <c r="I577" s="8">
        <v>3.7326269463529099E-2</v>
      </c>
      <c r="J577" s="2" t="s">
        <v>68</v>
      </c>
    </row>
    <row r="578" spans="1:10" ht="12.75" customHeight="1">
      <c r="A578" s="1">
        <v>46196</v>
      </c>
      <c r="B578" s="2">
        <v>6</v>
      </c>
      <c r="C578" s="7">
        <v>-3.4373816999511599</v>
      </c>
      <c r="D578" s="7">
        <v>-3.5701459999999998</v>
      </c>
      <c r="E578" s="7">
        <v>0.145152409048839</v>
      </c>
      <c r="F578" s="7">
        <f t="shared" ref="F578:F641" si="27">ABS(C578)</f>
        <v>3.4373816999511599</v>
      </c>
      <c r="G578" s="7">
        <f t="shared" ref="G578:G641" si="28">ABS(D578)</f>
        <v>3.5701459999999998</v>
      </c>
      <c r="H578" s="7">
        <f t="shared" ref="H578:H641" si="29">ABS(G578-F578)</f>
        <v>0.13276430004883988</v>
      </c>
      <c r="I578" s="8">
        <v>3.7187358737945E-2</v>
      </c>
      <c r="J578" s="2" t="s">
        <v>68</v>
      </c>
    </row>
    <row r="579" spans="1:10" ht="12.75" customHeight="1">
      <c r="A579" s="1">
        <v>46176</v>
      </c>
      <c r="B579" s="2">
        <v>5</v>
      </c>
      <c r="C579" s="7">
        <v>-3.7244816381690402</v>
      </c>
      <c r="D579" s="7">
        <v>-3.5921439999999998</v>
      </c>
      <c r="E579" s="7">
        <v>-0.13233763816903599</v>
      </c>
      <c r="F579" s="7">
        <f t="shared" si="27"/>
        <v>3.7244816381690402</v>
      </c>
      <c r="G579" s="7">
        <f t="shared" si="28"/>
        <v>3.5921439999999998</v>
      </c>
      <c r="H579" s="7">
        <f t="shared" si="29"/>
        <v>0.13233763816904043</v>
      </c>
      <c r="I579" s="8">
        <v>3.6840849968441197E-2</v>
      </c>
      <c r="J579" s="2" t="s">
        <v>68</v>
      </c>
    </row>
    <row r="580" spans="1:10" ht="12.75" customHeight="1">
      <c r="A580" s="1">
        <v>46192</v>
      </c>
      <c r="B580" s="2">
        <v>18</v>
      </c>
      <c r="C580" s="7">
        <v>-4.7824061163595601</v>
      </c>
      <c r="D580" s="7">
        <v>-4.6131099999999998</v>
      </c>
      <c r="E580" s="7">
        <v>8.3655650640439103E-2</v>
      </c>
      <c r="F580" s="7">
        <f t="shared" si="27"/>
        <v>4.7824061163595601</v>
      </c>
      <c r="G580" s="7">
        <f t="shared" si="28"/>
        <v>4.6131099999999998</v>
      </c>
      <c r="H580" s="7">
        <f t="shared" si="29"/>
        <v>0.16929611635956032</v>
      </c>
      <c r="I580" s="8">
        <v>3.6698911658200398E-2</v>
      </c>
      <c r="J580" s="2" t="s">
        <v>68</v>
      </c>
    </row>
    <row r="581" spans="1:10" ht="12.75" customHeight="1">
      <c r="A581" s="1">
        <v>46175</v>
      </c>
      <c r="B581" s="2">
        <v>5</v>
      </c>
      <c r="C581" s="7">
        <v>-3.4277955034343401</v>
      </c>
      <c r="D581" s="7">
        <v>-3.556559</v>
      </c>
      <c r="E581" s="7">
        <v>0.12876349656566199</v>
      </c>
      <c r="F581" s="7">
        <f t="shared" si="27"/>
        <v>3.4277955034343401</v>
      </c>
      <c r="G581" s="7">
        <f t="shared" si="28"/>
        <v>3.556559</v>
      </c>
      <c r="H581" s="7">
        <f t="shared" si="29"/>
        <v>0.12876349656565989</v>
      </c>
      <c r="I581" s="8">
        <v>3.6204515815894601E-2</v>
      </c>
      <c r="J581" s="2" t="s">
        <v>68</v>
      </c>
    </row>
    <row r="582" spans="1:10" ht="12.75" customHeight="1">
      <c r="A582" s="1">
        <v>46192</v>
      </c>
      <c r="B582" s="2">
        <v>24</v>
      </c>
      <c r="C582" s="7">
        <v>-4.3507516347259303</v>
      </c>
      <c r="D582" s="7">
        <v>-4.5115309999999997</v>
      </c>
      <c r="E582" s="7">
        <v>0.160779365274066</v>
      </c>
      <c r="F582" s="7">
        <f t="shared" si="27"/>
        <v>4.3507516347259303</v>
      </c>
      <c r="G582" s="7">
        <f t="shared" si="28"/>
        <v>4.5115309999999997</v>
      </c>
      <c r="H582" s="7">
        <f t="shared" si="29"/>
        <v>0.16077936527406944</v>
      </c>
      <c r="I582" s="8">
        <v>3.5637428906964502E-2</v>
      </c>
      <c r="J582" s="2" t="s">
        <v>68</v>
      </c>
    </row>
    <row r="583" spans="1:10" ht="12.75" customHeight="1">
      <c r="A583" s="1">
        <v>46192</v>
      </c>
      <c r="B583" s="2">
        <v>5</v>
      </c>
      <c r="C583" s="7">
        <v>-3.6812644690437799</v>
      </c>
      <c r="D583" s="7">
        <v>-3.8160059999999998</v>
      </c>
      <c r="E583" s="7">
        <v>0.13474153095622499</v>
      </c>
      <c r="F583" s="7">
        <f t="shared" si="27"/>
        <v>3.6812644690437799</v>
      </c>
      <c r="G583" s="7">
        <f t="shared" si="28"/>
        <v>3.8160059999999998</v>
      </c>
      <c r="H583" s="7">
        <f t="shared" si="29"/>
        <v>0.13474153095621988</v>
      </c>
      <c r="I583" s="8">
        <v>3.5309569994445601E-2</v>
      </c>
      <c r="J583" s="2" t="s">
        <v>68</v>
      </c>
    </row>
    <row r="584" spans="1:10" ht="12.75" customHeight="1">
      <c r="A584" s="1">
        <v>46191</v>
      </c>
      <c r="B584" s="2">
        <v>4</v>
      </c>
      <c r="C584" s="7">
        <v>-3.8344007602510999</v>
      </c>
      <c r="D584" s="7">
        <v>-3.9732270000000001</v>
      </c>
      <c r="E584" s="7">
        <v>0.13882623974889599</v>
      </c>
      <c r="F584" s="7">
        <f t="shared" si="27"/>
        <v>3.8344007602510999</v>
      </c>
      <c r="G584" s="7">
        <f t="shared" si="28"/>
        <v>3.9732270000000001</v>
      </c>
      <c r="H584" s="7">
        <f t="shared" si="29"/>
        <v>0.13882623974890018</v>
      </c>
      <c r="I584" s="8">
        <v>3.4940424936429702E-2</v>
      </c>
      <c r="J584" s="2" t="s">
        <v>68</v>
      </c>
    </row>
    <row r="585" spans="1:10" ht="12.75" customHeight="1">
      <c r="A585" s="1">
        <v>46198</v>
      </c>
      <c r="B585" s="2">
        <v>7</v>
      </c>
      <c r="C585" s="7">
        <v>-3.2908315353780702</v>
      </c>
      <c r="D585" s="7">
        <v>-3.180005</v>
      </c>
      <c r="E585" s="7">
        <v>1.9441091621935001E-2</v>
      </c>
      <c r="F585" s="7">
        <f t="shared" si="27"/>
        <v>3.2908315353780702</v>
      </c>
      <c r="G585" s="7">
        <f t="shared" si="28"/>
        <v>3.180005</v>
      </c>
      <c r="H585" s="7">
        <f t="shared" si="29"/>
        <v>0.11082653537807019</v>
      </c>
      <c r="I585" s="8">
        <v>3.4851056956849098E-2</v>
      </c>
      <c r="J585" s="2" t="s">
        <v>68</v>
      </c>
    </row>
    <row r="586" spans="1:10" ht="12.75" customHeight="1">
      <c r="A586" s="1">
        <v>46180</v>
      </c>
      <c r="B586" s="2">
        <v>1</v>
      </c>
      <c r="C586" s="7">
        <v>-3.4962056280419298</v>
      </c>
      <c r="D586" s="7">
        <v>-3.3786339999999999</v>
      </c>
      <c r="E586" s="7">
        <v>-0.117571628041928</v>
      </c>
      <c r="F586" s="7">
        <f t="shared" si="27"/>
        <v>3.4962056280419298</v>
      </c>
      <c r="G586" s="7">
        <f t="shared" si="28"/>
        <v>3.3786339999999999</v>
      </c>
      <c r="H586" s="7">
        <f t="shared" si="29"/>
        <v>0.11757162804192989</v>
      </c>
      <c r="I586" s="8">
        <v>3.4798568901493403E-2</v>
      </c>
      <c r="J586" s="2" t="s">
        <v>68</v>
      </c>
    </row>
    <row r="587" spans="1:10" ht="12.75" customHeight="1">
      <c r="A587" s="1">
        <v>46180</v>
      </c>
      <c r="B587" s="2">
        <v>5</v>
      </c>
      <c r="C587" s="7">
        <v>-3.3631682546388899</v>
      </c>
      <c r="D587" s="7">
        <v>-3.2511749999999999</v>
      </c>
      <c r="E587" s="7">
        <v>-0.111993254638887</v>
      </c>
      <c r="F587" s="7">
        <f t="shared" si="27"/>
        <v>3.3631682546388899</v>
      </c>
      <c r="G587" s="7">
        <f t="shared" si="28"/>
        <v>3.2511749999999999</v>
      </c>
      <c r="H587" s="7">
        <f t="shared" si="29"/>
        <v>0.11199325463888998</v>
      </c>
      <c r="I587" s="8">
        <v>3.4447009047155898E-2</v>
      </c>
      <c r="J587" s="2" t="s">
        <v>68</v>
      </c>
    </row>
    <row r="588" spans="1:10" ht="12.75" customHeight="1">
      <c r="A588" s="1">
        <v>46198</v>
      </c>
      <c r="B588" s="2">
        <v>24</v>
      </c>
      <c r="C588" s="7">
        <v>-4.8589077693373701</v>
      </c>
      <c r="D588" s="7">
        <v>-4.7004549999999998</v>
      </c>
      <c r="E588" s="7">
        <v>-0.15845276933737201</v>
      </c>
      <c r="F588" s="7">
        <f t="shared" si="27"/>
        <v>4.8589077693373701</v>
      </c>
      <c r="G588" s="7">
        <f t="shared" si="28"/>
        <v>4.7004549999999998</v>
      </c>
      <c r="H588" s="7">
        <f t="shared" si="29"/>
        <v>0.15845276933737029</v>
      </c>
      <c r="I588" s="8">
        <v>3.3710091754387897E-2</v>
      </c>
      <c r="J588" s="2" t="s">
        <v>68</v>
      </c>
    </row>
    <row r="589" spans="1:10" ht="12.75" customHeight="1">
      <c r="A589" s="1">
        <v>46178</v>
      </c>
      <c r="B589" s="2">
        <v>7</v>
      </c>
      <c r="C589" s="7">
        <v>-2.7855038992268302</v>
      </c>
      <c r="D589" s="7">
        <v>-2.6947549999999998</v>
      </c>
      <c r="E589" s="7">
        <v>1.91195941731723E-2</v>
      </c>
      <c r="F589" s="7">
        <f t="shared" si="27"/>
        <v>2.7855038992268302</v>
      </c>
      <c r="G589" s="7">
        <f t="shared" si="28"/>
        <v>2.6947549999999998</v>
      </c>
      <c r="H589" s="7">
        <f t="shared" si="29"/>
        <v>9.0748899226830382E-2</v>
      </c>
      <c r="I589" s="8">
        <v>3.3676122403271398E-2</v>
      </c>
      <c r="J589" s="2" t="s">
        <v>68</v>
      </c>
    </row>
    <row r="590" spans="1:10" ht="12.75" customHeight="1">
      <c r="A590" s="1">
        <v>46185</v>
      </c>
      <c r="B590" s="2">
        <v>3</v>
      </c>
      <c r="C590" s="7">
        <v>-3.88558132944013</v>
      </c>
      <c r="D590" s="7">
        <v>-3.7590699999999999</v>
      </c>
      <c r="E590" s="7">
        <v>-0.12651132944012899</v>
      </c>
      <c r="F590" s="7">
        <f t="shared" si="27"/>
        <v>3.88558132944013</v>
      </c>
      <c r="G590" s="7">
        <f t="shared" si="28"/>
        <v>3.7590699999999999</v>
      </c>
      <c r="H590" s="7">
        <f t="shared" si="29"/>
        <v>0.1265113294401301</v>
      </c>
      <c r="I590" s="8">
        <v>3.3654954400989798E-2</v>
      </c>
      <c r="J590" s="2" t="s">
        <v>68</v>
      </c>
    </row>
    <row r="591" spans="1:10" ht="12.75" customHeight="1">
      <c r="A591" s="1">
        <v>46192</v>
      </c>
      <c r="B591" s="2">
        <v>1</v>
      </c>
      <c r="C591" s="7">
        <v>-3.9635527096939702</v>
      </c>
      <c r="D591" s="7">
        <v>-4.0993919999999999</v>
      </c>
      <c r="E591" s="7">
        <v>0.13583929030603301</v>
      </c>
      <c r="F591" s="7">
        <f t="shared" si="27"/>
        <v>3.9635527096939702</v>
      </c>
      <c r="G591" s="7">
        <f t="shared" si="28"/>
        <v>4.0993919999999999</v>
      </c>
      <c r="H591" s="7">
        <f t="shared" si="29"/>
        <v>0.1358392903060297</v>
      </c>
      <c r="I591" s="8">
        <v>3.3136448113777098E-2</v>
      </c>
      <c r="J591" s="2" t="s">
        <v>68</v>
      </c>
    </row>
    <row r="592" spans="1:10" ht="12.75" customHeight="1">
      <c r="A592" s="1">
        <v>46180</v>
      </c>
      <c r="B592" s="2">
        <v>20</v>
      </c>
      <c r="C592" s="7">
        <v>-4.50862022177252</v>
      </c>
      <c r="D592" s="7">
        <v>-4.3640150000000002</v>
      </c>
      <c r="E592" s="7">
        <v>-0.126411322972518</v>
      </c>
      <c r="F592" s="7">
        <f t="shared" si="27"/>
        <v>4.50862022177252</v>
      </c>
      <c r="G592" s="7">
        <f t="shared" si="28"/>
        <v>4.3640150000000002</v>
      </c>
      <c r="H592" s="7">
        <f t="shared" si="29"/>
        <v>0.14460522177251978</v>
      </c>
      <c r="I592" s="8">
        <v>3.3135821433363098E-2</v>
      </c>
      <c r="J592" s="2" t="s">
        <v>68</v>
      </c>
    </row>
    <row r="593" spans="1:10" ht="12.75" customHeight="1">
      <c r="A593" s="1">
        <v>46189</v>
      </c>
      <c r="B593" s="2">
        <v>1</v>
      </c>
      <c r="C593" s="7">
        <v>-4.0774039830331796</v>
      </c>
      <c r="D593" s="7">
        <v>-4.2164989999999998</v>
      </c>
      <c r="E593" s="7">
        <v>0.139095016966817</v>
      </c>
      <c r="F593" s="7">
        <f t="shared" si="27"/>
        <v>4.0774039830331796</v>
      </c>
      <c r="G593" s="7">
        <f t="shared" si="28"/>
        <v>4.2164989999999998</v>
      </c>
      <c r="H593" s="7">
        <f t="shared" si="29"/>
        <v>0.13909501696682014</v>
      </c>
      <c r="I593" s="8">
        <v>3.2988272253074498E-2</v>
      </c>
      <c r="J593" s="2" t="s">
        <v>68</v>
      </c>
    </row>
    <row r="594" spans="1:10" ht="12.75" customHeight="1">
      <c r="A594" s="1">
        <v>46178</v>
      </c>
      <c r="B594" s="2">
        <v>12</v>
      </c>
      <c r="C594" s="7">
        <v>-3.7077872122364299</v>
      </c>
      <c r="D594" s="7">
        <v>-3.5902029999999998</v>
      </c>
      <c r="E594" s="7">
        <v>0.70497147376356895</v>
      </c>
      <c r="F594" s="7">
        <f t="shared" si="27"/>
        <v>3.7077872122364299</v>
      </c>
      <c r="G594" s="7">
        <f t="shared" si="28"/>
        <v>3.5902029999999998</v>
      </c>
      <c r="H594" s="7">
        <f t="shared" si="29"/>
        <v>0.11758421223643012</v>
      </c>
      <c r="I594" s="8">
        <v>3.27514105014204E-2</v>
      </c>
      <c r="J594" s="2" t="s">
        <v>68</v>
      </c>
    </row>
    <row r="595" spans="1:10" ht="12.75" customHeight="1">
      <c r="A595" s="1">
        <v>46191</v>
      </c>
      <c r="B595" s="2">
        <v>22</v>
      </c>
      <c r="C595" s="7">
        <v>-6.0622026415113002</v>
      </c>
      <c r="D595" s="7">
        <v>-6.2668419999999996</v>
      </c>
      <c r="E595" s="7">
        <v>0.20463935848869699</v>
      </c>
      <c r="F595" s="7">
        <f t="shared" si="27"/>
        <v>6.0622026415113002</v>
      </c>
      <c r="G595" s="7">
        <f t="shared" si="28"/>
        <v>6.2668419999999996</v>
      </c>
      <c r="H595" s="7">
        <f t="shared" si="29"/>
        <v>0.20463935848869941</v>
      </c>
      <c r="I595" s="8">
        <v>3.2654303154395298E-2</v>
      </c>
      <c r="J595" s="2" t="s">
        <v>68</v>
      </c>
    </row>
    <row r="596" spans="1:10" ht="12.75" customHeight="1">
      <c r="A596" s="1">
        <v>46187</v>
      </c>
      <c r="B596" s="2">
        <v>3</v>
      </c>
      <c r="C596" s="7">
        <v>-3.4312261934509101</v>
      </c>
      <c r="D596" s="7">
        <v>-3.3229920000000002</v>
      </c>
      <c r="E596" s="7">
        <v>-0.108234193450911</v>
      </c>
      <c r="F596" s="7">
        <f t="shared" si="27"/>
        <v>3.4312261934509101</v>
      </c>
      <c r="G596" s="7">
        <f t="shared" si="28"/>
        <v>3.3229920000000002</v>
      </c>
      <c r="H596" s="7">
        <f t="shared" si="29"/>
        <v>0.1082341934509099</v>
      </c>
      <c r="I596" s="8">
        <v>3.2571307258913301E-2</v>
      </c>
      <c r="J596" s="2" t="s">
        <v>68</v>
      </c>
    </row>
    <row r="597" spans="1:10" ht="12.75" customHeight="1">
      <c r="A597" s="1">
        <v>46196</v>
      </c>
      <c r="B597" s="2">
        <v>1</v>
      </c>
      <c r="C597" s="7">
        <v>-3.9733990402655399</v>
      </c>
      <c r="D597" s="7">
        <v>-4.1071559999999998</v>
      </c>
      <c r="E597" s="7">
        <v>0.133756959734461</v>
      </c>
      <c r="F597" s="7">
        <f t="shared" si="27"/>
        <v>3.9733990402655399</v>
      </c>
      <c r="G597" s="7">
        <f t="shared" si="28"/>
        <v>4.1071559999999998</v>
      </c>
      <c r="H597" s="7">
        <f t="shared" si="29"/>
        <v>0.13375695973445989</v>
      </c>
      <c r="I597" s="8">
        <v>3.2566807721562299E-2</v>
      </c>
      <c r="J597" s="2" t="s">
        <v>68</v>
      </c>
    </row>
    <row r="598" spans="1:10" ht="12.75" customHeight="1">
      <c r="A598" s="1">
        <v>46180</v>
      </c>
      <c r="B598" s="2">
        <v>2</v>
      </c>
      <c r="C598" s="7">
        <v>-3.4363102623506698</v>
      </c>
      <c r="D598" s="7">
        <v>-3.3281679999999998</v>
      </c>
      <c r="E598" s="7">
        <v>-0.108142262350668</v>
      </c>
      <c r="F598" s="7">
        <f t="shared" si="27"/>
        <v>3.4363102623506698</v>
      </c>
      <c r="G598" s="7">
        <f t="shared" si="28"/>
        <v>3.3281679999999998</v>
      </c>
      <c r="H598" s="7">
        <f t="shared" si="29"/>
        <v>0.10814226235067004</v>
      </c>
      <c r="I598" s="8">
        <v>3.24930299043402E-2</v>
      </c>
      <c r="J598" s="2" t="s">
        <v>68</v>
      </c>
    </row>
    <row r="599" spans="1:10" ht="12.75" customHeight="1">
      <c r="A599" s="1">
        <v>46196</v>
      </c>
      <c r="B599" s="2">
        <v>3</v>
      </c>
      <c r="C599" s="7">
        <v>-3.6955773482821899</v>
      </c>
      <c r="D599" s="7">
        <v>-3.8179470000000002</v>
      </c>
      <c r="E599" s="7">
        <v>0.122369651717807</v>
      </c>
      <c r="F599" s="7">
        <f t="shared" si="27"/>
        <v>3.6955773482821899</v>
      </c>
      <c r="G599" s="7">
        <f t="shared" si="28"/>
        <v>3.8179470000000002</v>
      </c>
      <c r="H599" s="7">
        <f t="shared" si="29"/>
        <v>0.12236965171781033</v>
      </c>
      <c r="I599" s="8">
        <v>3.2051165644208103E-2</v>
      </c>
      <c r="J599" s="2" t="s">
        <v>68</v>
      </c>
    </row>
    <row r="600" spans="1:10" ht="12.75" customHeight="1">
      <c r="A600" s="1">
        <v>46199</v>
      </c>
      <c r="B600" s="2">
        <v>21</v>
      </c>
      <c r="C600" s="7">
        <v>-6.0946975383307196</v>
      </c>
      <c r="D600" s="7">
        <v>-6.2894870000000003</v>
      </c>
      <c r="E600" s="7">
        <v>0.19487615966928101</v>
      </c>
      <c r="F600" s="7">
        <f t="shared" si="27"/>
        <v>6.0946975383307196</v>
      </c>
      <c r="G600" s="7">
        <f t="shared" si="28"/>
        <v>6.2894870000000003</v>
      </c>
      <c r="H600" s="7">
        <f t="shared" si="29"/>
        <v>0.19478946166928068</v>
      </c>
      <c r="I600" s="8">
        <v>3.0970643817100001E-2</v>
      </c>
      <c r="J600" s="2" t="s">
        <v>68</v>
      </c>
    </row>
    <row r="601" spans="1:10" ht="12.75" customHeight="1">
      <c r="A601" s="1">
        <v>46192</v>
      </c>
      <c r="B601" s="2">
        <v>17</v>
      </c>
      <c r="C601" s="7">
        <v>-4.5411092350336402</v>
      </c>
      <c r="D601" s="7">
        <v>-4.404776</v>
      </c>
      <c r="E601" s="7">
        <v>0.25722521896635903</v>
      </c>
      <c r="F601" s="7">
        <f t="shared" si="27"/>
        <v>4.5411092350336402</v>
      </c>
      <c r="G601" s="7">
        <f t="shared" si="28"/>
        <v>4.404776</v>
      </c>
      <c r="H601" s="7">
        <f t="shared" si="29"/>
        <v>0.13633323503364014</v>
      </c>
      <c r="I601" s="8">
        <v>3.0951229990728399E-2</v>
      </c>
      <c r="J601" s="2" t="s">
        <v>68</v>
      </c>
    </row>
    <row r="602" spans="1:10" ht="12.75" customHeight="1">
      <c r="A602" s="1">
        <v>46201</v>
      </c>
      <c r="B602" s="2">
        <v>7</v>
      </c>
      <c r="C602" s="7">
        <v>-2.3753251896132199</v>
      </c>
      <c r="D602" s="7">
        <v>-2.3046139999999999</v>
      </c>
      <c r="E602" s="7">
        <v>9.9949294386777604E-2</v>
      </c>
      <c r="F602" s="7">
        <f t="shared" si="27"/>
        <v>2.3753251896132199</v>
      </c>
      <c r="G602" s="7">
        <f t="shared" si="28"/>
        <v>2.3046139999999999</v>
      </c>
      <c r="H602" s="7">
        <f t="shared" si="29"/>
        <v>7.0711189613219982E-2</v>
      </c>
      <c r="I602" s="8">
        <v>3.06824438336409E-2</v>
      </c>
      <c r="J602" s="2" t="s">
        <v>68</v>
      </c>
    </row>
    <row r="603" spans="1:10" ht="12.75" customHeight="1">
      <c r="A603" s="1">
        <v>46200</v>
      </c>
      <c r="B603" s="2">
        <v>6</v>
      </c>
      <c r="C603" s="7">
        <v>-3.4294009588263101</v>
      </c>
      <c r="D603" s="7">
        <v>-3.5377960000000002</v>
      </c>
      <c r="E603" s="7">
        <v>0.120801266173689</v>
      </c>
      <c r="F603" s="7">
        <f t="shared" si="27"/>
        <v>3.4294009588263101</v>
      </c>
      <c r="G603" s="7">
        <f t="shared" si="28"/>
        <v>3.5377960000000002</v>
      </c>
      <c r="H603" s="7">
        <f t="shared" si="29"/>
        <v>0.10839504117369003</v>
      </c>
      <c r="I603" s="8">
        <v>3.0639144024610002E-2</v>
      </c>
      <c r="J603" s="2" t="s">
        <v>68</v>
      </c>
    </row>
    <row r="604" spans="1:10" ht="12.75" customHeight="1">
      <c r="A604" s="1">
        <v>46178</v>
      </c>
      <c r="B604" s="2">
        <v>13</v>
      </c>
      <c r="C604" s="7">
        <v>-3.71080036090004</v>
      </c>
      <c r="D604" s="7">
        <v>-3.6005549999999999</v>
      </c>
      <c r="E604" s="7">
        <v>0.66973643109995895</v>
      </c>
      <c r="F604" s="7">
        <f t="shared" si="27"/>
        <v>3.71080036090004</v>
      </c>
      <c r="G604" s="7">
        <f t="shared" si="28"/>
        <v>3.6005549999999999</v>
      </c>
      <c r="H604" s="7">
        <f t="shared" si="29"/>
        <v>0.11024536090004</v>
      </c>
      <c r="I604" s="8">
        <v>3.0618990933353799E-2</v>
      </c>
      <c r="J604" s="2" t="s">
        <v>68</v>
      </c>
    </row>
    <row r="605" spans="1:10" ht="12.75" customHeight="1">
      <c r="A605" s="1">
        <v>46189</v>
      </c>
      <c r="B605" s="2">
        <v>6</v>
      </c>
      <c r="C605" s="7">
        <v>-3.3981098459892198</v>
      </c>
      <c r="D605" s="7">
        <v>-3.5041519999999999</v>
      </c>
      <c r="E605" s="7">
        <v>0.113179987410783</v>
      </c>
      <c r="F605" s="7">
        <f t="shared" si="27"/>
        <v>3.3981098459892198</v>
      </c>
      <c r="G605" s="7">
        <f t="shared" si="28"/>
        <v>3.5041519999999999</v>
      </c>
      <c r="H605" s="7">
        <f t="shared" si="29"/>
        <v>0.1060421540107801</v>
      </c>
      <c r="I605" s="8">
        <v>3.0261859077683698E-2</v>
      </c>
      <c r="J605" s="2" t="s">
        <v>68</v>
      </c>
    </row>
    <row r="606" spans="1:10" ht="12.75" customHeight="1">
      <c r="A606" s="1">
        <v>46175</v>
      </c>
      <c r="B606" s="2">
        <v>6</v>
      </c>
      <c r="C606" s="7">
        <v>-3.3277972575648298</v>
      </c>
      <c r="D606" s="7">
        <v>-3.431041</v>
      </c>
      <c r="E606" s="7">
        <v>0.10330145483516701</v>
      </c>
      <c r="F606" s="7">
        <f t="shared" si="27"/>
        <v>3.3277972575648298</v>
      </c>
      <c r="G606" s="7">
        <f t="shared" si="28"/>
        <v>3.431041</v>
      </c>
      <c r="H606" s="7">
        <f t="shared" si="29"/>
        <v>0.1032437424351702</v>
      </c>
      <c r="I606" s="8">
        <v>3.0091083853316401E-2</v>
      </c>
      <c r="J606" s="2" t="s">
        <v>68</v>
      </c>
    </row>
    <row r="607" spans="1:10" ht="12.75" customHeight="1">
      <c r="A607" s="1">
        <v>46180</v>
      </c>
      <c r="B607" s="2">
        <v>6</v>
      </c>
      <c r="C607" s="7">
        <v>-2.9459566674090798</v>
      </c>
      <c r="D607" s="7">
        <v>-3.0370180000000002</v>
      </c>
      <c r="E607" s="7">
        <v>0.108867678390918</v>
      </c>
      <c r="F607" s="7">
        <f t="shared" si="27"/>
        <v>2.9459566674090798</v>
      </c>
      <c r="G607" s="7">
        <f t="shared" si="28"/>
        <v>3.0370180000000002</v>
      </c>
      <c r="H607" s="7">
        <f t="shared" si="29"/>
        <v>9.1061332590920419E-2</v>
      </c>
      <c r="I607" s="8">
        <v>2.9983797458861899E-2</v>
      </c>
      <c r="J607" s="2" t="s">
        <v>68</v>
      </c>
    </row>
    <row r="608" spans="1:10" ht="12.75" customHeight="1">
      <c r="A608" s="1">
        <v>46196</v>
      </c>
      <c r="B608" s="2">
        <v>21</v>
      </c>
      <c r="C608" s="7">
        <v>-6.5460171913755802</v>
      </c>
      <c r="D608" s="7">
        <v>-6.3580690000000004</v>
      </c>
      <c r="E608" s="7">
        <v>-0.18794172137557999</v>
      </c>
      <c r="F608" s="7">
        <f t="shared" si="27"/>
        <v>6.5460171913755802</v>
      </c>
      <c r="G608" s="7">
        <f t="shared" si="28"/>
        <v>6.3580690000000004</v>
      </c>
      <c r="H608" s="7">
        <f t="shared" si="29"/>
        <v>0.18794819137557983</v>
      </c>
      <c r="I608" s="8">
        <v>2.9560577492251199E-2</v>
      </c>
      <c r="J608" s="2" t="s">
        <v>68</v>
      </c>
    </row>
    <row r="609" spans="1:10" ht="12.75" customHeight="1">
      <c r="A609" s="1">
        <v>46180</v>
      </c>
      <c r="B609" s="2">
        <v>22</v>
      </c>
      <c r="C609" s="7">
        <v>-4.4409935848886404</v>
      </c>
      <c r="D609" s="7">
        <v>-4.5755840000000001</v>
      </c>
      <c r="E609" s="7">
        <v>0.13459041511136199</v>
      </c>
      <c r="F609" s="7">
        <f t="shared" si="27"/>
        <v>4.4409935848886404</v>
      </c>
      <c r="G609" s="7">
        <f t="shared" si="28"/>
        <v>4.5755840000000001</v>
      </c>
      <c r="H609" s="7">
        <f t="shared" si="29"/>
        <v>0.13459041511135972</v>
      </c>
      <c r="I609" s="8">
        <v>2.94149151477411E-2</v>
      </c>
      <c r="J609" s="2" t="s">
        <v>68</v>
      </c>
    </row>
    <row r="610" spans="1:10" ht="12.75" customHeight="1">
      <c r="A610" s="1">
        <v>46199</v>
      </c>
      <c r="B610" s="2">
        <v>24</v>
      </c>
      <c r="C610" s="7">
        <v>-4.4354859006901197</v>
      </c>
      <c r="D610" s="7">
        <v>-4.5691139999999999</v>
      </c>
      <c r="E610" s="7">
        <v>0.13362809930987701</v>
      </c>
      <c r="F610" s="7">
        <f t="shared" si="27"/>
        <v>4.4354859006901197</v>
      </c>
      <c r="G610" s="7">
        <f t="shared" si="28"/>
        <v>4.5691139999999999</v>
      </c>
      <c r="H610" s="7">
        <f t="shared" si="29"/>
        <v>0.13362809930988018</v>
      </c>
      <c r="I610" s="8">
        <v>2.9245954316280302E-2</v>
      </c>
      <c r="J610" s="2" t="s">
        <v>68</v>
      </c>
    </row>
    <row r="611" spans="1:10" ht="12.75" customHeight="1">
      <c r="A611" s="1">
        <v>46200</v>
      </c>
      <c r="B611" s="2">
        <v>24</v>
      </c>
      <c r="C611" s="7">
        <v>-4.1651166545860399</v>
      </c>
      <c r="D611" s="7">
        <v>-4.288316</v>
      </c>
      <c r="E611" s="7">
        <v>0.12319934541396201</v>
      </c>
      <c r="F611" s="7">
        <f t="shared" si="27"/>
        <v>4.1651166545860399</v>
      </c>
      <c r="G611" s="7">
        <f t="shared" si="28"/>
        <v>4.288316</v>
      </c>
      <c r="H611" s="7">
        <f t="shared" si="29"/>
        <v>0.12319934541396016</v>
      </c>
      <c r="I611" s="8">
        <v>2.87290734670584E-2</v>
      </c>
      <c r="J611" s="2" t="s">
        <v>68</v>
      </c>
    </row>
    <row r="612" spans="1:10" ht="12.75" customHeight="1">
      <c r="A612" s="1">
        <v>46179</v>
      </c>
      <c r="B612" s="2">
        <v>18</v>
      </c>
      <c r="C612" s="7">
        <v>-3.6396934129685801</v>
      </c>
      <c r="D612" s="7">
        <v>-3.5390899999999998</v>
      </c>
      <c r="E612" s="7">
        <v>0.35955579763142298</v>
      </c>
      <c r="F612" s="7">
        <f t="shared" si="27"/>
        <v>3.6396934129685801</v>
      </c>
      <c r="G612" s="7">
        <f t="shared" si="28"/>
        <v>3.5390899999999998</v>
      </c>
      <c r="H612" s="7">
        <f t="shared" si="29"/>
        <v>0.10060341296858022</v>
      </c>
      <c r="I612" s="8">
        <v>2.8426350550163099E-2</v>
      </c>
      <c r="J612" s="2" t="s">
        <v>68</v>
      </c>
    </row>
    <row r="613" spans="1:10" ht="12.75" customHeight="1">
      <c r="A613" s="1">
        <v>46192</v>
      </c>
      <c r="B613" s="2">
        <v>20</v>
      </c>
      <c r="C613" s="7">
        <v>-5.8595551604770604</v>
      </c>
      <c r="D613" s="7">
        <v>-6.0300399999999996</v>
      </c>
      <c r="E613" s="7">
        <v>0.18107234752293799</v>
      </c>
      <c r="F613" s="7">
        <f t="shared" si="27"/>
        <v>5.8595551604770604</v>
      </c>
      <c r="G613" s="7">
        <f t="shared" si="28"/>
        <v>6.0300399999999996</v>
      </c>
      <c r="H613" s="7">
        <f t="shared" si="29"/>
        <v>0.17048483952293925</v>
      </c>
      <c r="I613" s="8">
        <v>2.8272588494095901E-2</v>
      </c>
      <c r="J613" s="2" t="s">
        <v>68</v>
      </c>
    </row>
    <row r="614" spans="1:10" ht="12.75" customHeight="1">
      <c r="A614" s="1">
        <v>46190</v>
      </c>
      <c r="B614" s="2">
        <v>12</v>
      </c>
      <c r="C614" s="7">
        <v>-3.86385018914405</v>
      </c>
      <c r="D614" s="7">
        <v>-3.7577759999999998</v>
      </c>
      <c r="E614" s="7">
        <v>0.71368775085595404</v>
      </c>
      <c r="F614" s="7">
        <f t="shared" si="27"/>
        <v>3.86385018914405</v>
      </c>
      <c r="G614" s="7">
        <f t="shared" si="28"/>
        <v>3.7577759999999998</v>
      </c>
      <c r="H614" s="7">
        <f t="shared" si="29"/>
        <v>0.1060741891440502</v>
      </c>
      <c r="I614" s="8">
        <v>2.8227917029659499E-2</v>
      </c>
      <c r="J614" s="2" t="s">
        <v>68</v>
      </c>
    </row>
    <row r="615" spans="1:10" ht="12.75" customHeight="1">
      <c r="A615" s="1">
        <v>46201</v>
      </c>
      <c r="B615" s="2">
        <v>2</v>
      </c>
      <c r="C615" s="7">
        <v>-3.4558221838862799</v>
      </c>
      <c r="D615" s="7">
        <v>-3.5533239999999999</v>
      </c>
      <c r="E615" s="7">
        <v>9.7501816113722106E-2</v>
      </c>
      <c r="F615" s="7">
        <f t="shared" si="27"/>
        <v>3.4558221838862799</v>
      </c>
      <c r="G615" s="7">
        <f t="shared" si="28"/>
        <v>3.5533239999999999</v>
      </c>
      <c r="H615" s="7">
        <f t="shared" si="29"/>
        <v>9.7501816113719997E-2</v>
      </c>
      <c r="I615" s="8">
        <v>2.74396075656827E-2</v>
      </c>
      <c r="J615" s="2" t="s">
        <v>68</v>
      </c>
    </row>
    <row r="616" spans="1:10" ht="12.75" customHeight="1">
      <c r="A616" s="1">
        <v>46193</v>
      </c>
      <c r="B616" s="2">
        <v>5</v>
      </c>
      <c r="C616" s="7">
        <v>-3.64250641077951</v>
      </c>
      <c r="D616" s="7">
        <v>-3.7448359999999998</v>
      </c>
      <c r="E616" s="7">
        <v>0.102329589220486</v>
      </c>
      <c r="F616" s="7">
        <f t="shared" si="27"/>
        <v>3.64250641077951</v>
      </c>
      <c r="G616" s="7">
        <f t="shared" si="28"/>
        <v>3.7448359999999998</v>
      </c>
      <c r="H616" s="7">
        <f t="shared" si="29"/>
        <v>0.10232958922048985</v>
      </c>
      <c r="I616" s="8">
        <v>2.7325519520877702E-2</v>
      </c>
      <c r="J616" s="2" t="s">
        <v>68</v>
      </c>
    </row>
    <row r="617" spans="1:10" ht="12.75" customHeight="1">
      <c r="A617" s="1">
        <v>46199</v>
      </c>
      <c r="B617" s="2">
        <v>23</v>
      </c>
      <c r="C617" s="7">
        <v>-5.0752419072916197</v>
      </c>
      <c r="D617" s="7">
        <v>-5.2154670000000003</v>
      </c>
      <c r="E617" s="7">
        <v>0.14022509270838299</v>
      </c>
      <c r="F617" s="7">
        <f t="shared" si="27"/>
        <v>5.0752419072916197</v>
      </c>
      <c r="G617" s="7">
        <f t="shared" si="28"/>
        <v>5.2154670000000003</v>
      </c>
      <c r="H617" s="7">
        <f t="shared" si="29"/>
        <v>0.14022509270838057</v>
      </c>
      <c r="I617" s="8">
        <v>2.6886392476145101E-2</v>
      </c>
      <c r="J617" s="2" t="s">
        <v>68</v>
      </c>
    </row>
    <row r="618" spans="1:10" ht="12.75" customHeight="1">
      <c r="A618" s="1">
        <v>46184</v>
      </c>
      <c r="B618" s="2">
        <v>22</v>
      </c>
      <c r="C618" s="7">
        <v>-6.0624938172067804</v>
      </c>
      <c r="D618" s="7">
        <v>-6.2293159999999999</v>
      </c>
      <c r="E618" s="7">
        <v>0.16682218279321601</v>
      </c>
      <c r="F618" s="7">
        <f t="shared" si="27"/>
        <v>6.0624938172067804</v>
      </c>
      <c r="G618" s="7">
        <f t="shared" si="28"/>
        <v>6.2293159999999999</v>
      </c>
      <c r="H618" s="7">
        <f t="shared" si="29"/>
        <v>0.16682218279321948</v>
      </c>
      <c r="I618" s="8">
        <v>2.6780176634676502E-2</v>
      </c>
      <c r="J618" s="2" t="s">
        <v>68</v>
      </c>
    </row>
    <row r="619" spans="1:10" ht="12.75" customHeight="1">
      <c r="A619" s="1">
        <v>46190</v>
      </c>
      <c r="B619" s="2">
        <v>5</v>
      </c>
      <c r="C619" s="7">
        <v>-3.8572697879894</v>
      </c>
      <c r="D619" s="7">
        <v>-3.9602870000000001</v>
      </c>
      <c r="E619" s="7">
        <v>0.10301721201059701</v>
      </c>
      <c r="F619" s="7">
        <f t="shared" si="27"/>
        <v>3.8572697879894</v>
      </c>
      <c r="G619" s="7">
        <f t="shared" si="28"/>
        <v>3.9602870000000001</v>
      </c>
      <c r="H619" s="7">
        <f t="shared" si="29"/>
        <v>0.1030172120106001</v>
      </c>
      <c r="I619" s="8">
        <v>2.6012562223545099E-2</v>
      </c>
      <c r="J619" s="2" t="s">
        <v>68</v>
      </c>
    </row>
    <row r="620" spans="1:10" ht="12.75" customHeight="1">
      <c r="A620" s="1">
        <v>46196</v>
      </c>
      <c r="B620" s="2">
        <v>20</v>
      </c>
      <c r="C620" s="7">
        <v>-5.9251093722535702</v>
      </c>
      <c r="D620" s="7">
        <v>-6.0805059999999997</v>
      </c>
      <c r="E620" s="7">
        <v>0.18393773874643099</v>
      </c>
      <c r="F620" s="7">
        <f t="shared" si="27"/>
        <v>5.9251093722535702</v>
      </c>
      <c r="G620" s="7">
        <f t="shared" si="28"/>
        <v>6.0805059999999997</v>
      </c>
      <c r="H620" s="7">
        <f t="shared" si="29"/>
        <v>0.15539662774642959</v>
      </c>
      <c r="I620" s="8">
        <v>2.55565289708507E-2</v>
      </c>
      <c r="J620" s="2" t="s">
        <v>68</v>
      </c>
    </row>
    <row r="621" spans="1:10" ht="12.75" customHeight="1">
      <c r="A621" s="1">
        <v>46194</v>
      </c>
      <c r="B621" s="2">
        <v>16</v>
      </c>
      <c r="C621" s="7">
        <v>-3.4856661931898301</v>
      </c>
      <c r="D621" s="7">
        <v>-3.576616</v>
      </c>
      <c r="E621" s="7">
        <v>0.81956782161017105</v>
      </c>
      <c r="F621" s="7">
        <f t="shared" si="27"/>
        <v>3.4856661931898301</v>
      </c>
      <c r="G621" s="7">
        <f t="shared" si="28"/>
        <v>3.576616</v>
      </c>
      <c r="H621" s="7">
        <f t="shared" si="29"/>
        <v>9.0949806810169953E-2</v>
      </c>
      <c r="I621" s="8">
        <v>2.5429010777274101E-2</v>
      </c>
      <c r="J621" s="2" t="s">
        <v>68</v>
      </c>
    </row>
    <row r="622" spans="1:10" ht="12.75" customHeight="1">
      <c r="A622" s="1">
        <v>46197</v>
      </c>
      <c r="B622" s="2">
        <v>2</v>
      </c>
      <c r="C622" s="7">
        <v>-4.1243265880400202</v>
      </c>
      <c r="D622" s="7">
        <v>-4.0249870000000003</v>
      </c>
      <c r="E622" s="7">
        <v>-9.9339588040018606E-2</v>
      </c>
      <c r="F622" s="7">
        <f t="shared" si="27"/>
        <v>4.1243265880400202</v>
      </c>
      <c r="G622" s="7">
        <f t="shared" si="28"/>
        <v>4.0249870000000003</v>
      </c>
      <c r="H622" s="7">
        <f t="shared" si="29"/>
        <v>9.9339588040019855E-2</v>
      </c>
      <c r="I622" s="8">
        <v>2.46807227054444E-2</v>
      </c>
      <c r="J622" s="2" t="s">
        <v>68</v>
      </c>
    </row>
    <row r="623" spans="1:10" ht="12.75" customHeight="1">
      <c r="A623" s="1">
        <v>46197</v>
      </c>
      <c r="B623" s="2">
        <v>3</v>
      </c>
      <c r="C623" s="7">
        <v>-3.8057971356020399</v>
      </c>
      <c r="D623" s="7">
        <v>-3.9014099999999998</v>
      </c>
      <c r="E623" s="7">
        <v>9.5612864397963196E-2</v>
      </c>
      <c r="F623" s="7">
        <f t="shared" si="27"/>
        <v>3.8057971356020399</v>
      </c>
      <c r="G623" s="7">
        <f t="shared" si="28"/>
        <v>3.9014099999999998</v>
      </c>
      <c r="H623" s="7">
        <f t="shared" si="29"/>
        <v>9.5612864397959907E-2</v>
      </c>
      <c r="I623" s="8">
        <v>2.4507258759772301E-2</v>
      </c>
      <c r="J623" s="2" t="s">
        <v>68</v>
      </c>
    </row>
    <row r="624" spans="1:10" ht="12.75" customHeight="1">
      <c r="A624" s="1">
        <v>46186</v>
      </c>
      <c r="B624" s="2">
        <v>18</v>
      </c>
      <c r="C624" s="7">
        <v>-3.7437285992604998</v>
      </c>
      <c r="D624" s="7">
        <v>-3.6542560000000002</v>
      </c>
      <c r="E624" s="7">
        <v>0.29659812373950101</v>
      </c>
      <c r="F624" s="7">
        <f t="shared" si="27"/>
        <v>3.7437285992604998</v>
      </c>
      <c r="G624" s="7">
        <f t="shared" si="28"/>
        <v>3.6542560000000002</v>
      </c>
      <c r="H624" s="7">
        <f t="shared" si="29"/>
        <v>8.9472599260499663E-2</v>
      </c>
      <c r="I624" s="8">
        <v>2.4484491305617199E-2</v>
      </c>
      <c r="J624" s="2" t="s">
        <v>68</v>
      </c>
    </row>
    <row r="625" spans="1:10" ht="12.75" customHeight="1">
      <c r="A625" s="1">
        <v>46183</v>
      </c>
      <c r="B625" s="2">
        <v>7</v>
      </c>
      <c r="C625" s="7">
        <v>-3.2737821946515901</v>
      </c>
      <c r="D625" s="7">
        <v>-3.19618</v>
      </c>
      <c r="E625" s="7">
        <v>-4.0977853851587899E-2</v>
      </c>
      <c r="F625" s="7">
        <f t="shared" si="27"/>
        <v>3.2737821946515901</v>
      </c>
      <c r="G625" s="7">
        <f t="shared" si="28"/>
        <v>3.19618</v>
      </c>
      <c r="H625" s="7">
        <f t="shared" si="29"/>
        <v>7.7602194651590128E-2</v>
      </c>
      <c r="I625" s="8">
        <v>2.42796696843069E-2</v>
      </c>
      <c r="J625" s="2" t="s">
        <v>68</v>
      </c>
    </row>
    <row r="626" spans="1:10" ht="12.75" customHeight="1">
      <c r="A626" s="1">
        <v>46182</v>
      </c>
      <c r="B626" s="2">
        <v>4</v>
      </c>
      <c r="C626" s="7">
        <v>-3.8995608345831201</v>
      </c>
      <c r="D626" s="7">
        <v>-3.8075950000000001</v>
      </c>
      <c r="E626" s="7">
        <v>-9.19658345831188E-2</v>
      </c>
      <c r="F626" s="7">
        <f t="shared" si="27"/>
        <v>3.8995608345831201</v>
      </c>
      <c r="G626" s="7">
        <f t="shared" si="28"/>
        <v>3.8075950000000001</v>
      </c>
      <c r="H626" s="7">
        <f t="shared" si="29"/>
        <v>9.1965834583120021E-2</v>
      </c>
      <c r="I626" s="8">
        <v>2.41532606758646E-2</v>
      </c>
      <c r="J626" s="2" t="s">
        <v>68</v>
      </c>
    </row>
    <row r="627" spans="1:10" ht="12.75" customHeight="1">
      <c r="A627" s="1">
        <v>46200</v>
      </c>
      <c r="B627" s="2">
        <v>1</v>
      </c>
      <c r="C627" s="7">
        <v>-3.9841560527787898</v>
      </c>
      <c r="D627" s="7">
        <v>-4.0812759999999999</v>
      </c>
      <c r="E627" s="7">
        <v>9.7119947221211006E-2</v>
      </c>
      <c r="F627" s="7">
        <f t="shared" si="27"/>
        <v>3.9841560527787898</v>
      </c>
      <c r="G627" s="7">
        <f t="shared" si="28"/>
        <v>4.0812759999999999</v>
      </c>
      <c r="H627" s="7">
        <f t="shared" si="29"/>
        <v>9.711994722121009E-2</v>
      </c>
      <c r="I627" s="8">
        <v>2.3796466404431098E-2</v>
      </c>
      <c r="J627" s="2" t="s">
        <v>68</v>
      </c>
    </row>
    <row r="628" spans="1:10" ht="12.75" customHeight="1">
      <c r="A628" s="1">
        <v>46202</v>
      </c>
      <c r="B628" s="2">
        <v>1</v>
      </c>
      <c r="C628" s="7">
        <v>-3.7126417067989301</v>
      </c>
      <c r="D628" s="7">
        <v>-3.8030659999999998</v>
      </c>
      <c r="E628" s="7">
        <v>9.0424293201066902E-2</v>
      </c>
      <c r="F628" s="7">
        <f t="shared" si="27"/>
        <v>3.7126417067989301</v>
      </c>
      <c r="G628" s="7">
        <f t="shared" si="28"/>
        <v>3.8030659999999998</v>
      </c>
      <c r="H628" s="7">
        <f t="shared" si="29"/>
        <v>9.0424293201069705E-2</v>
      </c>
      <c r="I628" s="8">
        <v>2.3776682603212002E-2</v>
      </c>
      <c r="J628" s="2" t="s">
        <v>68</v>
      </c>
    </row>
    <row r="629" spans="1:10" ht="12.75" customHeight="1">
      <c r="A629" s="1">
        <v>46194</v>
      </c>
      <c r="B629" s="2">
        <v>5</v>
      </c>
      <c r="C629" s="7">
        <v>-3.38722984057096</v>
      </c>
      <c r="D629" s="7">
        <v>-3.4685670000000002</v>
      </c>
      <c r="E629" s="7">
        <v>8.1337159429036798E-2</v>
      </c>
      <c r="F629" s="7">
        <f t="shared" si="27"/>
        <v>3.38722984057096</v>
      </c>
      <c r="G629" s="7">
        <f t="shared" si="28"/>
        <v>3.4685670000000002</v>
      </c>
      <c r="H629" s="7">
        <f t="shared" si="29"/>
        <v>8.1337159429040184E-2</v>
      </c>
      <c r="I629" s="8">
        <v>2.3449787600769101E-2</v>
      </c>
      <c r="J629" s="2" t="s">
        <v>68</v>
      </c>
    </row>
    <row r="630" spans="1:10" ht="12.75" customHeight="1">
      <c r="A630" s="1">
        <v>46192</v>
      </c>
      <c r="B630" s="2">
        <v>3</v>
      </c>
      <c r="C630" s="7">
        <v>-3.7411248724581601</v>
      </c>
      <c r="D630" s="7">
        <v>-3.8308870000000002</v>
      </c>
      <c r="E630" s="7">
        <v>8.9762127541837697E-2</v>
      </c>
      <c r="F630" s="7">
        <f t="shared" si="27"/>
        <v>3.7411248724581601</v>
      </c>
      <c r="G630" s="7">
        <f t="shared" si="28"/>
        <v>3.8308870000000002</v>
      </c>
      <c r="H630" s="7">
        <f t="shared" si="29"/>
        <v>8.9762127541840098E-2</v>
      </c>
      <c r="I630" s="8">
        <v>2.34311603401086E-2</v>
      </c>
      <c r="J630" s="2" t="s">
        <v>68</v>
      </c>
    </row>
    <row r="631" spans="1:10" ht="12.75" customHeight="1">
      <c r="A631" s="1">
        <v>46201</v>
      </c>
      <c r="B631" s="2">
        <v>18</v>
      </c>
      <c r="C631" s="7">
        <v>-3.6313398807602</v>
      </c>
      <c r="D631" s="7">
        <v>-3.717015</v>
      </c>
      <c r="E631" s="7">
        <v>0.72962930203979903</v>
      </c>
      <c r="F631" s="7">
        <f t="shared" si="27"/>
        <v>3.6313398807602</v>
      </c>
      <c r="G631" s="7">
        <f t="shared" si="28"/>
        <v>3.717015</v>
      </c>
      <c r="H631" s="7">
        <f t="shared" si="29"/>
        <v>8.5675119239799979E-2</v>
      </c>
      <c r="I631" s="8">
        <v>2.30494413500614E-2</v>
      </c>
      <c r="J631" s="2" t="s">
        <v>68</v>
      </c>
    </row>
    <row r="632" spans="1:10" ht="12.75" customHeight="1">
      <c r="A632" s="1">
        <v>46176</v>
      </c>
      <c r="B632" s="2">
        <v>12</v>
      </c>
      <c r="C632" s="7">
        <v>-3.7918993301957999</v>
      </c>
      <c r="D632" s="7">
        <v>-3.880706</v>
      </c>
      <c r="E632" s="7">
        <v>0.83864731980420204</v>
      </c>
      <c r="F632" s="7">
        <f t="shared" si="27"/>
        <v>3.7918993301957999</v>
      </c>
      <c r="G632" s="7">
        <f t="shared" si="28"/>
        <v>3.880706</v>
      </c>
      <c r="H632" s="7">
        <f t="shared" si="29"/>
        <v>8.8806669804200045E-2</v>
      </c>
      <c r="I632" s="8">
        <v>2.28841529876786E-2</v>
      </c>
      <c r="J632" s="2" t="s">
        <v>68</v>
      </c>
    </row>
    <row r="633" spans="1:10" ht="12.75" customHeight="1">
      <c r="A633" s="1">
        <v>46180</v>
      </c>
      <c r="B633" s="2">
        <v>23</v>
      </c>
      <c r="C633" s="7">
        <v>-3.7945189345651</v>
      </c>
      <c r="D633" s="7">
        <v>-3.882647</v>
      </c>
      <c r="E633" s="7">
        <v>8.8128065434899303E-2</v>
      </c>
      <c r="F633" s="7">
        <f t="shared" si="27"/>
        <v>3.7945189345651</v>
      </c>
      <c r="G633" s="7">
        <f t="shared" si="28"/>
        <v>3.882647</v>
      </c>
      <c r="H633" s="7">
        <f t="shared" si="29"/>
        <v>8.8128065434899927E-2</v>
      </c>
      <c r="I633" s="8">
        <v>2.2697934021532001E-2</v>
      </c>
      <c r="J633" s="2" t="s">
        <v>68</v>
      </c>
    </row>
    <row r="634" spans="1:10" ht="12.75" customHeight="1">
      <c r="A634" s="1">
        <v>46192</v>
      </c>
      <c r="B634" s="2">
        <v>19</v>
      </c>
      <c r="C634" s="7">
        <v>-5.0354037974286197</v>
      </c>
      <c r="D634" s="7">
        <v>-4.925611</v>
      </c>
      <c r="E634" s="7">
        <v>-5.2002757428620802E-2</v>
      </c>
      <c r="F634" s="7">
        <f t="shared" si="27"/>
        <v>5.0354037974286197</v>
      </c>
      <c r="G634" s="7">
        <f t="shared" si="28"/>
        <v>4.925611</v>
      </c>
      <c r="H634" s="7">
        <f t="shared" si="29"/>
        <v>0.10979279742861969</v>
      </c>
      <c r="I634" s="8">
        <v>2.2290188451467401E-2</v>
      </c>
      <c r="J634" s="2" t="s">
        <v>68</v>
      </c>
    </row>
    <row r="635" spans="1:10" ht="12.75" customHeight="1">
      <c r="A635" s="1">
        <v>46175</v>
      </c>
      <c r="B635" s="2">
        <v>20</v>
      </c>
      <c r="C635" s="7">
        <v>-5.2410045195723702</v>
      </c>
      <c r="D635" s="7">
        <v>-5.1274749999999996</v>
      </c>
      <c r="E635" s="7">
        <v>-0.111761915572374</v>
      </c>
      <c r="F635" s="7">
        <f t="shared" si="27"/>
        <v>5.2410045195723702</v>
      </c>
      <c r="G635" s="7">
        <f t="shared" si="28"/>
        <v>5.1274749999999996</v>
      </c>
      <c r="H635" s="7">
        <f t="shared" si="29"/>
        <v>0.11352951957237067</v>
      </c>
      <c r="I635" s="8">
        <v>2.2141408699676499E-2</v>
      </c>
      <c r="J635" s="2" t="s">
        <v>68</v>
      </c>
    </row>
    <row r="636" spans="1:10" ht="12.75" customHeight="1">
      <c r="A636" s="1">
        <v>46194</v>
      </c>
      <c r="B636" s="2">
        <v>24</v>
      </c>
      <c r="C636" s="7">
        <v>-3.6248260252945999</v>
      </c>
      <c r="D636" s="7">
        <v>-3.7066629999999998</v>
      </c>
      <c r="E636" s="7">
        <v>8.1836974705403395E-2</v>
      </c>
      <c r="F636" s="7">
        <f t="shared" si="27"/>
        <v>3.6248260252945999</v>
      </c>
      <c r="G636" s="7">
        <f t="shared" si="28"/>
        <v>3.7066629999999998</v>
      </c>
      <c r="H636" s="7">
        <f t="shared" si="29"/>
        <v>8.1836974705399967E-2</v>
      </c>
      <c r="I636" s="8">
        <v>2.2078342354134601E-2</v>
      </c>
      <c r="J636" s="2" t="s">
        <v>68</v>
      </c>
    </row>
    <row r="637" spans="1:10" ht="12.75" customHeight="1">
      <c r="A637" s="1">
        <v>46189</v>
      </c>
      <c r="B637" s="2">
        <v>4</v>
      </c>
      <c r="C637" s="7">
        <v>-3.7640593371929998</v>
      </c>
      <c r="D637" s="7">
        <v>-3.8490030000000002</v>
      </c>
      <c r="E637" s="7">
        <v>8.4943662806996098E-2</v>
      </c>
      <c r="F637" s="7">
        <f t="shared" si="27"/>
        <v>3.7640593371929998</v>
      </c>
      <c r="G637" s="7">
        <f t="shared" si="28"/>
        <v>3.8490030000000002</v>
      </c>
      <c r="H637" s="7">
        <f t="shared" si="29"/>
        <v>8.4943662807000386E-2</v>
      </c>
      <c r="I637" s="8">
        <v>2.20690040529966E-2</v>
      </c>
      <c r="J637" s="2" t="s">
        <v>68</v>
      </c>
    </row>
    <row r="638" spans="1:10" ht="12.75" customHeight="1">
      <c r="A638" s="1">
        <v>46200</v>
      </c>
      <c r="B638" s="2">
        <v>5</v>
      </c>
      <c r="C638" s="7">
        <v>-3.6519487957038699</v>
      </c>
      <c r="D638" s="7">
        <v>-3.574675</v>
      </c>
      <c r="E638" s="7">
        <v>-7.7273795703869899E-2</v>
      </c>
      <c r="F638" s="7">
        <f t="shared" si="27"/>
        <v>3.6519487957038699</v>
      </c>
      <c r="G638" s="7">
        <f t="shared" si="28"/>
        <v>3.574675</v>
      </c>
      <c r="H638" s="7">
        <f t="shared" si="29"/>
        <v>7.727379570386983E-2</v>
      </c>
      <c r="I638" s="8">
        <v>2.1617012932328102E-2</v>
      </c>
      <c r="J638" s="2" t="s">
        <v>68</v>
      </c>
    </row>
    <row r="639" spans="1:10" ht="12.75" customHeight="1">
      <c r="A639" s="1">
        <v>46179</v>
      </c>
      <c r="B639" s="2">
        <v>23</v>
      </c>
      <c r="C639" s="7">
        <v>-4.3094643366695697</v>
      </c>
      <c r="D639" s="7">
        <v>-4.2184400000000002</v>
      </c>
      <c r="E639" s="7">
        <v>-9.1024336669573394E-2</v>
      </c>
      <c r="F639" s="7">
        <f t="shared" si="27"/>
        <v>4.3094643366695697</v>
      </c>
      <c r="G639" s="7">
        <f t="shared" si="28"/>
        <v>4.2184400000000002</v>
      </c>
      <c r="H639" s="7">
        <f t="shared" si="29"/>
        <v>9.102433666956955E-2</v>
      </c>
      <c r="I639" s="8">
        <v>2.1577724625589899E-2</v>
      </c>
      <c r="J639" s="2" t="s">
        <v>68</v>
      </c>
    </row>
    <row r="640" spans="1:10" ht="12.75" customHeight="1">
      <c r="A640" s="1">
        <v>46203</v>
      </c>
      <c r="B640" s="2">
        <v>21</v>
      </c>
      <c r="C640" s="7">
        <v>-6.7349903958565696</v>
      </c>
      <c r="D640" s="7">
        <v>-6.59293</v>
      </c>
      <c r="E640" s="7">
        <v>-0.14206039585656599</v>
      </c>
      <c r="F640" s="7">
        <f t="shared" si="27"/>
        <v>6.7349903958565696</v>
      </c>
      <c r="G640" s="7">
        <f t="shared" si="28"/>
        <v>6.59293</v>
      </c>
      <c r="H640" s="7">
        <f t="shared" si="29"/>
        <v>0.1420603958565696</v>
      </c>
      <c r="I640" s="8">
        <v>2.1547384221668599E-2</v>
      </c>
      <c r="J640" s="2" t="s">
        <v>68</v>
      </c>
    </row>
    <row r="641" spans="1:10" ht="12.75" customHeight="1">
      <c r="A641" s="1">
        <v>46186</v>
      </c>
      <c r="B641" s="2">
        <v>23</v>
      </c>
      <c r="C641" s="7">
        <v>-4.4935208809597498</v>
      </c>
      <c r="D641" s="7">
        <v>-4.5917589999999997</v>
      </c>
      <c r="E641" s="7">
        <v>9.8238119040248595E-2</v>
      </c>
      <c r="F641" s="7">
        <f t="shared" si="27"/>
        <v>4.4935208809597498</v>
      </c>
      <c r="G641" s="7">
        <f t="shared" si="28"/>
        <v>4.5917589999999997</v>
      </c>
      <c r="H641" s="7">
        <f t="shared" si="29"/>
        <v>9.8238119040249927E-2</v>
      </c>
      <c r="I641" s="8">
        <v>2.1394441441776098E-2</v>
      </c>
      <c r="J641" s="2" t="s">
        <v>68</v>
      </c>
    </row>
    <row r="642" spans="1:10" ht="12.75" customHeight="1">
      <c r="A642" s="1">
        <v>46174</v>
      </c>
      <c r="B642" s="2">
        <v>21</v>
      </c>
      <c r="C642" s="7">
        <v>-5.8237886837867396</v>
      </c>
      <c r="D642" s="7">
        <v>-5.7071870000000002</v>
      </c>
      <c r="E642" s="7">
        <v>-0.11660168378673499</v>
      </c>
      <c r="F642" s="7">
        <f t="shared" ref="F642:F705" si="30">ABS(C642)</f>
        <v>5.8237886837867396</v>
      </c>
      <c r="G642" s="7">
        <f t="shared" ref="G642:G705" si="31">ABS(D642)</f>
        <v>5.7071870000000002</v>
      </c>
      <c r="H642" s="7">
        <f t="shared" ref="H642:H705" si="32">ABS(G642-F642)</f>
        <v>0.11660168378673941</v>
      </c>
      <c r="I642" s="8">
        <v>2.0430675179687399E-2</v>
      </c>
      <c r="J642" s="2" t="s">
        <v>68</v>
      </c>
    </row>
    <row r="643" spans="1:10" ht="12.75" customHeight="1">
      <c r="A643" s="1">
        <v>46184</v>
      </c>
      <c r="B643" s="2">
        <v>23</v>
      </c>
      <c r="C643" s="7">
        <v>-5.4448190672708696</v>
      </c>
      <c r="D643" s="7">
        <v>-5.3364560000000001</v>
      </c>
      <c r="E643" s="7">
        <v>-0.108363067270865</v>
      </c>
      <c r="F643" s="7">
        <f t="shared" si="30"/>
        <v>5.4448190672708696</v>
      </c>
      <c r="G643" s="7">
        <f t="shared" si="31"/>
        <v>5.3364560000000001</v>
      </c>
      <c r="H643" s="7">
        <f t="shared" si="32"/>
        <v>0.10836306727086953</v>
      </c>
      <c r="I643" s="8">
        <v>2.0306185841477101E-2</v>
      </c>
      <c r="J643" s="2" t="s">
        <v>68</v>
      </c>
    </row>
    <row r="644" spans="1:10" ht="12.75" customHeight="1">
      <c r="A644" s="1">
        <v>46186</v>
      </c>
      <c r="B644" s="2">
        <v>5</v>
      </c>
      <c r="C644" s="7">
        <v>-3.9615392115558699</v>
      </c>
      <c r="D644" s="7">
        <v>-4.0424559999999996</v>
      </c>
      <c r="E644" s="7">
        <v>8.0916788444135801E-2</v>
      </c>
      <c r="F644" s="7">
        <f t="shared" si="30"/>
        <v>3.9615392115558699</v>
      </c>
      <c r="G644" s="7">
        <f t="shared" si="31"/>
        <v>4.0424559999999996</v>
      </c>
      <c r="H644" s="7">
        <f t="shared" si="32"/>
        <v>8.091678844412975E-2</v>
      </c>
      <c r="I644" s="8">
        <v>2.0016739438632299E-2</v>
      </c>
      <c r="J644" s="2" t="s">
        <v>68</v>
      </c>
    </row>
    <row r="645" spans="1:10" ht="12.75" customHeight="1">
      <c r="A645" s="1">
        <v>46187</v>
      </c>
      <c r="B645" s="2">
        <v>4</v>
      </c>
      <c r="C645" s="7">
        <v>-3.37043378512019</v>
      </c>
      <c r="D645" s="7">
        <v>-3.3048760000000001</v>
      </c>
      <c r="E645" s="7">
        <v>-6.5557785120194195E-2</v>
      </c>
      <c r="F645" s="7">
        <f t="shared" si="30"/>
        <v>3.37043378512019</v>
      </c>
      <c r="G645" s="7">
        <f t="shared" si="31"/>
        <v>3.3048760000000001</v>
      </c>
      <c r="H645" s="7">
        <f t="shared" si="32"/>
        <v>6.5557785120189838E-2</v>
      </c>
      <c r="I645" s="8">
        <v>1.9836685285679199E-2</v>
      </c>
      <c r="J645" s="2" t="s">
        <v>68</v>
      </c>
    </row>
    <row r="646" spans="1:10" ht="12.75" customHeight="1">
      <c r="A646" s="1">
        <v>46187</v>
      </c>
      <c r="B646" s="2">
        <v>5</v>
      </c>
      <c r="C646" s="7">
        <v>-3.3140290135522301</v>
      </c>
      <c r="D646" s="7">
        <v>-3.2498809999999998</v>
      </c>
      <c r="E646" s="7">
        <v>-6.4148013552225006E-2</v>
      </c>
      <c r="F646" s="7">
        <f t="shared" si="30"/>
        <v>3.3140290135522301</v>
      </c>
      <c r="G646" s="7">
        <f t="shared" si="31"/>
        <v>3.2498809999999998</v>
      </c>
      <c r="H646" s="7">
        <f t="shared" si="32"/>
        <v>6.4148013552230321E-2</v>
      </c>
      <c r="I646" s="8">
        <v>1.9738573059205899E-2</v>
      </c>
      <c r="J646" s="2" t="s">
        <v>68</v>
      </c>
    </row>
    <row r="647" spans="1:10" ht="12.75" customHeight="1">
      <c r="A647" s="1">
        <v>46176</v>
      </c>
      <c r="B647" s="2">
        <v>4</v>
      </c>
      <c r="C647" s="7">
        <v>-3.6399410635002099</v>
      </c>
      <c r="D647" s="7">
        <v>-3.5701459999999998</v>
      </c>
      <c r="E647" s="7">
        <v>-6.9795063500209503E-2</v>
      </c>
      <c r="F647" s="7">
        <f t="shared" si="30"/>
        <v>3.6399410635002099</v>
      </c>
      <c r="G647" s="7">
        <f t="shared" si="31"/>
        <v>3.5701459999999998</v>
      </c>
      <c r="H647" s="7">
        <f t="shared" si="32"/>
        <v>6.9795063500210031E-2</v>
      </c>
      <c r="I647" s="8">
        <v>1.9549638446217502E-2</v>
      </c>
      <c r="J647" s="2" t="s">
        <v>68</v>
      </c>
    </row>
    <row r="648" spans="1:10" ht="12.75" customHeight="1">
      <c r="A648" s="1">
        <v>46193</v>
      </c>
      <c r="B648" s="2">
        <v>2</v>
      </c>
      <c r="C648" s="7">
        <v>-4.0299553895095102</v>
      </c>
      <c r="D648" s="7">
        <v>-3.9544640000000002</v>
      </c>
      <c r="E648" s="7">
        <v>-7.5491389509506998E-2</v>
      </c>
      <c r="F648" s="7">
        <f t="shared" si="30"/>
        <v>4.0299553895095102</v>
      </c>
      <c r="G648" s="7">
        <f t="shared" si="31"/>
        <v>3.9544640000000002</v>
      </c>
      <c r="H648" s="7">
        <f t="shared" si="32"/>
        <v>7.5491389509509954E-2</v>
      </c>
      <c r="I648" s="8">
        <v>1.9090169871190402E-2</v>
      </c>
      <c r="J648" s="2" t="s">
        <v>68</v>
      </c>
    </row>
    <row r="649" spans="1:10" ht="12.75" customHeight="1">
      <c r="A649" s="1">
        <v>46176</v>
      </c>
      <c r="B649" s="2">
        <v>6</v>
      </c>
      <c r="C649" s="7">
        <v>-3.3720026629740101</v>
      </c>
      <c r="D649" s="7">
        <v>-3.3094049999999999</v>
      </c>
      <c r="E649" s="7">
        <v>-4.9774899374004998E-2</v>
      </c>
      <c r="F649" s="7">
        <f t="shared" si="30"/>
        <v>3.3720026629740101</v>
      </c>
      <c r="G649" s="7">
        <f t="shared" si="31"/>
        <v>3.3094049999999999</v>
      </c>
      <c r="H649" s="7">
        <f t="shared" si="32"/>
        <v>6.2597662974010149E-2</v>
      </c>
      <c r="I649" s="8">
        <v>1.89150807997223E-2</v>
      </c>
      <c r="J649" s="2" t="s">
        <v>68</v>
      </c>
    </row>
    <row r="650" spans="1:10" ht="12.75" customHeight="1">
      <c r="A650" s="1">
        <v>46174</v>
      </c>
      <c r="B650" s="2">
        <v>18</v>
      </c>
      <c r="C650" s="7">
        <v>-4.3052492431759397</v>
      </c>
      <c r="D650" s="7">
        <v>-4.2255570000000002</v>
      </c>
      <c r="E650" s="7">
        <v>0.112772787824059</v>
      </c>
      <c r="F650" s="7">
        <f t="shared" si="30"/>
        <v>4.3052492431759397</v>
      </c>
      <c r="G650" s="7">
        <f t="shared" si="31"/>
        <v>4.2255570000000002</v>
      </c>
      <c r="H650" s="7">
        <f t="shared" si="32"/>
        <v>7.9692243175939481E-2</v>
      </c>
      <c r="I650" s="8">
        <v>1.8859583050457401E-2</v>
      </c>
      <c r="J650" s="2" t="s">
        <v>68</v>
      </c>
    </row>
    <row r="651" spans="1:10" ht="12.75" customHeight="1">
      <c r="A651" s="1">
        <v>46176</v>
      </c>
      <c r="B651" s="2">
        <v>7</v>
      </c>
      <c r="C651" s="7">
        <v>-2.8858348207594702</v>
      </c>
      <c r="D651" s="7">
        <v>-2.9386739999999998</v>
      </c>
      <c r="E651" s="7">
        <v>0.14323284324052901</v>
      </c>
      <c r="F651" s="7">
        <f t="shared" si="30"/>
        <v>2.8858348207594702</v>
      </c>
      <c r="G651" s="7">
        <f t="shared" si="31"/>
        <v>2.9386739999999998</v>
      </c>
      <c r="H651" s="7">
        <f t="shared" si="32"/>
        <v>5.283917924052961E-2</v>
      </c>
      <c r="I651" s="8">
        <v>1.7980619572136598E-2</v>
      </c>
      <c r="J651" s="2" t="s">
        <v>68</v>
      </c>
    </row>
    <row r="652" spans="1:10" ht="12.75" customHeight="1">
      <c r="A652" s="1">
        <v>46197</v>
      </c>
      <c r="B652" s="2">
        <v>6</v>
      </c>
      <c r="C652" s="7">
        <v>-3.5077020686990301</v>
      </c>
      <c r="D652" s="7">
        <v>-3.5688520000000001</v>
      </c>
      <c r="E652" s="7">
        <v>7.2637416300968802E-2</v>
      </c>
      <c r="F652" s="7">
        <f t="shared" si="30"/>
        <v>3.5077020686990301</v>
      </c>
      <c r="G652" s="7">
        <f t="shared" si="31"/>
        <v>3.5688520000000001</v>
      </c>
      <c r="H652" s="7">
        <f t="shared" si="32"/>
        <v>6.1149931300970017E-2</v>
      </c>
      <c r="I652" s="8">
        <v>1.7134342164082099E-2</v>
      </c>
      <c r="J652" s="2" t="s">
        <v>68</v>
      </c>
    </row>
    <row r="653" spans="1:10" ht="12.75" customHeight="1">
      <c r="A653" s="1">
        <v>46174</v>
      </c>
      <c r="B653" s="2">
        <v>23</v>
      </c>
      <c r="C653" s="7">
        <v>-4.7598894728543497</v>
      </c>
      <c r="D653" s="7">
        <v>-4.8427949999999997</v>
      </c>
      <c r="E653" s="7">
        <v>8.2905527145652302E-2</v>
      </c>
      <c r="F653" s="7">
        <f t="shared" si="30"/>
        <v>4.7598894728543497</v>
      </c>
      <c r="G653" s="7">
        <f t="shared" si="31"/>
        <v>4.8427949999999997</v>
      </c>
      <c r="H653" s="7">
        <f t="shared" si="32"/>
        <v>8.2905527145650026E-2</v>
      </c>
      <c r="I653" s="8">
        <v>1.71193550719476E-2</v>
      </c>
      <c r="J653" s="2" t="s">
        <v>68</v>
      </c>
    </row>
    <row r="654" spans="1:10" ht="12.75" customHeight="1">
      <c r="A654" s="1">
        <v>46174</v>
      </c>
      <c r="B654" s="2">
        <v>24</v>
      </c>
      <c r="C654" s="7">
        <v>-4.2236336456324697</v>
      </c>
      <c r="D654" s="7">
        <v>-4.2967269999999997</v>
      </c>
      <c r="E654" s="7">
        <v>7.3093354367529395E-2</v>
      </c>
      <c r="F654" s="7">
        <f t="shared" si="30"/>
        <v>4.2236336456324697</v>
      </c>
      <c r="G654" s="7">
        <f t="shared" si="31"/>
        <v>4.2967269999999997</v>
      </c>
      <c r="H654" s="7">
        <f t="shared" si="32"/>
        <v>7.3093354367530061E-2</v>
      </c>
      <c r="I654" s="8">
        <v>1.70114029510205E-2</v>
      </c>
      <c r="J654" s="2" t="s">
        <v>68</v>
      </c>
    </row>
    <row r="655" spans="1:10" ht="12.75" customHeight="1">
      <c r="A655" s="1">
        <v>46200</v>
      </c>
      <c r="B655" s="2">
        <v>4</v>
      </c>
      <c r="C655" s="7">
        <v>-3.6774395227365702</v>
      </c>
      <c r="D655" s="7">
        <v>-3.6160830000000002</v>
      </c>
      <c r="E655" s="7">
        <v>-6.1356522736573799E-2</v>
      </c>
      <c r="F655" s="7">
        <f t="shared" si="30"/>
        <v>3.6774395227365702</v>
      </c>
      <c r="G655" s="7">
        <f t="shared" si="31"/>
        <v>3.6160830000000002</v>
      </c>
      <c r="H655" s="7">
        <f t="shared" si="32"/>
        <v>6.1356522736569996E-2</v>
      </c>
      <c r="I655" s="8">
        <v>1.6967675447873799E-2</v>
      </c>
      <c r="J655" s="2" t="s">
        <v>68</v>
      </c>
    </row>
    <row r="656" spans="1:10" ht="12.75" customHeight="1">
      <c r="A656" s="1">
        <v>46190</v>
      </c>
      <c r="B656" s="2">
        <v>13</v>
      </c>
      <c r="C656" s="7">
        <v>-3.8102489404062099</v>
      </c>
      <c r="D656" s="7">
        <v>-3.7467769999999998</v>
      </c>
      <c r="E656" s="7">
        <v>0.73668033539379496</v>
      </c>
      <c r="F656" s="7">
        <f t="shared" si="30"/>
        <v>3.8102489404062099</v>
      </c>
      <c r="G656" s="7">
        <f t="shared" si="31"/>
        <v>3.7467769999999998</v>
      </c>
      <c r="H656" s="7">
        <f t="shared" si="32"/>
        <v>6.347194040621007E-2</v>
      </c>
      <c r="I656" s="8">
        <v>1.6940410493126602E-2</v>
      </c>
      <c r="J656" s="2" t="s">
        <v>68</v>
      </c>
    </row>
    <row r="657" spans="1:10" ht="12.75" customHeight="1">
      <c r="A657" s="1">
        <v>46196</v>
      </c>
      <c r="B657" s="2">
        <v>5</v>
      </c>
      <c r="C657" s="7">
        <v>-3.7138510854139501</v>
      </c>
      <c r="D657" s="7">
        <v>-3.7778330000000002</v>
      </c>
      <c r="E657" s="7">
        <v>6.39819145860476E-2</v>
      </c>
      <c r="F657" s="7">
        <f t="shared" si="30"/>
        <v>3.7138510854139501</v>
      </c>
      <c r="G657" s="7">
        <f t="shared" si="31"/>
        <v>3.7778330000000002</v>
      </c>
      <c r="H657" s="7">
        <f t="shared" si="32"/>
        <v>6.398191458605007E-2</v>
      </c>
      <c r="I657" s="8">
        <v>1.6936141588590001E-2</v>
      </c>
      <c r="J657" s="2" t="s">
        <v>68</v>
      </c>
    </row>
    <row r="658" spans="1:10" ht="12.75" customHeight="1">
      <c r="A658" s="1">
        <v>46175</v>
      </c>
      <c r="B658" s="2">
        <v>4</v>
      </c>
      <c r="C658" s="7">
        <v>-3.5339679780235498</v>
      </c>
      <c r="D658" s="7">
        <v>-3.594732</v>
      </c>
      <c r="E658" s="7">
        <v>6.0764021976446203E-2</v>
      </c>
      <c r="F658" s="7">
        <f t="shared" si="30"/>
        <v>3.5339679780235498</v>
      </c>
      <c r="G658" s="7">
        <f t="shared" si="31"/>
        <v>3.594732</v>
      </c>
      <c r="H658" s="7">
        <f t="shared" si="32"/>
        <v>6.0764021976450255E-2</v>
      </c>
      <c r="I658" s="8">
        <v>1.6903630639626601E-2</v>
      </c>
      <c r="J658" s="2" t="s">
        <v>68</v>
      </c>
    </row>
    <row r="659" spans="1:10" ht="12.75" customHeight="1">
      <c r="A659" s="1">
        <v>46202</v>
      </c>
      <c r="B659" s="2">
        <v>6</v>
      </c>
      <c r="C659" s="7">
        <v>-3.3025107222813399</v>
      </c>
      <c r="D659" s="7">
        <v>-3.2479399999999998</v>
      </c>
      <c r="E659" s="7">
        <v>-4.0607168281336301E-2</v>
      </c>
      <c r="F659" s="7">
        <f t="shared" si="30"/>
        <v>3.3025107222813399</v>
      </c>
      <c r="G659" s="7">
        <f t="shared" si="31"/>
        <v>3.2479399999999998</v>
      </c>
      <c r="H659" s="7">
        <f t="shared" si="32"/>
        <v>5.4570722281340078E-2</v>
      </c>
      <c r="I659" s="8">
        <v>1.68016411267869E-2</v>
      </c>
      <c r="J659" s="2" t="s">
        <v>68</v>
      </c>
    </row>
    <row r="660" spans="1:10" ht="12.75" customHeight="1">
      <c r="A660" s="1">
        <v>46175</v>
      </c>
      <c r="B660" s="2">
        <v>19</v>
      </c>
      <c r="C660" s="7">
        <v>-4.4855809656836803</v>
      </c>
      <c r="D660" s="7">
        <v>-4.4125399999999999</v>
      </c>
      <c r="E660" s="7">
        <v>-5.4527707683680399E-2</v>
      </c>
      <c r="F660" s="7">
        <f t="shared" si="30"/>
        <v>4.4855809656836803</v>
      </c>
      <c r="G660" s="7">
        <f t="shared" si="31"/>
        <v>4.4125399999999999</v>
      </c>
      <c r="H660" s="7">
        <f t="shared" si="32"/>
        <v>7.3040965683680348E-2</v>
      </c>
      <c r="I660" s="8">
        <v>1.6553043300158301E-2</v>
      </c>
      <c r="J660" s="2" t="s">
        <v>68</v>
      </c>
    </row>
    <row r="661" spans="1:10" ht="12.75" customHeight="1">
      <c r="A661" s="1">
        <v>46180</v>
      </c>
      <c r="B661" s="2">
        <v>24</v>
      </c>
      <c r="C661" s="7">
        <v>-3.41464665680836</v>
      </c>
      <c r="D661" s="7">
        <v>-3.471155</v>
      </c>
      <c r="E661" s="7">
        <v>5.6508343191638701E-2</v>
      </c>
      <c r="F661" s="7">
        <f t="shared" si="30"/>
        <v>3.41464665680836</v>
      </c>
      <c r="G661" s="7">
        <f t="shared" si="31"/>
        <v>3.471155</v>
      </c>
      <c r="H661" s="7">
        <f t="shared" si="32"/>
        <v>5.6508343191639998E-2</v>
      </c>
      <c r="I661" s="8">
        <v>1.6279406477566899E-2</v>
      </c>
      <c r="J661" s="2" t="s">
        <v>68</v>
      </c>
    </row>
    <row r="662" spans="1:10" ht="12.75" customHeight="1">
      <c r="A662" s="1">
        <v>46202</v>
      </c>
      <c r="B662" s="2">
        <v>3</v>
      </c>
      <c r="C662" s="7">
        <v>-3.5799202614147898</v>
      </c>
      <c r="D662" s="7">
        <v>-3.5229149999999998</v>
      </c>
      <c r="E662" s="7">
        <v>-5.7005261414793999E-2</v>
      </c>
      <c r="F662" s="7">
        <f t="shared" si="30"/>
        <v>3.5799202614147898</v>
      </c>
      <c r="G662" s="7">
        <f t="shared" si="31"/>
        <v>3.5229149999999998</v>
      </c>
      <c r="H662" s="7">
        <f t="shared" si="32"/>
        <v>5.7005261414790009E-2</v>
      </c>
      <c r="I662" s="8">
        <v>1.6181276418759501E-2</v>
      </c>
      <c r="J662" s="2" t="s">
        <v>68</v>
      </c>
    </row>
    <row r="663" spans="1:10" ht="12.75" customHeight="1">
      <c r="A663" s="1">
        <v>46200</v>
      </c>
      <c r="B663" s="2">
        <v>23</v>
      </c>
      <c r="C663" s="7">
        <v>-5.0515935846985602</v>
      </c>
      <c r="D663" s="7">
        <v>-4.9721950000000001</v>
      </c>
      <c r="E663" s="7">
        <v>-7.9398584698556304E-2</v>
      </c>
      <c r="F663" s="7">
        <f t="shared" si="30"/>
        <v>5.0515935846985602</v>
      </c>
      <c r="G663" s="7">
        <f t="shared" si="31"/>
        <v>4.9721950000000001</v>
      </c>
      <c r="H663" s="7">
        <f t="shared" si="32"/>
        <v>7.9398584698560093E-2</v>
      </c>
      <c r="I663" s="8">
        <v>1.59685178675728E-2</v>
      </c>
      <c r="J663" s="2" t="s">
        <v>68</v>
      </c>
    </row>
    <row r="664" spans="1:10" ht="12.75" customHeight="1">
      <c r="A664" s="1">
        <v>46174</v>
      </c>
      <c r="B664" s="2">
        <v>12</v>
      </c>
      <c r="C664" s="7">
        <v>-3.7928034963441899</v>
      </c>
      <c r="D664" s="7">
        <v>-3.7344840000000001</v>
      </c>
      <c r="E664" s="7">
        <v>0.76728614765580705</v>
      </c>
      <c r="F664" s="7">
        <f t="shared" si="30"/>
        <v>3.7928034963441899</v>
      </c>
      <c r="G664" s="7">
        <f t="shared" si="31"/>
        <v>3.7344840000000001</v>
      </c>
      <c r="H664" s="7">
        <f t="shared" si="32"/>
        <v>5.8319496344189758E-2</v>
      </c>
      <c r="I664" s="8">
        <v>1.56164804412587E-2</v>
      </c>
      <c r="J664" s="2" t="s">
        <v>68</v>
      </c>
    </row>
    <row r="665" spans="1:10" ht="12.75" customHeight="1">
      <c r="A665" s="1">
        <v>46194</v>
      </c>
      <c r="B665" s="2">
        <v>2</v>
      </c>
      <c r="C665" s="7">
        <v>-3.5337783621033498</v>
      </c>
      <c r="D665" s="7">
        <v>-3.480213</v>
      </c>
      <c r="E665" s="7">
        <v>-5.356536210335E-2</v>
      </c>
      <c r="F665" s="7">
        <f t="shared" si="30"/>
        <v>3.5337783621033498</v>
      </c>
      <c r="G665" s="7">
        <f t="shared" si="31"/>
        <v>3.480213</v>
      </c>
      <c r="H665" s="7">
        <f t="shared" si="32"/>
        <v>5.3565362103349834E-2</v>
      </c>
      <c r="I665" s="8">
        <v>1.53914033719632E-2</v>
      </c>
      <c r="J665" s="2" t="s">
        <v>68</v>
      </c>
    </row>
    <row r="666" spans="1:10" ht="12.75" customHeight="1">
      <c r="A666" s="1">
        <v>46191</v>
      </c>
      <c r="B666" s="2">
        <v>5</v>
      </c>
      <c r="C666" s="7">
        <v>-3.8281440373664899</v>
      </c>
      <c r="D666" s="7">
        <v>-3.771363</v>
      </c>
      <c r="E666" s="7">
        <v>-5.6777155366487697E-2</v>
      </c>
      <c r="F666" s="7">
        <f t="shared" si="30"/>
        <v>3.8281440373664899</v>
      </c>
      <c r="G666" s="7">
        <f t="shared" si="31"/>
        <v>3.771363</v>
      </c>
      <c r="H666" s="7">
        <f t="shared" si="32"/>
        <v>5.6781037366489873E-2</v>
      </c>
      <c r="I666" s="8">
        <v>1.50558398559056E-2</v>
      </c>
      <c r="J666" s="2" t="s">
        <v>68</v>
      </c>
    </row>
    <row r="667" spans="1:10" ht="12.75" customHeight="1">
      <c r="A667" s="1">
        <v>46174</v>
      </c>
      <c r="B667" s="2">
        <v>22</v>
      </c>
      <c r="C667" s="7">
        <v>-5.6664129034025796</v>
      </c>
      <c r="D667" s="7">
        <v>-5.5829630000000003</v>
      </c>
      <c r="E667" s="7">
        <v>-8.3449903402581696E-2</v>
      </c>
      <c r="F667" s="7">
        <f t="shared" si="30"/>
        <v>5.6664129034025796</v>
      </c>
      <c r="G667" s="7">
        <f t="shared" si="31"/>
        <v>5.5829630000000003</v>
      </c>
      <c r="H667" s="7">
        <f t="shared" si="32"/>
        <v>8.3449903402579295E-2</v>
      </c>
      <c r="I667" s="8">
        <v>1.49472427817597E-2</v>
      </c>
      <c r="J667" s="2" t="s">
        <v>68</v>
      </c>
    </row>
    <row r="668" spans="1:10" ht="12.75" customHeight="1">
      <c r="A668" s="1">
        <v>46197</v>
      </c>
      <c r="B668" s="2">
        <v>5</v>
      </c>
      <c r="C668" s="7">
        <v>-3.7861259018901299</v>
      </c>
      <c r="D668" s="7">
        <v>-3.8431799999999998</v>
      </c>
      <c r="E668" s="7">
        <v>5.7054098109867703E-2</v>
      </c>
      <c r="F668" s="7">
        <f t="shared" si="30"/>
        <v>3.7861259018901299</v>
      </c>
      <c r="G668" s="7">
        <f t="shared" si="31"/>
        <v>3.8431799999999998</v>
      </c>
      <c r="H668" s="7">
        <f t="shared" si="32"/>
        <v>5.7054098109869944E-2</v>
      </c>
      <c r="I668" s="8">
        <v>1.4845544083250801E-2</v>
      </c>
      <c r="J668" s="2" t="s">
        <v>68</v>
      </c>
    </row>
    <row r="669" spans="1:10" ht="12.75" customHeight="1">
      <c r="A669" s="1">
        <v>46190</v>
      </c>
      <c r="B669" s="2">
        <v>4</v>
      </c>
      <c r="C669" s="7">
        <v>-3.9106496413199801</v>
      </c>
      <c r="D669" s="7">
        <v>-3.9693450000000001</v>
      </c>
      <c r="E669" s="7">
        <v>5.8695358680022403E-2</v>
      </c>
      <c r="F669" s="7">
        <f t="shared" si="30"/>
        <v>3.9106496413199801</v>
      </c>
      <c r="G669" s="7">
        <f t="shared" si="31"/>
        <v>3.9693450000000001</v>
      </c>
      <c r="H669" s="7">
        <f t="shared" si="32"/>
        <v>5.8695358680020071E-2</v>
      </c>
      <c r="I669" s="8">
        <v>1.4787164804274401E-2</v>
      </c>
      <c r="J669" s="2" t="s">
        <v>68</v>
      </c>
    </row>
    <row r="670" spans="1:10" ht="12.75" customHeight="1">
      <c r="A670" s="1">
        <v>46202</v>
      </c>
      <c r="B670" s="2">
        <v>2</v>
      </c>
      <c r="C670" s="7">
        <v>-3.6128406817261198</v>
      </c>
      <c r="D670" s="7">
        <v>-3.560441</v>
      </c>
      <c r="E670" s="7">
        <v>-5.2399681726121999E-2</v>
      </c>
      <c r="F670" s="7">
        <f t="shared" si="30"/>
        <v>3.6128406817261198</v>
      </c>
      <c r="G670" s="7">
        <f t="shared" si="31"/>
        <v>3.560441</v>
      </c>
      <c r="H670" s="7">
        <f t="shared" si="32"/>
        <v>5.2399681726119862E-2</v>
      </c>
      <c r="I670" s="8">
        <v>1.47171886084117E-2</v>
      </c>
      <c r="J670" s="2" t="s">
        <v>68</v>
      </c>
    </row>
    <row r="671" spans="1:10" ht="12.75" customHeight="1">
      <c r="A671" s="1">
        <v>46196</v>
      </c>
      <c r="B671" s="2">
        <v>2</v>
      </c>
      <c r="C671" s="7">
        <v>-3.9506834680685698</v>
      </c>
      <c r="D671" s="7">
        <v>-4.0094589999999997</v>
      </c>
      <c r="E671" s="7">
        <v>5.8775531931428697E-2</v>
      </c>
      <c r="F671" s="7">
        <f t="shared" si="30"/>
        <v>3.9506834680685698</v>
      </c>
      <c r="G671" s="7">
        <f t="shared" si="31"/>
        <v>4.0094589999999997</v>
      </c>
      <c r="H671" s="7">
        <f t="shared" si="32"/>
        <v>5.8775531931429814E-2</v>
      </c>
      <c r="I671" s="8">
        <v>1.46592175980422E-2</v>
      </c>
      <c r="J671" s="2" t="s">
        <v>68</v>
      </c>
    </row>
    <row r="672" spans="1:10" ht="12.75" customHeight="1">
      <c r="A672" s="1">
        <v>46176</v>
      </c>
      <c r="B672" s="2">
        <v>3</v>
      </c>
      <c r="C672" s="7">
        <v>-3.5788163329403302</v>
      </c>
      <c r="D672" s="7">
        <v>-3.527444</v>
      </c>
      <c r="E672" s="7">
        <v>-5.1372332940328301E-2</v>
      </c>
      <c r="F672" s="7">
        <f t="shared" si="30"/>
        <v>3.5788163329403302</v>
      </c>
      <c r="G672" s="7">
        <f t="shared" si="31"/>
        <v>3.527444</v>
      </c>
      <c r="H672" s="7">
        <f t="shared" si="32"/>
        <v>5.1372332940330168E-2</v>
      </c>
      <c r="I672" s="8">
        <v>1.4563614033370399E-2</v>
      </c>
      <c r="J672" s="2" t="s">
        <v>68</v>
      </c>
    </row>
    <row r="673" spans="1:10" ht="12.75" customHeight="1">
      <c r="A673" s="1">
        <v>46193</v>
      </c>
      <c r="B673" s="2">
        <v>7</v>
      </c>
      <c r="C673" s="7">
        <v>-2.8617237042012702</v>
      </c>
      <c r="D673" s="7">
        <v>-2.8209200000000001</v>
      </c>
      <c r="E673" s="7">
        <v>0.126428973798727</v>
      </c>
      <c r="F673" s="7">
        <f t="shared" si="30"/>
        <v>2.8617237042012702</v>
      </c>
      <c r="G673" s="7">
        <f t="shared" si="31"/>
        <v>2.8209200000000001</v>
      </c>
      <c r="H673" s="7">
        <f t="shared" si="32"/>
        <v>4.0803704201270108E-2</v>
      </c>
      <c r="I673" s="8">
        <v>1.44646796794213E-2</v>
      </c>
      <c r="J673" s="2" t="s">
        <v>68</v>
      </c>
    </row>
    <row r="674" spans="1:10" ht="12.75" customHeight="1">
      <c r="A674" s="1">
        <v>46179</v>
      </c>
      <c r="B674" s="2">
        <v>14</v>
      </c>
      <c r="C674" s="7">
        <v>-3.6321277206747</v>
      </c>
      <c r="D674" s="7">
        <v>-3.5811449999999998</v>
      </c>
      <c r="E674" s="7">
        <v>0.91998130772530395</v>
      </c>
      <c r="F674" s="7">
        <f t="shared" si="30"/>
        <v>3.6321277206747</v>
      </c>
      <c r="G674" s="7">
        <f t="shared" si="31"/>
        <v>3.5811449999999998</v>
      </c>
      <c r="H674" s="7">
        <f t="shared" si="32"/>
        <v>5.0982720674700222E-2</v>
      </c>
      <c r="I674" s="8">
        <v>1.4236430157029601E-2</v>
      </c>
      <c r="J674" s="2" t="s">
        <v>68</v>
      </c>
    </row>
    <row r="675" spans="1:10" ht="12.75" customHeight="1">
      <c r="A675" s="1">
        <v>46189</v>
      </c>
      <c r="B675" s="2">
        <v>14</v>
      </c>
      <c r="C675" s="7">
        <v>-4.1313680556644599</v>
      </c>
      <c r="D675" s="7">
        <v>-4.0741589999999999</v>
      </c>
      <c r="E675" s="7">
        <v>0.62189767233554405</v>
      </c>
      <c r="F675" s="7">
        <f t="shared" si="30"/>
        <v>4.1313680556644599</v>
      </c>
      <c r="G675" s="7">
        <f t="shared" si="31"/>
        <v>4.0741589999999999</v>
      </c>
      <c r="H675" s="7">
        <f t="shared" si="32"/>
        <v>5.7209055664459996E-2</v>
      </c>
      <c r="I675" s="8">
        <v>1.40419300435884E-2</v>
      </c>
      <c r="J675" s="2" t="s">
        <v>68</v>
      </c>
    </row>
    <row r="676" spans="1:10" ht="12.75" customHeight="1">
      <c r="A676" s="1">
        <v>46182</v>
      </c>
      <c r="B676" s="2">
        <v>6</v>
      </c>
      <c r="C676" s="7">
        <v>-3.62044484694716</v>
      </c>
      <c r="D676" s="7">
        <v>-3.667843</v>
      </c>
      <c r="E676" s="7">
        <v>5.3679487852839103E-2</v>
      </c>
      <c r="F676" s="7">
        <f t="shared" si="30"/>
        <v>3.62044484694716</v>
      </c>
      <c r="G676" s="7">
        <f t="shared" si="31"/>
        <v>3.667843</v>
      </c>
      <c r="H676" s="7">
        <f t="shared" si="32"/>
        <v>4.7398153052840009E-2</v>
      </c>
      <c r="I676" s="8">
        <v>1.2922623201930701E-2</v>
      </c>
      <c r="J676" s="2" t="s">
        <v>68</v>
      </c>
    </row>
    <row r="677" spans="1:10" ht="12.75" customHeight="1">
      <c r="A677" s="1">
        <v>46174</v>
      </c>
      <c r="B677" s="2">
        <v>19</v>
      </c>
      <c r="C677" s="7">
        <v>-4.6076109677816097</v>
      </c>
      <c r="D677" s="7">
        <v>-4.5522919999999996</v>
      </c>
      <c r="E677" s="7">
        <v>6.5368202183868499E-3</v>
      </c>
      <c r="F677" s="7">
        <f t="shared" si="30"/>
        <v>4.6076109677816097</v>
      </c>
      <c r="G677" s="7">
        <f t="shared" si="31"/>
        <v>4.5522919999999996</v>
      </c>
      <c r="H677" s="7">
        <f t="shared" si="32"/>
        <v>5.5318967781610162E-2</v>
      </c>
      <c r="I677" s="8">
        <v>1.2151893547604899E-2</v>
      </c>
      <c r="J677" s="2" t="s">
        <v>68</v>
      </c>
    </row>
    <row r="678" spans="1:10" ht="12.75" customHeight="1">
      <c r="A678" s="1">
        <v>46184</v>
      </c>
      <c r="B678" s="2">
        <v>24</v>
      </c>
      <c r="C678" s="7">
        <v>-4.6802231702971504</v>
      </c>
      <c r="D678" s="7">
        <v>-4.6241089999999998</v>
      </c>
      <c r="E678" s="7">
        <v>-5.61141702971477E-2</v>
      </c>
      <c r="F678" s="7">
        <f t="shared" si="30"/>
        <v>4.6802231702971504</v>
      </c>
      <c r="G678" s="7">
        <f t="shared" si="31"/>
        <v>4.6241089999999998</v>
      </c>
      <c r="H678" s="7">
        <f t="shared" si="32"/>
        <v>5.6114170297150601E-2</v>
      </c>
      <c r="I678" s="8">
        <v>1.2135131394425999E-2</v>
      </c>
      <c r="J678" s="2" t="s">
        <v>68</v>
      </c>
    </row>
    <row r="679" spans="1:10" ht="12.75" customHeight="1">
      <c r="A679" s="1">
        <v>46192</v>
      </c>
      <c r="B679" s="2">
        <v>2</v>
      </c>
      <c r="C679" s="7">
        <v>-3.8099807457204999</v>
      </c>
      <c r="D679" s="7">
        <v>-3.8567670000000001</v>
      </c>
      <c r="E679" s="7">
        <v>4.6786254279502101E-2</v>
      </c>
      <c r="F679" s="7">
        <f t="shared" si="30"/>
        <v>3.8099807457204999</v>
      </c>
      <c r="G679" s="7">
        <f t="shared" si="31"/>
        <v>3.8567670000000001</v>
      </c>
      <c r="H679" s="7">
        <f t="shared" si="32"/>
        <v>4.6786254279500117E-2</v>
      </c>
      <c r="I679" s="8">
        <v>1.21309517218702E-2</v>
      </c>
      <c r="J679" s="2" t="s">
        <v>68</v>
      </c>
    </row>
    <row r="680" spans="1:10" ht="12.75" customHeight="1">
      <c r="A680" s="1">
        <v>46179</v>
      </c>
      <c r="B680" s="2">
        <v>24</v>
      </c>
      <c r="C680" s="7">
        <v>-3.7121762431920402</v>
      </c>
      <c r="D680" s="7">
        <v>-3.7571289999999999</v>
      </c>
      <c r="E680" s="7">
        <v>4.49527568079644E-2</v>
      </c>
      <c r="F680" s="7">
        <f t="shared" si="30"/>
        <v>3.7121762431920402</v>
      </c>
      <c r="G680" s="7">
        <f t="shared" si="31"/>
        <v>3.7571289999999999</v>
      </c>
      <c r="H680" s="7">
        <f t="shared" si="32"/>
        <v>4.4952756807959737E-2</v>
      </c>
      <c r="I680" s="8">
        <v>1.1964656206365099E-2</v>
      </c>
      <c r="J680" s="2" t="s">
        <v>68</v>
      </c>
    </row>
    <row r="681" spans="1:10" ht="12.75" customHeight="1">
      <c r="A681" s="1">
        <v>46200</v>
      </c>
      <c r="B681" s="2">
        <v>20</v>
      </c>
      <c r="C681" s="7">
        <v>-5.7217204627925096</v>
      </c>
      <c r="D681" s="7">
        <v>-5.6554270000000004</v>
      </c>
      <c r="E681" s="7">
        <v>-5.4916614792513099E-2</v>
      </c>
      <c r="F681" s="7">
        <f t="shared" si="30"/>
        <v>5.7217204627925096</v>
      </c>
      <c r="G681" s="7">
        <f t="shared" si="31"/>
        <v>5.6554270000000004</v>
      </c>
      <c r="H681" s="7">
        <f t="shared" si="32"/>
        <v>6.6293462792509139E-2</v>
      </c>
      <c r="I681" s="8">
        <v>1.1722096809403299E-2</v>
      </c>
      <c r="J681" s="2" t="s">
        <v>68</v>
      </c>
    </row>
    <row r="682" spans="1:10" ht="12.75" customHeight="1">
      <c r="A682" s="1">
        <v>46176</v>
      </c>
      <c r="B682" s="2">
        <v>13</v>
      </c>
      <c r="C682" s="7">
        <v>-3.9758360692562902</v>
      </c>
      <c r="D682" s="7">
        <v>-3.929878</v>
      </c>
      <c r="E682" s="7">
        <v>0.70375965074370594</v>
      </c>
      <c r="F682" s="7">
        <f t="shared" si="30"/>
        <v>3.9758360692562902</v>
      </c>
      <c r="G682" s="7">
        <f t="shared" si="31"/>
        <v>3.929878</v>
      </c>
      <c r="H682" s="7">
        <f t="shared" si="32"/>
        <v>4.5958069256290202E-2</v>
      </c>
      <c r="I682" s="8">
        <v>1.16945282414096E-2</v>
      </c>
      <c r="J682" s="2" t="s">
        <v>68</v>
      </c>
    </row>
    <row r="683" spans="1:10" ht="12.75" customHeight="1">
      <c r="A683" s="1">
        <v>46186</v>
      </c>
      <c r="B683" s="2">
        <v>2</v>
      </c>
      <c r="C683" s="7">
        <v>-4.1359616628742799</v>
      </c>
      <c r="D683" s="7">
        <v>-4.0896869999999996</v>
      </c>
      <c r="E683" s="7">
        <v>-4.6274662874274397E-2</v>
      </c>
      <c r="F683" s="7">
        <f t="shared" si="30"/>
        <v>4.1359616628742799</v>
      </c>
      <c r="G683" s="7">
        <f t="shared" si="31"/>
        <v>4.0896869999999996</v>
      </c>
      <c r="H683" s="7">
        <f t="shared" si="32"/>
        <v>4.6274662874280281E-2</v>
      </c>
      <c r="I683" s="8">
        <v>1.1314964415192299E-2</v>
      </c>
      <c r="J683" s="2" t="s">
        <v>68</v>
      </c>
    </row>
    <row r="684" spans="1:10" ht="12.75" customHeight="1">
      <c r="A684" s="1">
        <v>46179</v>
      </c>
      <c r="B684" s="2">
        <v>19</v>
      </c>
      <c r="C684" s="7">
        <v>-4.0540359193495696</v>
      </c>
      <c r="D684" s="7">
        <v>-4.0980980000000002</v>
      </c>
      <c r="E684" s="7">
        <v>0.224343584050434</v>
      </c>
      <c r="F684" s="7">
        <f t="shared" si="30"/>
        <v>4.0540359193495696</v>
      </c>
      <c r="G684" s="7">
        <f t="shared" si="31"/>
        <v>4.0980980000000002</v>
      </c>
      <c r="H684" s="7">
        <f t="shared" si="32"/>
        <v>4.4062080650430602E-2</v>
      </c>
      <c r="I684" s="8">
        <v>1.07518367424192E-2</v>
      </c>
      <c r="J684" s="2" t="s">
        <v>68</v>
      </c>
    </row>
    <row r="685" spans="1:10" ht="12.75" customHeight="1">
      <c r="A685" s="1">
        <v>46175</v>
      </c>
      <c r="B685" s="2">
        <v>2</v>
      </c>
      <c r="C685" s="7">
        <v>-3.63332679271906</v>
      </c>
      <c r="D685" s="7">
        <v>-3.6710780000000001</v>
      </c>
      <c r="E685" s="7">
        <v>3.7751207280943597E-2</v>
      </c>
      <c r="F685" s="7">
        <f t="shared" si="30"/>
        <v>3.63332679271906</v>
      </c>
      <c r="G685" s="7">
        <f t="shared" si="31"/>
        <v>3.6710780000000001</v>
      </c>
      <c r="H685" s="7">
        <f t="shared" si="32"/>
        <v>3.7751207280940058E-2</v>
      </c>
      <c r="I685" s="8">
        <v>1.02834119244929E-2</v>
      </c>
      <c r="J685" s="2" t="s">
        <v>68</v>
      </c>
    </row>
    <row r="686" spans="1:10" ht="12.75" customHeight="1">
      <c r="A686" s="1">
        <v>46191</v>
      </c>
      <c r="B686" s="2">
        <v>19</v>
      </c>
      <c r="C686" s="7">
        <v>-5.13582063446764</v>
      </c>
      <c r="D686" s="7">
        <v>-5.1869990000000001</v>
      </c>
      <c r="E686" s="7">
        <v>0.118633938532362</v>
      </c>
      <c r="F686" s="7">
        <f t="shared" si="30"/>
        <v>5.13582063446764</v>
      </c>
      <c r="G686" s="7">
        <f t="shared" si="31"/>
        <v>5.1869990000000001</v>
      </c>
      <c r="H686" s="7">
        <f t="shared" si="32"/>
        <v>5.1178365532360104E-2</v>
      </c>
      <c r="I686" s="8">
        <v>9.8666619238527101E-3</v>
      </c>
      <c r="J686" s="2" t="s">
        <v>68</v>
      </c>
    </row>
    <row r="687" spans="1:10" ht="12.75" customHeight="1">
      <c r="A687" s="1">
        <v>46189</v>
      </c>
      <c r="B687" s="2">
        <v>2</v>
      </c>
      <c r="C687" s="7">
        <v>-4.0073355066340604</v>
      </c>
      <c r="D687" s="7">
        <v>-4.0463380000000004</v>
      </c>
      <c r="E687" s="7">
        <v>3.9002493365941603E-2</v>
      </c>
      <c r="F687" s="7">
        <f t="shared" si="30"/>
        <v>4.0073355066340604</v>
      </c>
      <c r="G687" s="7">
        <f t="shared" si="31"/>
        <v>4.0463380000000004</v>
      </c>
      <c r="H687" s="7">
        <f t="shared" si="32"/>
        <v>3.9002493365940083E-2</v>
      </c>
      <c r="I687" s="8">
        <v>9.6389608000966801E-3</v>
      </c>
      <c r="J687" s="2" t="s">
        <v>68</v>
      </c>
    </row>
    <row r="688" spans="1:10" ht="12.75" customHeight="1">
      <c r="A688" s="1">
        <v>46192</v>
      </c>
      <c r="B688" s="2">
        <v>10</v>
      </c>
      <c r="C688" s="7">
        <v>-4.1016380614821299</v>
      </c>
      <c r="D688" s="7">
        <v>-4.0631599999999999</v>
      </c>
      <c r="E688" s="7">
        <v>0.68542824051786999</v>
      </c>
      <c r="F688" s="7">
        <f t="shared" si="30"/>
        <v>4.1016380614821299</v>
      </c>
      <c r="G688" s="7">
        <f t="shared" si="31"/>
        <v>4.0631599999999999</v>
      </c>
      <c r="H688" s="7">
        <f t="shared" si="32"/>
        <v>3.8478061482130066E-2</v>
      </c>
      <c r="I688" s="8">
        <v>9.4699843181488795E-3</v>
      </c>
      <c r="J688" s="2" t="s">
        <v>68</v>
      </c>
    </row>
    <row r="689" spans="1:10" ht="12.75" customHeight="1">
      <c r="A689" s="1">
        <v>46202</v>
      </c>
      <c r="B689" s="2">
        <v>4</v>
      </c>
      <c r="C689" s="7">
        <v>-3.4702500812077299</v>
      </c>
      <c r="D689" s="7">
        <v>-3.5028579999999998</v>
      </c>
      <c r="E689" s="7">
        <v>3.2607918792269999E-2</v>
      </c>
      <c r="F689" s="7">
        <f t="shared" si="30"/>
        <v>3.4702500812077299</v>
      </c>
      <c r="G689" s="7">
        <f t="shared" si="31"/>
        <v>3.5028579999999998</v>
      </c>
      <c r="H689" s="7">
        <f t="shared" si="32"/>
        <v>3.2607918792269874E-2</v>
      </c>
      <c r="I689" s="8">
        <v>9.3089468063706701E-3</v>
      </c>
      <c r="J689" s="2" t="s">
        <v>68</v>
      </c>
    </row>
    <row r="690" spans="1:10" ht="12.75" customHeight="1">
      <c r="A690" s="1">
        <v>46174</v>
      </c>
      <c r="B690" s="2">
        <v>11</v>
      </c>
      <c r="C690" s="7">
        <v>-3.7071184461106199</v>
      </c>
      <c r="D690" s="7">
        <v>-3.7416010000000002</v>
      </c>
      <c r="E690" s="7">
        <v>0.78100344688937895</v>
      </c>
      <c r="F690" s="7">
        <f t="shared" si="30"/>
        <v>3.7071184461106199</v>
      </c>
      <c r="G690" s="7">
        <f t="shared" si="31"/>
        <v>3.7416010000000002</v>
      </c>
      <c r="H690" s="7">
        <f t="shared" si="32"/>
        <v>3.4482553889380263E-2</v>
      </c>
      <c r="I690" s="8">
        <v>9.2159890617355706E-3</v>
      </c>
      <c r="J690" s="2" t="s">
        <v>68</v>
      </c>
    </row>
    <row r="691" spans="1:10" ht="12.75" customHeight="1">
      <c r="A691" s="1">
        <v>46174</v>
      </c>
      <c r="B691" s="2">
        <v>10</v>
      </c>
      <c r="C691" s="7">
        <v>-3.7073316642751899</v>
      </c>
      <c r="D691" s="7">
        <v>-3.7416010000000002</v>
      </c>
      <c r="E691" s="7">
        <v>0.59129751572480704</v>
      </c>
      <c r="F691" s="7">
        <f t="shared" si="30"/>
        <v>3.7073316642751899</v>
      </c>
      <c r="G691" s="7">
        <f t="shared" si="31"/>
        <v>3.7416010000000002</v>
      </c>
      <c r="H691" s="7">
        <f t="shared" si="32"/>
        <v>3.4269335724810279E-2</v>
      </c>
      <c r="I691" s="8">
        <v>9.1590032514976896E-3</v>
      </c>
      <c r="J691" s="2" t="s">
        <v>68</v>
      </c>
    </row>
    <row r="692" spans="1:10" ht="12.75" customHeight="1">
      <c r="A692" s="1">
        <v>46193</v>
      </c>
      <c r="B692" s="2">
        <v>4</v>
      </c>
      <c r="C692" s="7">
        <v>-3.7202094141125102</v>
      </c>
      <c r="D692" s="7">
        <v>-3.753247</v>
      </c>
      <c r="E692" s="7">
        <v>3.3037585887488098E-2</v>
      </c>
      <c r="F692" s="7">
        <f t="shared" si="30"/>
        <v>3.7202094141125102</v>
      </c>
      <c r="G692" s="7">
        <f t="shared" si="31"/>
        <v>3.753247</v>
      </c>
      <c r="H692" s="7">
        <f t="shared" si="32"/>
        <v>3.303758588748984E-2</v>
      </c>
      <c r="I692" s="8">
        <v>8.8024011975465707E-3</v>
      </c>
      <c r="J692" s="2" t="s">
        <v>68</v>
      </c>
    </row>
    <row r="693" spans="1:10" ht="12.75" customHeight="1">
      <c r="A693" s="1">
        <v>46179</v>
      </c>
      <c r="B693" s="2">
        <v>13</v>
      </c>
      <c r="C693" s="7">
        <v>-3.5523918701647599</v>
      </c>
      <c r="D693" s="7">
        <v>-3.5811449999999998</v>
      </c>
      <c r="E693" s="7">
        <v>0.99342404803523698</v>
      </c>
      <c r="F693" s="7">
        <f t="shared" si="30"/>
        <v>3.5523918701647599</v>
      </c>
      <c r="G693" s="7">
        <f t="shared" si="31"/>
        <v>3.5811449999999998</v>
      </c>
      <c r="H693" s="7">
        <f t="shared" si="32"/>
        <v>2.8753129835239921E-2</v>
      </c>
      <c r="I693" s="8">
        <v>8.0290325678621707E-3</v>
      </c>
      <c r="J693" s="2" t="s">
        <v>68</v>
      </c>
    </row>
    <row r="694" spans="1:10" ht="12.75" customHeight="1">
      <c r="A694" s="1">
        <v>46202</v>
      </c>
      <c r="B694" s="2">
        <v>13</v>
      </c>
      <c r="C694" s="7">
        <v>-4.7266562540098498</v>
      </c>
      <c r="D694" s="7">
        <v>-4.6901029999999997</v>
      </c>
      <c r="E694" s="7">
        <v>0.75812514299014799</v>
      </c>
      <c r="F694" s="7">
        <f t="shared" si="30"/>
        <v>4.7266562540098498</v>
      </c>
      <c r="G694" s="7">
        <f t="shared" si="31"/>
        <v>4.6901029999999997</v>
      </c>
      <c r="H694" s="7">
        <f t="shared" si="32"/>
        <v>3.65532540098501E-2</v>
      </c>
      <c r="I694" s="8">
        <v>7.7936996287398998E-3</v>
      </c>
      <c r="J694" s="2" t="s">
        <v>68</v>
      </c>
    </row>
    <row r="695" spans="1:10" ht="12.75" customHeight="1">
      <c r="A695" s="1">
        <v>46193</v>
      </c>
      <c r="B695" s="2">
        <v>1</v>
      </c>
      <c r="C695" s="7">
        <v>-4.0047888275801196</v>
      </c>
      <c r="D695" s="7">
        <v>-3.9745210000000002</v>
      </c>
      <c r="E695" s="7">
        <v>-3.02678275801192E-2</v>
      </c>
      <c r="F695" s="7">
        <f t="shared" si="30"/>
        <v>4.0047888275801196</v>
      </c>
      <c r="G695" s="7">
        <f t="shared" si="31"/>
        <v>3.9745210000000002</v>
      </c>
      <c r="H695" s="7">
        <f t="shared" si="32"/>
        <v>3.0267827580119366E-2</v>
      </c>
      <c r="I695" s="8">
        <v>7.6154655064394504E-3</v>
      </c>
      <c r="J695" s="2" t="s">
        <v>68</v>
      </c>
    </row>
    <row r="696" spans="1:10" ht="12.75" customHeight="1">
      <c r="A696" s="1">
        <v>46196</v>
      </c>
      <c r="B696" s="2">
        <v>24</v>
      </c>
      <c r="C696" s="7">
        <v>-4.7152070137815096</v>
      </c>
      <c r="D696" s="7">
        <v>-4.6823389999999998</v>
      </c>
      <c r="E696" s="7">
        <v>-3.2868013781514202E-2</v>
      </c>
      <c r="F696" s="7">
        <f t="shared" si="30"/>
        <v>4.7152070137815096</v>
      </c>
      <c r="G696" s="7">
        <f t="shared" si="31"/>
        <v>4.6823389999999998</v>
      </c>
      <c r="H696" s="7">
        <f t="shared" si="32"/>
        <v>3.2868013781509831E-2</v>
      </c>
      <c r="I696" s="8">
        <v>7.0195715819623798E-3</v>
      </c>
      <c r="J696" s="2" t="s">
        <v>68</v>
      </c>
    </row>
    <row r="697" spans="1:10" ht="12.75" customHeight="1">
      <c r="A697" s="1">
        <v>46193</v>
      </c>
      <c r="B697" s="2">
        <v>20</v>
      </c>
      <c r="C697" s="7">
        <v>-5.4398886032648903</v>
      </c>
      <c r="D697" s="7">
        <v>-5.4069789999999998</v>
      </c>
      <c r="E697" s="7">
        <v>-6.8031532648872798E-3</v>
      </c>
      <c r="F697" s="7">
        <f t="shared" si="30"/>
        <v>5.4398886032648903</v>
      </c>
      <c r="G697" s="7">
        <f t="shared" si="31"/>
        <v>5.4069789999999998</v>
      </c>
      <c r="H697" s="7">
        <f t="shared" si="32"/>
        <v>3.2909603264890563E-2</v>
      </c>
      <c r="I697" s="8">
        <v>6.0865047311793301E-3</v>
      </c>
      <c r="J697" s="2" t="s">
        <v>68</v>
      </c>
    </row>
    <row r="698" spans="1:10" ht="12.75" customHeight="1">
      <c r="A698" s="1">
        <v>46189</v>
      </c>
      <c r="B698" s="2">
        <v>18</v>
      </c>
      <c r="C698" s="7">
        <v>-4.9150578089212997</v>
      </c>
      <c r="D698" s="7">
        <v>-4.943727</v>
      </c>
      <c r="E698" s="7">
        <v>0.170168867478703</v>
      </c>
      <c r="F698" s="7">
        <f t="shared" si="30"/>
        <v>4.9150578089212997</v>
      </c>
      <c r="G698" s="7">
        <f t="shared" si="31"/>
        <v>4.943727</v>
      </c>
      <c r="H698" s="7">
        <f t="shared" si="32"/>
        <v>2.8669191078700251E-2</v>
      </c>
      <c r="I698" s="8">
        <v>5.7991048208573303E-3</v>
      </c>
      <c r="J698" s="2" t="s">
        <v>68</v>
      </c>
    </row>
    <row r="699" spans="1:10" ht="12.75" customHeight="1">
      <c r="A699" s="1">
        <v>46189</v>
      </c>
      <c r="B699" s="2">
        <v>8</v>
      </c>
      <c r="C699" s="7">
        <v>-3.2514624477823402</v>
      </c>
      <c r="D699" s="7">
        <v>-3.2699379999999998</v>
      </c>
      <c r="E699" s="7">
        <v>0.39729275821766502</v>
      </c>
      <c r="F699" s="7">
        <f t="shared" si="30"/>
        <v>3.2514624477823402</v>
      </c>
      <c r="G699" s="7">
        <f t="shared" si="31"/>
        <v>3.2699379999999998</v>
      </c>
      <c r="H699" s="7">
        <f t="shared" si="32"/>
        <v>1.8475552217659619E-2</v>
      </c>
      <c r="I699" s="8">
        <v>5.65012309642101E-3</v>
      </c>
      <c r="J699" s="2" t="s">
        <v>68</v>
      </c>
    </row>
    <row r="700" spans="1:10" ht="12.75" customHeight="1">
      <c r="A700" s="1">
        <v>46174</v>
      </c>
      <c r="B700" s="2">
        <v>20</v>
      </c>
      <c r="C700" s="7">
        <v>-5.4870218824688903</v>
      </c>
      <c r="D700" s="7">
        <v>-5.456798</v>
      </c>
      <c r="E700" s="7">
        <v>-2.7536244468891798E-2</v>
      </c>
      <c r="F700" s="7">
        <f t="shared" si="30"/>
        <v>5.4870218824688903</v>
      </c>
      <c r="G700" s="7">
        <f t="shared" si="31"/>
        <v>5.456798</v>
      </c>
      <c r="H700" s="7">
        <f t="shared" si="32"/>
        <v>3.0223882468890295E-2</v>
      </c>
      <c r="I700" s="8">
        <v>5.5387577969519403E-3</v>
      </c>
      <c r="J700" s="2" t="s">
        <v>68</v>
      </c>
    </row>
    <row r="701" spans="1:10" ht="12.75" customHeight="1">
      <c r="A701" s="1">
        <v>46198</v>
      </c>
      <c r="B701" s="2">
        <v>19</v>
      </c>
      <c r="C701" s="7">
        <v>-5.3635866953461502</v>
      </c>
      <c r="D701" s="7">
        <v>-5.3882159999999999</v>
      </c>
      <c r="E701" s="7">
        <v>7.0150930653847393E-2</v>
      </c>
      <c r="F701" s="7">
        <f t="shared" si="30"/>
        <v>5.3635866953461502</v>
      </c>
      <c r="G701" s="7">
        <f t="shared" si="31"/>
        <v>5.3882159999999999</v>
      </c>
      <c r="H701" s="7">
        <f t="shared" si="32"/>
        <v>2.4629304653849715E-2</v>
      </c>
      <c r="I701" s="8">
        <v>4.5709571876568003E-3</v>
      </c>
      <c r="J701" s="2" t="s">
        <v>68</v>
      </c>
    </row>
    <row r="702" spans="1:10" ht="12.75" customHeight="1">
      <c r="A702" s="1">
        <v>46196</v>
      </c>
      <c r="B702" s="2">
        <v>7</v>
      </c>
      <c r="C702" s="7">
        <v>-3.0982585553199802</v>
      </c>
      <c r="D702" s="7">
        <v>-3.1120700000000001</v>
      </c>
      <c r="E702" s="7">
        <v>0.12738453068002201</v>
      </c>
      <c r="F702" s="7">
        <f t="shared" si="30"/>
        <v>3.0982585553199802</v>
      </c>
      <c r="G702" s="7">
        <f t="shared" si="31"/>
        <v>3.1120700000000001</v>
      </c>
      <c r="H702" s="7">
        <f t="shared" si="32"/>
        <v>1.3811444680019935E-2</v>
      </c>
      <c r="I702" s="8">
        <v>4.4380250701373299E-3</v>
      </c>
      <c r="J702" s="2" t="s">
        <v>68</v>
      </c>
    </row>
    <row r="703" spans="1:10" ht="12.75" customHeight="1">
      <c r="A703" s="1">
        <v>46196</v>
      </c>
      <c r="B703" s="2">
        <v>22</v>
      </c>
      <c r="C703" s="7">
        <v>-6.2802326909789503</v>
      </c>
      <c r="D703" s="7">
        <v>-6.257784</v>
      </c>
      <c r="E703" s="7">
        <v>-2.2448690978948901E-2</v>
      </c>
      <c r="F703" s="7">
        <f t="shared" si="30"/>
        <v>6.2802326909789503</v>
      </c>
      <c r="G703" s="7">
        <f t="shared" si="31"/>
        <v>6.257784</v>
      </c>
      <c r="H703" s="7">
        <f t="shared" si="32"/>
        <v>2.2448690978950303E-2</v>
      </c>
      <c r="I703" s="8">
        <v>3.5873227613719E-3</v>
      </c>
      <c r="J703" s="2" t="s">
        <v>68</v>
      </c>
    </row>
    <row r="704" spans="1:10" ht="12.75" customHeight="1">
      <c r="A704" s="1">
        <v>46192</v>
      </c>
      <c r="B704" s="2">
        <v>4</v>
      </c>
      <c r="C704" s="7">
        <v>-3.79985950782129</v>
      </c>
      <c r="D704" s="7">
        <v>-3.813418</v>
      </c>
      <c r="E704" s="7">
        <v>1.3558492178708E-2</v>
      </c>
      <c r="F704" s="7">
        <f t="shared" si="30"/>
        <v>3.79985950782129</v>
      </c>
      <c r="G704" s="7">
        <f t="shared" si="31"/>
        <v>3.813418</v>
      </c>
      <c r="H704" s="7">
        <f t="shared" si="32"/>
        <v>1.3558492178709969E-2</v>
      </c>
      <c r="I704" s="8">
        <v>3.5554697068897298E-3</v>
      </c>
      <c r="J704" s="2" t="s">
        <v>68</v>
      </c>
    </row>
    <row r="705" spans="1:10" ht="12.75" customHeight="1">
      <c r="A705" s="1">
        <v>46197</v>
      </c>
      <c r="B705" s="2">
        <v>4</v>
      </c>
      <c r="C705" s="7">
        <v>-3.8944148524252902</v>
      </c>
      <c r="D705" s="7">
        <v>-3.90788</v>
      </c>
      <c r="E705" s="7">
        <v>1.34651475747137E-2</v>
      </c>
      <c r="F705" s="7">
        <f t="shared" si="30"/>
        <v>3.8944148524252902</v>
      </c>
      <c r="G705" s="7">
        <f t="shared" si="31"/>
        <v>3.90788</v>
      </c>
      <c r="H705" s="7">
        <f t="shared" si="32"/>
        <v>1.3465147574709846E-2</v>
      </c>
      <c r="I705" s="8">
        <v>3.4456399824748202E-3</v>
      </c>
      <c r="J705" s="2" t="s">
        <v>68</v>
      </c>
    </row>
    <row r="706" spans="1:10" ht="12.75" customHeight="1">
      <c r="A706" s="1">
        <v>46184</v>
      </c>
      <c r="B706" s="2">
        <v>21</v>
      </c>
      <c r="C706" s="7">
        <v>-6.3109919508796901</v>
      </c>
      <c r="D706" s="7">
        <v>-6.3321889999999996</v>
      </c>
      <c r="E706" s="7">
        <v>2.11970491203099E-2</v>
      </c>
      <c r="F706" s="7">
        <f t="shared" ref="F706:F720" si="33">ABS(C706)</f>
        <v>6.3109919508796901</v>
      </c>
      <c r="G706" s="7">
        <f t="shared" ref="G706:G720" si="34">ABS(D706)</f>
        <v>6.3321889999999996</v>
      </c>
      <c r="H706" s="7">
        <f t="shared" ref="H706:H720" si="35">ABS(G706-F706)</f>
        <v>2.1197049120309508E-2</v>
      </c>
      <c r="I706" s="8">
        <v>3.34750733440046E-3</v>
      </c>
      <c r="J706" s="2" t="s">
        <v>68</v>
      </c>
    </row>
    <row r="707" spans="1:10" ht="12.75" customHeight="1">
      <c r="A707" s="1">
        <v>46202</v>
      </c>
      <c r="B707" s="2">
        <v>15</v>
      </c>
      <c r="C707" s="7">
        <v>-5.0024353121701699</v>
      </c>
      <c r="D707" s="7">
        <v>-4.9864290000000002</v>
      </c>
      <c r="E707" s="7">
        <v>0.50769230982983504</v>
      </c>
      <c r="F707" s="7">
        <f t="shared" si="33"/>
        <v>5.0024353121701699</v>
      </c>
      <c r="G707" s="7">
        <f t="shared" si="34"/>
        <v>4.9864290000000002</v>
      </c>
      <c r="H707" s="7">
        <f t="shared" si="35"/>
        <v>1.6006312170169679E-2</v>
      </c>
      <c r="I707" s="8">
        <v>3.2099749480369701E-3</v>
      </c>
      <c r="J707" s="2" t="s">
        <v>68</v>
      </c>
    </row>
    <row r="708" spans="1:10" ht="12.75" customHeight="1">
      <c r="A708" s="1">
        <v>46176</v>
      </c>
      <c r="B708" s="2">
        <v>11</v>
      </c>
      <c r="C708" s="7">
        <v>-3.8258860877637302</v>
      </c>
      <c r="D708" s="7">
        <v>-3.8380040000000002</v>
      </c>
      <c r="E708" s="7">
        <v>0.70800587923627001</v>
      </c>
      <c r="F708" s="7">
        <f t="shared" si="33"/>
        <v>3.8258860877637302</v>
      </c>
      <c r="G708" s="7">
        <f t="shared" si="34"/>
        <v>3.8380040000000002</v>
      </c>
      <c r="H708" s="7">
        <f t="shared" si="35"/>
        <v>1.2117912236270012E-2</v>
      </c>
      <c r="I708" s="8">
        <v>3.1573474744345398E-3</v>
      </c>
      <c r="J708" s="2" t="s">
        <v>68</v>
      </c>
    </row>
    <row r="709" spans="1:10" ht="12.75" customHeight="1">
      <c r="A709" s="1">
        <v>46202</v>
      </c>
      <c r="B709" s="2">
        <v>5</v>
      </c>
      <c r="C709" s="7">
        <v>-3.49776323513156</v>
      </c>
      <c r="D709" s="7">
        <v>-3.5080339999999999</v>
      </c>
      <c r="E709" s="7">
        <v>1.02707648684366E-2</v>
      </c>
      <c r="F709" s="7">
        <f t="shared" si="33"/>
        <v>3.49776323513156</v>
      </c>
      <c r="G709" s="7">
        <f t="shared" si="34"/>
        <v>3.5080339999999999</v>
      </c>
      <c r="H709" s="7">
        <f t="shared" si="35"/>
        <v>1.0270764868439919E-2</v>
      </c>
      <c r="I709" s="8">
        <v>2.92778372970061E-3</v>
      </c>
      <c r="J709" s="2" t="s">
        <v>68</v>
      </c>
    </row>
    <row r="710" spans="1:10" ht="12.75" customHeight="1">
      <c r="A710" s="1">
        <v>46201</v>
      </c>
      <c r="B710" s="2">
        <v>1</v>
      </c>
      <c r="C710" s="7">
        <v>-3.5742946438593299</v>
      </c>
      <c r="D710" s="7">
        <v>-3.5843799999999999</v>
      </c>
      <c r="E710" s="7">
        <v>1.00853561406714E-2</v>
      </c>
      <c r="F710" s="7">
        <f t="shared" si="33"/>
        <v>3.5742946438593299</v>
      </c>
      <c r="G710" s="7">
        <f t="shared" si="34"/>
        <v>3.5843799999999999</v>
      </c>
      <c r="H710" s="7">
        <f t="shared" si="35"/>
        <v>1.0085356140669965E-2</v>
      </c>
      <c r="I710" s="8">
        <v>2.8136961317358801E-3</v>
      </c>
      <c r="J710" s="2" t="s">
        <v>68</v>
      </c>
    </row>
    <row r="711" spans="1:10" ht="12.75" customHeight="1">
      <c r="A711" s="1">
        <v>46174</v>
      </c>
      <c r="B711" s="2">
        <v>13</v>
      </c>
      <c r="C711" s="7">
        <v>-3.7406568283180599</v>
      </c>
      <c r="D711" s="7">
        <v>-3.7474240000000001</v>
      </c>
      <c r="E711" s="7">
        <v>0.81694704168193999</v>
      </c>
      <c r="F711" s="7">
        <f t="shared" si="33"/>
        <v>3.7406568283180599</v>
      </c>
      <c r="G711" s="7">
        <f t="shared" si="34"/>
        <v>3.7474240000000001</v>
      </c>
      <c r="H711" s="7">
        <f t="shared" si="35"/>
        <v>6.7671716819401873E-3</v>
      </c>
      <c r="I711" s="8">
        <v>1.8058195928561901E-3</v>
      </c>
      <c r="J711" s="2" t="s">
        <v>68</v>
      </c>
    </row>
    <row r="712" spans="1:10" ht="12.75" customHeight="1">
      <c r="A712" s="1">
        <v>46199</v>
      </c>
      <c r="B712" s="2">
        <v>20</v>
      </c>
      <c r="C712" s="7">
        <v>-5.9031288249321001</v>
      </c>
      <c r="D712" s="7">
        <v>-5.9135799999999996</v>
      </c>
      <c r="E712" s="7">
        <v>2.86694010678979E-2</v>
      </c>
      <c r="F712" s="7">
        <f t="shared" si="33"/>
        <v>5.9031288249321001</v>
      </c>
      <c r="G712" s="7">
        <f t="shared" si="34"/>
        <v>5.9135799999999996</v>
      </c>
      <c r="H712" s="7">
        <f t="shared" si="35"/>
        <v>1.0451175067899499E-2</v>
      </c>
      <c r="I712" s="8">
        <v>1.7673177783843E-3</v>
      </c>
      <c r="J712" s="2" t="s">
        <v>68</v>
      </c>
    </row>
    <row r="713" spans="1:10" ht="12.75" customHeight="1">
      <c r="A713" s="1">
        <v>46181</v>
      </c>
      <c r="B713" s="2">
        <v>1</v>
      </c>
      <c r="C713" s="7">
        <v>-3.3043696190530198</v>
      </c>
      <c r="D713" s="7">
        <v>-3.3100520000000002</v>
      </c>
      <c r="E713" s="7">
        <v>5.6823809469805104E-3</v>
      </c>
      <c r="F713" s="7">
        <f t="shared" si="33"/>
        <v>3.3043696190530198</v>
      </c>
      <c r="G713" s="7">
        <f t="shared" si="34"/>
        <v>3.3100520000000002</v>
      </c>
      <c r="H713" s="7">
        <f t="shared" si="35"/>
        <v>5.6823809469803699E-3</v>
      </c>
      <c r="I713" s="8">
        <v>1.7167044345467999E-3</v>
      </c>
      <c r="J713" s="2" t="s">
        <v>68</v>
      </c>
    </row>
    <row r="714" spans="1:10" ht="12.75" customHeight="1">
      <c r="A714" s="1">
        <v>46200</v>
      </c>
      <c r="B714" s="2">
        <v>3</v>
      </c>
      <c r="C714" s="7">
        <v>-3.6333495084288598</v>
      </c>
      <c r="D714" s="7">
        <v>-3.6393749999999998</v>
      </c>
      <c r="E714" s="7">
        <v>6.0254915711444503E-3</v>
      </c>
      <c r="F714" s="7">
        <f t="shared" si="33"/>
        <v>3.6333495084288598</v>
      </c>
      <c r="G714" s="7">
        <f t="shared" si="34"/>
        <v>3.6393749999999998</v>
      </c>
      <c r="H714" s="7">
        <f t="shared" si="35"/>
        <v>6.0254915711399626E-3</v>
      </c>
      <c r="I714" s="8">
        <v>1.6556391059301301E-3</v>
      </c>
      <c r="J714" s="2" t="s">
        <v>68</v>
      </c>
    </row>
    <row r="715" spans="1:10" ht="12.75" customHeight="1">
      <c r="A715" s="1">
        <v>46189</v>
      </c>
      <c r="B715" s="2">
        <v>17</v>
      </c>
      <c r="C715" s="7">
        <v>-4.5102367267232903</v>
      </c>
      <c r="D715" s="7">
        <v>-4.5037669999999999</v>
      </c>
      <c r="E715" s="7">
        <v>0.37881683227671198</v>
      </c>
      <c r="F715" s="7">
        <f t="shared" si="33"/>
        <v>4.5102367267232903</v>
      </c>
      <c r="G715" s="7">
        <f t="shared" si="34"/>
        <v>4.5037669999999999</v>
      </c>
      <c r="H715" s="7">
        <f t="shared" si="35"/>
        <v>6.469726723290492E-3</v>
      </c>
      <c r="I715" s="8">
        <v>1.4365145273473501E-3</v>
      </c>
      <c r="J715" s="2" t="s">
        <v>68</v>
      </c>
    </row>
    <row r="716" spans="1:10" ht="12.75" customHeight="1">
      <c r="A716" s="1">
        <v>46199</v>
      </c>
      <c r="B716" s="2">
        <v>19</v>
      </c>
      <c r="C716" s="7">
        <v>-5.1355001831327902</v>
      </c>
      <c r="D716" s="7">
        <v>-5.1300629999999998</v>
      </c>
      <c r="E716" s="7">
        <v>0.124683574867216</v>
      </c>
      <c r="F716" s="7">
        <f t="shared" si="33"/>
        <v>5.1355001831327902</v>
      </c>
      <c r="G716" s="7">
        <f t="shared" si="34"/>
        <v>5.1300629999999998</v>
      </c>
      <c r="H716" s="7">
        <f t="shared" si="35"/>
        <v>5.4371831327904019E-3</v>
      </c>
      <c r="I716" s="8">
        <v>1.0598667370721501E-3</v>
      </c>
      <c r="J716" s="2" t="s">
        <v>68</v>
      </c>
    </row>
    <row r="717" spans="1:10" ht="12.75" customHeight="1">
      <c r="A717" s="1">
        <v>46194</v>
      </c>
      <c r="B717" s="2">
        <v>4</v>
      </c>
      <c r="C717" s="7">
        <v>-3.4668366582419798</v>
      </c>
      <c r="D717" s="7">
        <v>-3.4705080000000001</v>
      </c>
      <c r="E717" s="7">
        <v>3.67134175801687E-3</v>
      </c>
      <c r="F717" s="7">
        <f t="shared" si="33"/>
        <v>3.4668366582419798</v>
      </c>
      <c r="G717" s="7">
        <f t="shared" si="34"/>
        <v>3.4705080000000001</v>
      </c>
      <c r="H717" s="7">
        <f t="shared" si="35"/>
        <v>3.6713417580203078E-3</v>
      </c>
      <c r="I717" s="8">
        <v>1.0578686918505499E-3</v>
      </c>
      <c r="J717" s="2" t="s">
        <v>68</v>
      </c>
    </row>
    <row r="718" spans="1:10" ht="12.75" customHeight="1">
      <c r="A718" s="1">
        <v>46195</v>
      </c>
      <c r="B718" s="2">
        <v>6</v>
      </c>
      <c r="C718" s="7">
        <v>-2.9772507446599601</v>
      </c>
      <c r="D718" s="7">
        <v>-2.9800819999999999</v>
      </c>
      <c r="E718" s="7">
        <v>2.2406240340037499E-2</v>
      </c>
      <c r="F718" s="7">
        <f t="shared" si="33"/>
        <v>2.9772507446599601</v>
      </c>
      <c r="G718" s="7">
        <f t="shared" si="34"/>
        <v>2.9800819999999999</v>
      </c>
      <c r="H718" s="7">
        <f t="shared" si="35"/>
        <v>2.8312553400398066E-3</v>
      </c>
      <c r="I718" s="8">
        <v>9.5005954199833603E-4</v>
      </c>
      <c r="J718" s="2" t="s">
        <v>68</v>
      </c>
    </row>
    <row r="719" spans="1:10" ht="12.75" customHeight="1">
      <c r="A719" s="1">
        <v>46194</v>
      </c>
      <c r="B719" s="2">
        <v>3</v>
      </c>
      <c r="C719" s="7">
        <v>-3.4710262794374001</v>
      </c>
      <c r="D719" s="7">
        <v>-3.473096</v>
      </c>
      <c r="E719" s="7">
        <v>2.06972056259597E-3</v>
      </c>
      <c r="F719" s="7">
        <f t="shared" si="33"/>
        <v>3.4710262794374001</v>
      </c>
      <c r="G719" s="7">
        <f t="shared" si="34"/>
        <v>3.473096</v>
      </c>
      <c r="H719" s="7">
        <f t="shared" si="35"/>
        <v>2.0697205625999082E-3</v>
      </c>
      <c r="I719" s="8">
        <v>5.9592955754634203E-4</v>
      </c>
      <c r="J719" s="2" t="s">
        <v>68</v>
      </c>
    </row>
    <row r="720" spans="1:10" ht="12.75" customHeight="1">
      <c r="A720" s="1">
        <v>46180</v>
      </c>
      <c r="B720" s="2">
        <v>21</v>
      </c>
      <c r="C720" s="7">
        <v>-4.7504080832144204</v>
      </c>
      <c r="D720" s="7">
        <v>-4.7476859999999999</v>
      </c>
      <c r="E720" s="7">
        <v>-2.72208321442294E-3</v>
      </c>
      <c r="F720" s="7">
        <f t="shared" si="33"/>
        <v>4.7504080832144204</v>
      </c>
      <c r="G720" s="7">
        <f t="shared" si="34"/>
        <v>4.7476859999999999</v>
      </c>
      <c r="H720" s="7">
        <f t="shared" si="35"/>
        <v>2.7220832144205787E-3</v>
      </c>
      <c r="I720" s="8">
        <v>5.7334946212174605E-4</v>
      </c>
      <c r="J720" s="2" t="s">
        <v>68</v>
      </c>
    </row>
    <row r="721" spans="1:10" ht="12.75" customHeight="1">
      <c r="A721" s="1">
        <v>46179</v>
      </c>
      <c r="B721" s="2">
        <v>6</v>
      </c>
      <c r="C721" s="7">
        <v>-4.7239077699844403</v>
      </c>
      <c r="D721" s="7">
        <v>-4.7229999999999999</v>
      </c>
      <c r="E721" s="7">
        <v>1.49572300155587E-2</v>
      </c>
      <c r="F721" s="7">
        <v>4.7239077699844403</v>
      </c>
      <c r="G721" s="7">
        <v>4.7229999999999999</v>
      </c>
      <c r="H721" s="7">
        <v>9.0776998444130896E-4</v>
      </c>
      <c r="I721" s="8">
        <v>1.92201986966189E-4</v>
      </c>
      <c r="J721" s="2" t="s">
        <v>68</v>
      </c>
    </row>
    <row r="722" spans="1:10" ht="12.75" customHeight="1">
      <c r="C722" s="7"/>
      <c r="D722" s="7"/>
      <c r="E722" s="7"/>
      <c r="F722" s="7"/>
      <c r="G722" s="7"/>
      <c r="H722" s="7"/>
      <c r="I722" s="7"/>
    </row>
    <row r="723" spans="1:10" ht="12.75" customHeight="1">
      <c r="C723" s="7"/>
      <c r="D723" s="7"/>
      <c r="E723" s="7"/>
      <c r="F723" s="7"/>
      <c r="G723" s="7"/>
      <c r="H723" s="7"/>
      <c r="I723" s="7"/>
    </row>
    <row r="724" spans="1:10" ht="12.75" customHeight="1">
      <c r="C724" s="7"/>
      <c r="D724" s="7"/>
      <c r="E724" s="7"/>
      <c r="F724" s="7"/>
      <c r="G724" s="7"/>
      <c r="H724" s="7"/>
      <c r="I724" s="7"/>
    </row>
    <row r="725" spans="1:10" ht="12.75" customHeight="1">
      <c r="C725" s="7"/>
      <c r="D725" s="7"/>
      <c r="E725" s="7"/>
      <c r="F725" s="7"/>
      <c r="G725" s="7"/>
      <c r="H725" s="7"/>
      <c r="I725" s="7"/>
    </row>
    <row r="726" spans="1:10" ht="12.75" customHeight="1">
      <c r="C726" s="7"/>
      <c r="D726" s="7"/>
      <c r="E726" s="7"/>
      <c r="F726" s="7"/>
      <c r="G726" s="7"/>
      <c r="H726" s="7"/>
      <c r="I726" s="7"/>
    </row>
    <row r="727" spans="1:10" ht="12.75" customHeight="1">
      <c r="C727" s="7"/>
      <c r="D727" s="7"/>
      <c r="E727" s="7"/>
      <c r="F727" s="7"/>
      <c r="G727" s="7"/>
      <c r="H727" s="7"/>
      <c r="I727" s="7"/>
    </row>
    <row r="728" spans="1:10" ht="12.75" customHeight="1">
      <c r="C728" s="7"/>
      <c r="D728" s="7"/>
      <c r="E728" s="7"/>
      <c r="F728" s="7"/>
      <c r="G728" s="7"/>
      <c r="H728" s="7"/>
      <c r="I728" s="7"/>
    </row>
    <row r="729" spans="1:10" ht="12.75" customHeight="1">
      <c r="C729" s="7"/>
      <c r="D729" s="7"/>
      <c r="E729" s="7"/>
      <c r="F729" s="7"/>
      <c r="G729" s="7"/>
      <c r="H729" s="7"/>
      <c r="I729" s="7"/>
    </row>
    <row r="730" spans="1:10" ht="12.75" customHeight="1">
      <c r="C730" s="7"/>
      <c r="D730" s="7"/>
      <c r="E730" s="7"/>
      <c r="F730" s="7"/>
      <c r="G730" s="7"/>
      <c r="H730" s="7"/>
      <c r="I730" s="7"/>
    </row>
    <row r="731" spans="1:10" ht="12.75" customHeight="1">
      <c r="C731" s="7"/>
      <c r="D731" s="7"/>
      <c r="E731" s="7"/>
      <c r="F731" s="7"/>
      <c r="G731" s="7"/>
      <c r="H731" s="7"/>
      <c r="I731" s="7"/>
    </row>
    <row r="732" spans="1:10" ht="12.75" customHeight="1">
      <c r="C732" s="7"/>
      <c r="D732" s="7"/>
      <c r="E732" s="7"/>
      <c r="F732" s="7"/>
      <c r="G732" s="7"/>
      <c r="H732" s="7"/>
      <c r="I732" s="7"/>
    </row>
    <row r="733" spans="1:10" ht="12.75" customHeight="1">
      <c r="C733" s="7"/>
      <c r="D733" s="7"/>
      <c r="E733" s="7"/>
      <c r="F733" s="7"/>
      <c r="G733" s="7"/>
      <c r="H733" s="7"/>
      <c r="I733" s="7"/>
    </row>
    <row r="734" spans="1:10" ht="12.75" customHeight="1">
      <c r="C734" s="7"/>
      <c r="D734" s="7"/>
      <c r="E734" s="7"/>
      <c r="F734" s="7"/>
      <c r="G734" s="7"/>
      <c r="H734" s="7"/>
      <c r="I734" s="7"/>
    </row>
    <row r="735" spans="1:10" ht="12.75" customHeight="1">
      <c r="C735" s="7"/>
      <c r="D735" s="7"/>
      <c r="E735" s="7"/>
      <c r="F735" s="7"/>
      <c r="G735" s="7"/>
      <c r="H735" s="7"/>
      <c r="I735" s="7"/>
    </row>
    <row r="736" spans="1:10" ht="12.75" customHeight="1">
      <c r="C736" s="7"/>
      <c r="D736" s="7"/>
      <c r="E736" s="7"/>
      <c r="F736" s="7"/>
      <c r="G736" s="7"/>
      <c r="H736" s="7"/>
      <c r="I736" s="7"/>
    </row>
    <row r="737" spans="3:9" ht="12.75" customHeight="1">
      <c r="C737" s="7"/>
      <c r="D737" s="7"/>
      <c r="E737" s="7"/>
      <c r="F737" s="7"/>
      <c r="G737" s="7"/>
      <c r="H737" s="7"/>
      <c r="I737" s="7"/>
    </row>
    <row r="738" spans="3:9" ht="12.75" customHeight="1">
      <c r="C738" s="7"/>
      <c r="D738" s="7"/>
      <c r="E738" s="7"/>
      <c r="F738" s="7"/>
      <c r="G738" s="7"/>
      <c r="H738" s="7"/>
      <c r="I738" s="7"/>
    </row>
    <row r="739" spans="3:9" ht="12.75" customHeight="1">
      <c r="C739" s="7"/>
      <c r="D739" s="7"/>
      <c r="E739" s="7"/>
      <c r="F739" s="7"/>
      <c r="G739" s="7"/>
      <c r="H739" s="7"/>
      <c r="I739" s="7"/>
    </row>
    <row r="740" spans="3:9" ht="12.75" customHeight="1">
      <c r="C740" s="7"/>
      <c r="D740" s="7"/>
      <c r="E740" s="7"/>
      <c r="F740" s="7"/>
      <c r="G740" s="7"/>
      <c r="H740" s="7"/>
      <c r="I740" s="7"/>
    </row>
    <row r="741" spans="3:9" ht="12.75" customHeight="1">
      <c r="C741" s="7"/>
      <c r="D741" s="7"/>
      <c r="E741" s="7"/>
      <c r="F741" s="7"/>
      <c r="G741" s="7"/>
      <c r="H741" s="7"/>
      <c r="I741" s="7"/>
    </row>
    <row r="742" spans="3:9" ht="12.75" customHeight="1">
      <c r="C742" s="7"/>
      <c r="D742" s="7"/>
      <c r="E742" s="7"/>
      <c r="F742" s="7"/>
      <c r="G742" s="7"/>
      <c r="H742" s="7"/>
      <c r="I742" s="7"/>
    </row>
    <row r="743" spans="3:9" ht="12.75" customHeight="1">
      <c r="C743" s="7"/>
      <c r="D743" s="7"/>
      <c r="E743" s="7"/>
      <c r="F743" s="7"/>
      <c r="G743" s="7"/>
      <c r="H743" s="7"/>
      <c r="I743" s="7"/>
    </row>
    <row r="744" spans="3:9" ht="12.75" customHeight="1">
      <c r="C744" s="7"/>
      <c r="D744" s="7"/>
      <c r="E744" s="7"/>
      <c r="F744" s="7"/>
      <c r="G744" s="7"/>
      <c r="H744" s="7"/>
      <c r="I744" s="7"/>
    </row>
    <row r="745" spans="3:9" ht="12.75" customHeight="1">
      <c r="C745" s="7"/>
      <c r="D745" s="7"/>
      <c r="E745" s="7"/>
      <c r="F745" s="7"/>
      <c r="G745" s="7"/>
      <c r="H745" s="7"/>
      <c r="I745" s="7"/>
    </row>
    <row r="746" spans="3:9" ht="12.75" customHeight="1">
      <c r="C746" s="7"/>
      <c r="D746" s="7"/>
      <c r="E746" s="7"/>
      <c r="F746" s="7"/>
      <c r="G746" s="7"/>
      <c r="H746" s="7"/>
      <c r="I746" s="7"/>
    </row>
    <row r="747" spans="3:9" ht="12.75" customHeight="1">
      <c r="C747" s="7"/>
      <c r="D747" s="7"/>
      <c r="E747" s="7"/>
      <c r="F747" s="7"/>
      <c r="G747" s="7"/>
      <c r="H747" s="7"/>
      <c r="I747" s="7"/>
    </row>
    <row r="748" spans="3:9" ht="12.75" customHeight="1">
      <c r="C748" s="7"/>
      <c r="D748" s="7"/>
      <c r="E748" s="7"/>
      <c r="F748" s="7"/>
      <c r="G748" s="7"/>
      <c r="H748" s="7"/>
      <c r="I748" s="7"/>
    </row>
    <row r="749" spans="3:9" ht="12.75" customHeight="1">
      <c r="C749" s="7"/>
      <c r="D749" s="7"/>
      <c r="E749" s="7"/>
      <c r="F749" s="7"/>
      <c r="G749" s="7"/>
      <c r="H749" s="7"/>
      <c r="I749" s="7"/>
    </row>
    <row r="750" spans="3:9" ht="12.75" customHeight="1">
      <c r="C750" s="7"/>
      <c r="D750" s="7"/>
      <c r="E750" s="7"/>
      <c r="F750" s="7"/>
      <c r="G750" s="7"/>
      <c r="H750" s="7"/>
      <c r="I750" s="7"/>
    </row>
    <row r="751" spans="3:9" ht="12.75" customHeight="1">
      <c r="C751" s="7"/>
      <c r="D751" s="7"/>
      <c r="E751" s="7"/>
      <c r="F751" s="7"/>
      <c r="G751" s="7"/>
      <c r="H751" s="7"/>
      <c r="I751" s="7"/>
    </row>
    <row r="752" spans="3:9" ht="12.75" customHeight="1">
      <c r="C752" s="7"/>
      <c r="D752" s="7"/>
      <c r="E752" s="7"/>
      <c r="F752" s="7"/>
      <c r="G752" s="7"/>
      <c r="H752" s="7"/>
      <c r="I752" s="7"/>
    </row>
    <row r="753" spans="3:9" ht="12.75" customHeight="1">
      <c r="C753" s="7"/>
      <c r="D753" s="7"/>
      <c r="E753" s="7"/>
      <c r="F753" s="7"/>
      <c r="G753" s="7"/>
      <c r="H753" s="7"/>
      <c r="I753" s="7"/>
    </row>
    <row r="754" spans="3:9" ht="12.75" customHeight="1">
      <c r="C754" s="7"/>
      <c r="D754" s="7"/>
      <c r="E754" s="7"/>
      <c r="F754" s="7"/>
      <c r="G754" s="7"/>
      <c r="H754" s="7"/>
      <c r="I754" s="7"/>
    </row>
    <row r="755" spans="3:9" ht="12.75" customHeight="1">
      <c r="C755" s="7"/>
      <c r="D755" s="7"/>
      <c r="E755" s="7"/>
      <c r="F755" s="7"/>
      <c r="G755" s="7"/>
      <c r="H755" s="7"/>
      <c r="I755" s="7"/>
    </row>
    <row r="756" spans="3:9" ht="12.75" customHeight="1">
      <c r="C756" s="7"/>
      <c r="D756" s="7"/>
      <c r="E756" s="7"/>
      <c r="F756" s="7"/>
      <c r="G756" s="7"/>
      <c r="H756" s="7"/>
      <c r="I756" s="7"/>
    </row>
    <row r="757" spans="3:9" ht="12.75" customHeight="1">
      <c r="C757" s="7"/>
      <c r="D757" s="7"/>
      <c r="E757" s="7"/>
      <c r="F757" s="7"/>
      <c r="G757" s="7"/>
      <c r="H757" s="7"/>
      <c r="I757" s="7"/>
    </row>
    <row r="758" spans="3:9" ht="12.75" customHeight="1">
      <c r="C758" s="7"/>
      <c r="D758" s="7"/>
      <c r="E758" s="7"/>
      <c r="F758" s="7"/>
      <c r="G758" s="7"/>
      <c r="H758" s="7"/>
      <c r="I758" s="7"/>
    </row>
    <row r="759" spans="3:9" ht="12.75" customHeight="1">
      <c r="C759" s="7"/>
      <c r="D759" s="7"/>
      <c r="E759" s="7"/>
      <c r="F759" s="7"/>
      <c r="G759" s="7"/>
      <c r="H759" s="7"/>
      <c r="I759" s="7"/>
    </row>
    <row r="760" spans="3:9" ht="12.75" customHeight="1">
      <c r="C760" s="7"/>
      <c r="D760" s="7"/>
      <c r="E760" s="7"/>
      <c r="F760" s="7"/>
      <c r="G760" s="7"/>
      <c r="H760" s="7"/>
      <c r="I760" s="7"/>
    </row>
    <row r="761" spans="3:9" ht="12.75" customHeight="1">
      <c r="C761" s="7"/>
      <c r="D761" s="7"/>
      <c r="E761" s="7"/>
      <c r="F761" s="7"/>
      <c r="G761" s="7"/>
      <c r="H761" s="7"/>
      <c r="I761" s="7"/>
    </row>
    <row r="762" spans="3:9" ht="12.75" customHeight="1">
      <c r="C762" s="7"/>
      <c r="D762" s="7"/>
      <c r="E762" s="7"/>
      <c r="F762" s="7"/>
      <c r="G762" s="7"/>
      <c r="H762" s="7"/>
      <c r="I762" s="7"/>
    </row>
    <row r="763" spans="3:9" ht="12.75" customHeight="1">
      <c r="C763" s="7"/>
      <c r="D763" s="7"/>
      <c r="E763" s="7"/>
      <c r="F763" s="7"/>
      <c r="G763" s="7"/>
      <c r="H763" s="7"/>
      <c r="I763" s="7"/>
    </row>
    <row r="764" spans="3:9" ht="12.75" customHeight="1">
      <c r="C764" s="7"/>
      <c r="D764" s="7"/>
      <c r="E764" s="7"/>
      <c r="F764" s="7"/>
      <c r="G764" s="7"/>
      <c r="H764" s="7"/>
      <c r="I764" s="7"/>
    </row>
    <row r="765" spans="3:9" ht="12.75" customHeight="1">
      <c r="C765" s="7"/>
      <c r="D765" s="7"/>
      <c r="E765" s="7"/>
      <c r="F765" s="7"/>
      <c r="G765" s="7"/>
      <c r="H765" s="7"/>
      <c r="I765" s="7"/>
    </row>
    <row r="766" spans="3:9" ht="12.75" customHeight="1">
      <c r="C766" s="7"/>
      <c r="D766" s="7"/>
      <c r="E766" s="7"/>
      <c r="F766" s="7"/>
      <c r="G766" s="7"/>
      <c r="H766" s="7"/>
      <c r="I766" s="7"/>
    </row>
    <row r="767" spans="3:9" ht="12.75" customHeight="1">
      <c r="C767" s="7"/>
      <c r="D767" s="7"/>
      <c r="E767" s="7"/>
      <c r="F767" s="7"/>
      <c r="G767" s="7"/>
      <c r="H767" s="7"/>
      <c r="I767" s="7"/>
    </row>
    <row r="768" spans="3:9" ht="12.75" customHeight="1">
      <c r="C768" s="7"/>
      <c r="D768" s="7"/>
      <c r="E768" s="7"/>
      <c r="F768" s="7"/>
      <c r="G768" s="7"/>
      <c r="H768" s="7"/>
      <c r="I768" s="7"/>
    </row>
    <row r="769" spans="3:9" ht="12.75" customHeight="1">
      <c r="C769" s="7"/>
      <c r="D769" s="7"/>
      <c r="E769" s="7"/>
      <c r="F769" s="7"/>
      <c r="G769" s="7"/>
      <c r="H769" s="7"/>
      <c r="I769" s="7"/>
    </row>
    <row r="770" spans="3:9" ht="12.75" customHeight="1">
      <c r="C770" s="7"/>
      <c r="D770" s="7"/>
      <c r="E770" s="7"/>
      <c r="F770" s="7"/>
      <c r="G770" s="7"/>
      <c r="H770" s="7"/>
      <c r="I770" s="7"/>
    </row>
    <row r="771" spans="3:9" ht="12.75" customHeight="1">
      <c r="C771" s="7"/>
      <c r="D771" s="7"/>
      <c r="E771" s="7"/>
      <c r="F771" s="7"/>
      <c r="G771" s="7"/>
      <c r="H771" s="7"/>
      <c r="I771" s="7"/>
    </row>
    <row r="772" spans="3:9" ht="12.75" customHeight="1">
      <c r="C772" s="7"/>
      <c r="D772" s="7"/>
      <c r="E772" s="7"/>
      <c r="F772" s="7"/>
      <c r="G772" s="7"/>
      <c r="H772" s="7"/>
      <c r="I772" s="7"/>
    </row>
    <row r="773" spans="3:9" ht="12.75" customHeight="1">
      <c r="C773" s="7"/>
      <c r="D773" s="7"/>
      <c r="E773" s="7"/>
      <c r="F773" s="7"/>
      <c r="G773" s="7"/>
      <c r="H773" s="7"/>
      <c r="I773" s="7"/>
    </row>
    <row r="774" spans="3:9" ht="12.75" customHeight="1">
      <c r="C774" s="7"/>
      <c r="D774" s="7"/>
      <c r="E774" s="7"/>
      <c r="F774" s="7"/>
      <c r="G774" s="7"/>
      <c r="H774" s="7"/>
      <c r="I774" s="7"/>
    </row>
    <row r="775" spans="3:9" ht="12.75" customHeight="1">
      <c r="C775" s="7"/>
      <c r="D775" s="7"/>
      <c r="E775" s="7"/>
      <c r="F775" s="7"/>
      <c r="G775" s="7"/>
      <c r="H775" s="7"/>
      <c r="I775" s="7"/>
    </row>
    <row r="776" spans="3:9" ht="12.75" customHeight="1">
      <c r="C776" s="7"/>
      <c r="D776" s="7"/>
      <c r="E776" s="7"/>
      <c r="F776" s="7"/>
      <c r="G776" s="7"/>
      <c r="H776" s="7"/>
      <c r="I776" s="7"/>
    </row>
    <row r="777" spans="3:9" ht="12.75" customHeight="1">
      <c r="C777" s="7"/>
      <c r="D777" s="7"/>
      <c r="E777" s="7"/>
      <c r="F777" s="7"/>
      <c r="G777" s="7"/>
      <c r="H777" s="7"/>
      <c r="I777" s="7"/>
    </row>
    <row r="778" spans="3:9" ht="12.75" customHeight="1">
      <c r="C778" s="7"/>
      <c r="D778" s="7"/>
      <c r="E778" s="7"/>
      <c r="F778" s="7"/>
      <c r="G778" s="7"/>
      <c r="H778" s="7"/>
      <c r="I778" s="7"/>
    </row>
    <row r="779" spans="3:9" ht="12.75" customHeight="1">
      <c r="E779" s="7"/>
      <c r="F779" s="7"/>
      <c r="G779" s="7"/>
      <c r="H779" s="7"/>
      <c r="I779" s="7"/>
    </row>
    <row r="780" spans="3:9" ht="12.75" customHeight="1">
      <c r="E780" s="7"/>
      <c r="F780" s="7"/>
      <c r="G780" s="7"/>
      <c r="H780" s="7"/>
      <c r="I780" s="7"/>
    </row>
    <row r="781" spans="3:9" ht="12.75" customHeight="1">
      <c r="E781" s="7"/>
      <c r="F781" s="7"/>
      <c r="G781" s="7"/>
      <c r="H781" s="7"/>
      <c r="I781" s="7"/>
    </row>
    <row r="782" spans="3:9" ht="12.75" customHeight="1">
      <c r="E782" s="7"/>
      <c r="F782" s="7"/>
      <c r="G782" s="7"/>
      <c r="H782" s="7"/>
      <c r="I782" s="7"/>
    </row>
    <row r="783" spans="3:9" ht="12.75" customHeight="1">
      <c r="E783" s="7"/>
      <c r="F783" s="7"/>
      <c r="G783" s="7"/>
      <c r="H783" s="7"/>
      <c r="I783" s="7"/>
    </row>
    <row r="784" spans="3:9" ht="12.75" customHeight="1">
      <c r="E784" s="7"/>
      <c r="F784" s="7"/>
      <c r="G784" s="7"/>
      <c r="H784" s="7"/>
      <c r="I784" s="7"/>
    </row>
    <row r="785" spans="5:9" ht="12.75" customHeight="1">
      <c r="E785" s="7"/>
      <c r="F785" s="7"/>
      <c r="G785" s="7"/>
      <c r="H785" s="7"/>
      <c r="I785" s="7"/>
    </row>
    <row r="786" spans="5:9" ht="12.75" customHeight="1">
      <c r="E786" s="7"/>
      <c r="F786" s="7"/>
      <c r="G786" s="7"/>
      <c r="H786" s="7"/>
      <c r="I786" s="7"/>
    </row>
    <row r="787" spans="5:9" ht="12.75" customHeight="1">
      <c r="E787" s="7"/>
      <c r="F787" s="7"/>
      <c r="G787" s="7"/>
      <c r="H787" s="7"/>
      <c r="I787" s="7"/>
    </row>
    <row r="788" spans="5:9" ht="12.75" customHeight="1">
      <c r="E788" s="7"/>
      <c r="F788" s="7"/>
      <c r="G788" s="7"/>
      <c r="H788" s="7"/>
      <c r="I788" s="7"/>
    </row>
    <row r="789" spans="5:9" ht="12.75" customHeight="1">
      <c r="E789" s="7"/>
      <c r="F789" s="7"/>
      <c r="G789" s="7"/>
      <c r="H789" s="7"/>
      <c r="I789" s="7"/>
    </row>
    <row r="790" spans="5:9" ht="12.75" customHeight="1">
      <c r="E790" s="7"/>
      <c r="F790" s="7"/>
      <c r="G790" s="7"/>
      <c r="H790" s="7"/>
      <c r="I790" s="7"/>
    </row>
    <row r="791" spans="5:9" ht="12.75" customHeight="1">
      <c r="E791" s="7"/>
      <c r="F791" s="7"/>
      <c r="G791" s="7"/>
      <c r="H791" s="7"/>
      <c r="I791" s="7"/>
    </row>
    <row r="792" spans="5:9" ht="12.75" customHeight="1">
      <c r="E792" s="7"/>
      <c r="F792" s="7"/>
      <c r="G792" s="7"/>
      <c r="H792" s="7"/>
      <c r="I792" s="7"/>
    </row>
    <row r="793" spans="5:9" ht="12.75" customHeight="1">
      <c r="E793" s="7"/>
      <c r="F793" s="7"/>
      <c r="G793" s="7"/>
      <c r="H793" s="7"/>
      <c r="I793" s="7"/>
    </row>
    <row r="794" spans="5:9" ht="12.75" customHeight="1">
      <c r="E794" s="7"/>
      <c r="F794" s="7"/>
      <c r="G794" s="7"/>
      <c r="H794" s="7"/>
      <c r="I794" s="7"/>
    </row>
    <row r="795" spans="5:9" ht="12.75" customHeight="1">
      <c r="E795" s="7"/>
      <c r="F795" s="7"/>
      <c r="G795" s="7"/>
      <c r="H795" s="7"/>
      <c r="I795" s="7"/>
    </row>
    <row r="796" spans="5:9" ht="12.75" customHeight="1">
      <c r="E796" s="7"/>
      <c r="F796" s="7"/>
      <c r="G796" s="7"/>
      <c r="H796" s="7"/>
      <c r="I796" s="7"/>
    </row>
    <row r="797" spans="5:9" ht="12.75" customHeight="1">
      <c r="E797" s="7"/>
      <c r="F797" s="7"/>
      <c r="G797" s="7"/>
      <c r="H797" s="7"/>
      <c r="I797" s="7"/>
    </row>
    <row r="798" spans="5:9" ht="12.75" customHeight="1">
      <c r="E798" s="7"/>
      <c r="F798" s="7"/>
      <c r="G798" s="7"/>
      <c r="H798" s="7"/>
      <c r="I798" s="7"/>
    </row>
    <row r="799" spans="5:9" ht="12.75" customHeight="1">
      <c r="E799" s="7"/>
      <c r="F799" s="7"/>
      <c r="G799" s="7"/>
      <c r="H799" s="7"/>
      <c r="I799" s="7"/>
    </row>
    <row r="800" spans="5:9" ht="12.75" customHeight="1">
      <c r="E800" s="7"/>
      <c r="F800" s="7"/>
      <c r="G800" s="7"/>
      <c r="H800" s="7"/>
      <c r="I800" s="7"/>
    </row>
    <row r="801" spans="5:9" ht="12.75" customHeight="1">
      <c r="E801" s="7"/>
      <c r="F801" s="7"/>
      <c r="G801" s="7"/>
      <c r="H801" s="7"/>
      <c r="I801" s="7"/>
    </row>
    <row r="802" spans="5:9" ht="12.75" customHeight="1">
      <c r="E802" s="7"/>
      <c r="F802" s="7"/>
      <c r="G802" s="7"/>
      <c r="H802" s="7"/>
      <c r="I802" s="7"/>
    </row>
    <row r="803" spans="5:9" ht="12.75" customHeight="1">
      <c r="E803" s="7"/>
      <c r="F803" s="7"/>
      <c r="G803" s="7"/>
      <c r="H803" s="7"/>
      <c r="I803" s="7"/>
    </row>
    <row r="804" spans="5:9" ht="12.75" customHeight="1">
      <c r="E804" s="7"/>
      <c r="F804" s="7"/>
      <c r="G804" s="7"/>
      <c r="H804" s="7"/>
      <c r="I804" s="7"/>
    </row>
    <row r="805" spans="5:9" ht="12.75" customHeight="1">
      <c r="E805" s="7"/>
      <c r="F805" s="7"/>
      <c r="G805" s="7"/>
      <c r="H805" s="7"/>
      <c r="I805" s="7"/>
    </row>
    <row r="806" spans="5:9" ht="12.75" customHeight="1">
      <c r="E806" s="7"/>
      <c r="F806" s="7"/>
      <c r="G806" s="7"/>
      <c r="H806" s="7"/>
      <c r="I806" s="7"/>
    </row>
    <row r="807" spans="5:9" ht="12.75" customHeight="1">
      <c r="E807" s="7"/>
      <c r="F807" s="7"/>
      <c r="G807" s="7"/>
      <c r="H807" s="7"/>
      <c r="I807" s="7"/>
    </row>
    <row r="808" spans="5:9" ht="12.75" customHeight="1">
      <c r="E808" s="7"/>
      <c r="F808" s="7"/>
      <c r="G808" s="7"/>
      <c r="H808" s="7"/>
      <c r="I808" s="7"/>
    </row>
    <row r="809" spans="5:9" ht="12.75" customHeight="1">
      <c r="E809" s="7"/>
      <c r="F809" s="7"/>
      <c r="G809" s="7"/>
      <c r="H809" s="7"/>
      <c r="I809" s="7"/>
    </row>
    <row r="810" spans="5:9" ht="12.75" customHeight="1">
      <c r="E810" s="7"/>
      <c r="F810" s="7"/>
      <c r="G810" s="7"/>
      <c r="H810" s="7"/>
      <c r="I810" s="7"/>
    </row>
    <row r="811" spans="5:9" ht="12.75" customHeight="1">
      <c r="E811" s="7"/>
      <c r="F811" s="7"/>
      <c r="G811" s="7"/>
      <c r="H811" s="7"/>
      <c r="I811" s="7"/>
    </row>
    <row r="812" spans="5:9" ht="12.75" customHeight="1">
      <c r="E812" s="7"/>
      <c r="F812" s="7"/>
      <c r="G812" s="7"/>
      <c r="H812" s="7"/>
      <c r="I812" s="7"/>
    </row>
    <row r="813" spans="5:9" ht="12.75" customHeight="1">
      <c r="E813" s="7"/>
      <c r="F813" s="7"/>
      <c r="G813" s="7"/>
      <c r="H813" s="7"/>
      <c r="I813" s="7"/>
    </row>
    <row r="814" spans="5:9" ht="12.75" customHeight="1">
      <c r="E814" s="7"/>
      <c r="F814" s="7"/>
      <c r="G814" s="7"/>
      <c r="H814" s="7"/>
      <c r="I814" s="7"/>
    </row>
    <row r="815" spans="5:9" ht="12.75" customHeight="1">
      <c r="E815" s="7"/>
      <c r="F815" s="7"/>
      <c r="G815" s="7"/>
      <c r="H815" s="7"/>
      <c r="I815" s="7"/>
    </row>
    <row r="816" spans="5:9" ht="12.75" customHeight="1">
      <c r="E816" s="7"/>
      <c r="F816" s="7"/>
      <c r="G816" s="7"/>
      <c r="H816" s="7"/>
      <c r="I816" s="7"/>
    </row>
    <row r="817" spans="5:9" ht="12.75" customHeight="1">
      <c r="E817" s="7"/>
      <c r="F817" s="7"/>
      <c r="G817" s="7"/>
      <c r="H817" s="7"/>
      <c r="I817" s="7"/>
    </row>
    <row r="818" spans="5:9" ht="12.75" customHeight="1">
      <c r="E818" s="7"/>
      <c r="F818" s="7"/>
      <c r="G818" s="7"/>
      <c r="H818" s="7"/>
      <c r="I818" s="7"/>
    </row>
    <row r="819" spans="5:9" ht="12.75" customHeight="1">
      <c r="E819" s="7"/>
      <c r="F819" s="7"/>
      <c r="G819" s="7"/>
      <c r="H819" s="7"/>
      <c r="I819" s="7"/>
    </row>
    <row r="820" spans="5:9" ht="12.75" customHeight="1">
      <c r="E820" s="7"/>
      <c r="F820" s="7"/>
      <c r="G820" s="7"/>
      <c r="H820" s="7"/>
      <c r="I820" s="7"/>
    </row>
    <row r="821" spans="5:9" ht="12.75" customHeight="1">
      <c r="E821" s="7"/>
      <c r="F821" s="7"/>
      <c r="G821" s="7"/>
      <c r="H821" s="7"/>
      <c r="I821" s="7"/>
    </row>
    <row r="822" spans="5:9" ht="12.75" customHeight="1">
      <c r="E822" s="7"/>
      <c r="F822" s="7"/>
      <c r="G822" s="7"/>
      <c r="H822" s="7"/>
      <c r="I822" s="7"/>
    </row>
    <row r="823" spans="5:9" ht="12.75" customHeight="1">
      <c r="E823" s="7"/>
      <c r="F823" s="7"/>
      <c r="G823" s="7"/>
      <c r="H823" s="7"/>
      <c r="I823" s="7"/>
    </row>
    <row r="824" spans="5:9" ht="12.75" customHeight="1">
      <c r="E824" s="7"/>
      <c r="F824" s="7"/>
      <c r="G824" s="7"/>
      <c r="H824" s="7"/>
      <c r="I824" s="7"/>
    </row>
    <row r="825" spans="5:9" ht="12.75" customHeight="1">
      <c r="E825" s="7"/>
      <c r="F825" s="7"/>
      <c r="G825" s="7"/>
      <c r="H825" s="7"/>
      <c r="I825" s="7"/>
    </row>
    <row r="826" spans="5:9" ht="12.75" customHeight="1">
      <c r="E826" s="7"/>
      <c r="F826" s="7"/>
      <c r="G826" s="7"/>
      <c r="H826" s="7"/>
      <c r="I826" s="7"/>
    </row>
    <row r="827" spans="5:9" ht="12.75" customHeight="1">
      <c r="E827" s="7"/>
      <c r="F827" s="7"/>
      <c r="G827" s="7"/>
      <c r="H827" s="7"/>
      <c r="I827" s="7"/>
    </row>
    <row r="828" spans="5:9" ht="12.75" customHeight="1">
      <c r="E828" s="7"/>
      <c r="F828" s="7"/>
      <c r="G828" s="7"/>
      <c r="H828" s="7"/>
      <c r="I828" s="7"/>
    </row>
    <row r="829" spans="5:9" ht="12.75" customHeight="1">
      <c r="E829" s="7"/>
      <c r="F829" s="7"/>
      <c r="G829" s="7"/>
      <c r="H829" s="7"/>
      <c r="I829" s="7"/>
    </row>
    <row r="830" spans="5:9" ht="12.75" customHeight="1">
      <c r="E830" s="7"/>
      <c r="F830" s="7"/>
      <c r="G830" s="7"/>
      <c r="H830" s="7"/>
      <c r="I830" s="7"/>
    </row>
    <row r="831" spans="5:9" ht="12.75" customHeight="1">
      <c r="E831" s="7"/>
      <c r="F831" s="7"/>
      <c r="G831" s="7"/>
      <c r="H831" s="7"/>
      <c r="I831" s="7"/>
    </row>
    <row r="832" spans="5:9" ht="12.75" customHeight="1">
      <c r="E832" s="7"/>
      <c r="F832" s="7"/>
      <c r="G832" s="7"/>
      <c r="H832" s="7"/>
      <c r="I832" s="7"/>
    </row>
    <row r="833" spans="5:9" ht="12.75" customHeight="1">
      <c r="E833" s="7"/>
      <c r="F833" s="7"/>
      <c r="G833" s="7"/>
      <c r="H833" s="7"/>
      <c r="I833" s="7"/>
    </row>
    <row r="834" spans="5:9" ht="12.75" customHeight="1">
      <c r="E834" s="7"/>
      <c r="F834" s="7"/>
      <c r="G834" s="7"/>
      <c r="H834" s="7"/>
      <c r="I834" s="7"/>
    </row>
    <row r="835" spans="5:9" ht="12.75" customHeight="1">
      <c r="E835" s="7"/>
      <c r="F835" s="7"/>
      <c r="G835" s="7"/>
      <c r="H835" s="7"/>
      <c r="I835" s="7"/>
    </row>
    <row r="836" spans="5:9" ht="12.75" customHeight="1">
      <c r="E836" s="7"/>
      <c r="F836" s="7"/>
      <c r="G836" s="7"/>
      <c r="H836" s="7"/>
      <c r="I836" s="7"/>
    </row>
    <row r="837" spans="5:9" ht="12.75" customHeight="1">
      <c r="E837" s="7"/>
      <c r="F837" s="7"/>
      <c r="G837" s="7"/>
      <c r="H837" s="7"/>
      <c r="I837" s="7"/>
    </row>
    <row r="838" spans="5:9" ht="12.75" customHeight="1">
      <c r="E838" s="7"/>
      <c r="F838" s="7"/>
      <c r="G838" s="7"/>
      <c r="H838" s="7"/>
      <c r="I838" s="7"/>
    </row>
    <row r="839" spans="5:9" ht="12.75" customHeight="1">
      <c r="E839" s="7"/>
      <c r="F839" s="7"/>
      <c r="G839" s="7"/>
      <c r="H839" s="7"/>
      <c r="I839" s="7"/>
    </row>
    <row r="840" spans="5:9" ht="12.75" customHeight="1">
      <c r="E840" s="7"/>
      <c r="F840" s="7"/>
      <c r="G840" s="7"/>
      <c r="H840" s="7"/>
      <c r="I840" s="7"/>
    </row>
    <row r="841" spans="5:9" ht="12.75" customHeight="1">
      <c r="E841" s="7"/>
      <c r="F841" s="7"/>
      <c r="G841" s="7"/>
      <c r="H841" s="7"/>
      <c r="I841" s="7"/>
    </row>
    <row r="842" spans="5:9" ht="12.75" customHeight="1">
      <c r="E842" s="7"/>
      <c r="F842" s="7"/>
      <c r="G842" s="7"/>
      <c r="H842" s="7"/>
      <c r="I842" s="7"/>
    </row>
    <row r="843" spans="5:9" ht="12.75" customHeight="1">
      <c r="E843" s="7"/>
      <c r="F843" s="7"/>
      <c r="G843" s="7"/>
      <c r="H843" s="7"/>
      <c r="I843" s="7"/>
    </row>
    <row r="844" spans="5:9" ht="12.75" customHeight="1">
      <c r="E844" s="7"/>
      <c r="F844" s="7"/>
      <c r="G844" s="7"/>
      <c r="H844" s="7"/>
      <c r="I844" s="7"/>
    </row>
    <row r="845" spans="5:9" ht="12.75" customHeight="1">
      <c r="E845" s="7"/>
      <c r="F845" s="7"/>
      <c r="G845" s="7"/>
      <c r="H845" s="7"/>
      <c r="I845" s="7"/>
    </row>
    <row r="846" spans="5:9" ht="12.75" customHeight="1">
      <c r="E846" s="7"/>
      <c r="F846" s="7"/>
      <c r="G846" s="7"/>
      <c r="H846" s="7"/>
      <c r="I846" s="7"/>
    </row>
    <row r="847" spans="5:9" ht="12.75" customHeight="1">
      <c r="E847" s="7"/>
      <c r="F847" s="7"/>
      <c r="G847" s="7"/>
      <c r="H847" s="7"/>
      <c r="I847" s="7"/>
    </row>
    <row r="848" spans="5:9" ht="12.75" customHeight="1">
      <c r="E848" s="7"/>
      <c r="F848" s="7"/>
      <c r="G848" s="7"/>
      <c r="H848" s="7"/>
      <c r="I848" s="7"/>
    </row>
    <row r="849" spans="5:9" ht="12.75" customHeight="1">
      <c r="E849" s="7"/>
      <c r="F849" s="7"/>
      <c r="G849" s="7"/>
      <c r="H849" s="7"/>
      <c r="I849" s="7"/>
    </row>
    <row r="850" spans="5:9" ht="12.75" customHeight="1">
      <c r="E850" s="7"/>
      <c r="F850" s="7"/>
      <c r="G850" s="7"/>
      <c r="H850" s="7"/>
      <c r="I850" s="7"/>
    </row>
    <row r="851" spans="5:9" ht="12.75" customHeight="1">
      <c r="E851" s="7"/>
      <c r="F851" s="7"/>
      <c r="G851" s="7"/>
      <c r="H851" s="7"/>
      <c r="I851" s="7"/>
    </row>
    <row r="852" spans="5:9" ht="12.75" customHeight="1">
      <c r="E852" s="7"/>
      <c r="F852" s="7"/>
      <c r="G852" s="7"/>
      <c r="H852" s="7"/>
      <c r="I852" s="7"/>
    </row>
    <row r="853" spans="5:9" ht="12.75" customHeight="1">
      <c r="E853" s="7"/>
      <c r="F853" s="7"/>
      <c r="G853" s="7"/>
      <c r="H853" s="7"/>
      <c r="I853" s="7"/>
    </row>
    <row r="854" spans="5:9" ht="12.75" customHeight="1">
      <c r="E854" s="7"/>
      <c r="F854" s="7"/>
      <c r="G854" s="7"/>
      <c r="H854" s="7"/>
      <c r="I854" s="7"/>
    </row>
    <row r="855" spans="5:9" ht="12.75" customHeight="1">
      <c r="E855" s="7"/>
      <c r="F855" s="7"/>
      <c r="G855" s="7"/>
      <c r="H855" s="7"/>
      <c r="I855" s="7"/>
    </row>
    <row r="856" spans="5:9" ht="12.75" customHeight="1">
      <c r="E856" s="7"/>
      <c r="F856" s="7"/>
      <c r="G856" s="7"/>
      <c r="H856" s="7"/>
      <c r="I856" s="7"/>
    </row>
    <row r="857" spans="5:9" ht="12.75" customHeight="1">
      <c r="E857" s="7"/>
      <c r="F857" s="7"/>
      <c r="G857" s="7"/>
      <c r="H857" s="7"/>
      <c r="I857" s="7"/>
    </row>
    <row r="858" spans="5:9" ht="12.75" customHeight="1">
      <c r="E858" s="7"/>
      <c r="F858" s="7"/>
      <c r="G858" s="7"/>
      <c r="H858" s="7"/>
      <c r="I858" s="7"/>
    </row>
    <row r="859" spans="5:9" ht="12.75" customHeight="1">
      <c r="E859" s="7"/>
      <c r="F859" s="7"/>
      <c r="G859" s="7"/>
      <c r="H859" s="7"/>
      <c r="I859" s="7"/>
    </row>
    <row r="860" spans="5:9" ht="12.75" customHeight="1">
      <c r="E860" s="7"/>
      <c r="F860" s="7"/>
      <c r="G860" s="7"/>
      <c r="H860" s="7"/>
      <c r="I860" s="7"/>
    </row>
    <row r="861" spans="5:9" ht="12.75" customHeight="1">
      <c r="E861" s="7"/>
      <c r="F861" s="7"/>
      <c r="G861" s="7"/>
      <c r="H861" s="7"/>
      <c r="I861" s="7"/>
    </row>
    <row r="862" spans="5:9" ht="12.75" customHeight="1">
      <c r="E862" s="7"/>
      <c r="F862" s="7"/>
      <c r="G862" s="7"/>
      <c r="H862" s="7"/>
      <c r="I862" s="7"/>
    </row>
    <row r="863" spans="5:9" ht="12.75" customHeight="1">
      <c r="E863" s="7"/>
      <c r="F863" s="7"/>
      <c r="G863" s="7"/>
      <c r="H863" s="7"/>
      <c r="I863" s="7"/>
    </row>
    <row r="864" spans="5:9" ht="12.75" customHeight="1">
      <c r="E864" s="7"/>
      <c r="F864" s="7"/>
      <c r="G864" s="7"/>
      <c r="H864" s="7"/>
      <c r="I864" s="7"/>
    </row>
    <row r="865" spans="5:9" ht="12.75" customHeight="1">
      <c r="E865" s="7"/>
      <c r="F865" s="7"/>
      <c r="G865" s="7"/>
      <c r="H865" s="7"/>
      <c r="I865" s="7"/>
    </row>
    <row r="866" spans="5:9" ht="12.75" customHeight="1">
      <c r="E866" s="7"/>
      <c r="F866" s="7"/>
      <c r="G866" s="7"/>
      <c r="H866" s="7"/>
      <c r="I866" s="7"/>
    </row>
    <row r="867" spans="5:9" ht="12.75" customHeight="1">
      <c r="E867" s="7"/>
      <c r="F867" s="7"/>
      <c r="G867" s="7"/>
      <c r="H867" s="7"/>
      <c r="I867" s="7"/>
    </row>
    <row r="868" spans="5:9" ht="12.75" customHeight="1">
      <c r="E868" s="7"/>
      <c r="F868" s="7"/>
      <c r="G868" s="7"/>
      <c r="H868" s="7"/>
      <c r="I868" s="7"/>
    </row>
    <row r="869" spans="5:9" ht="12.75" customHeight="1">
      <c r="E869" s="7"/>
      <c r="F869" s="7"/>
      <c r="G869" s="7"/>
      <c r="H869" s="7"/>
      <c r="I869" s="7"/>
    </row>
    <row r="870" spans="5:9" ht="12.75" customHeight="1">
      <c r="E870" s="7"/>
      <c r="F870" s="7"/>
      <c r="G870" s="7"/>
      <c r="H870" s="7"/>
      <c r="I870" s="7"/>
    </row>
    <row r="871" spans="5:9" ht="12.75" customHeight="1">
      <c r="E871" s="7"/>
      <c r="F871" s="7"/>
      <c r="G871" s="7"/>
      <c r="H871" s="7"/>
      <c r="I871" s="7"/>
    </row>
    <row r="872" spans="5:9" ht="12.75" customHeight="1">
      <c r="E872" s="7"/>
      <c r="F872" s="7"/>
      <c r="G872" s="7"/>
      <c r="H872" s="7"/>
      <c r="I872" s="7"/>
    </row>
    <row r="873" spans="5:9" ht="12.75" customHeight="1">
      <c r="E873" s="7"/>
      <c r="F873" s="7"/>
      <c r="G873" s="7"/>
      <c r="H873" s="7"/>
      <c r="I873" s="7"/>
    </row>
    <row r="874" spans="5:9" ht="12.75" customHeight="1">
      <c r="E874" s="7"/>
      <c r="F874" s="7"/>
      <c r="G874" s="7"/>
      <c r="H874" s="7"/>
      <c r="I874" s="7"/>
    </row>
    <row r="875" spans="5:9" ht="12.75" customHeight="1">
      <c r="E875" s="7"/>
      <c r="F875" s="7"/>
      <c r="G875" s="7"/>
      <c r="H875" s="7"/>
      <c r="I875" s="7"/>
    </row>
    <row r="876" spans="5:9" ht="12.75" customHeight="1">
      <c r="E876" s="7"/>
      <c r="F876" s="7"/>
      <c r="G876" s="7"/>
      <c r="H876" s="7"/>
      <c r="I876" s="7"/>
    </row>
    <row r="877" spans="5:9" ht="12.75" customHeight="1">
      <c r="E877" s="7"/>
      <c r="F877" s="7"/>
      <c r="G877" s="7"/>
      <c r="H877" s="7"/>
      <c r="I877" s="7"/>
    </row>
    <row r="878" spans="5:9" ht="12.75" customHeight="1">
      <c r="E878" s="7"/>
      <c r="F878" s="7"/>
      <c r="G878" s="7"/>
      <c r="H878" s="7"/>
      <c r="I878" s="7"/>
    </row>
    <row r="879" spans="5:9" ht="12.75" customHeight="1">
      <c r="E879" s="7"/>
      <c r="F879" s="7"/>
      <c r="G879" s="7"/>
      <c r="H879" s="7"/>
      <c r="I879" s="7"/>
    </row>
    <row r="880" spans="5:9" ht="12.75" customHeight="1">
      <c r="E880" s="7"/>
      <c r="F880" s="7"/>
      <c r="G880" s="7"/>
      <c r="H880" s="7"/>
      <c r="I880" s="7"/>
    </row>
    <row r="881" spans="5:9" ht="12.75" customHeight="1">
      <c r="E881" s="7"/>
      <c r="F881" s="7"/>
      <c r="G881" s="7"/>
      <c r="H881" s="7"/>
      <c r="I881" s="7"/>
    </row>
    <row r="882" spans="5:9" ht="12.75" customHeight="1">
      <c r="E882" s="7"/>
      <c r="F882" s="7"/>
      <c r="G882" s="7"/>
      <c r="H882" s="7"/>
      <c r="I882" s="7"/>
    </row>
    <row r="883" spans="5:9" ht="12.75" customHeight="1">
      <c r="E883" s="7"/>
      <c r="F883" s="7"/>
      <c r="G883" s="7"/>
      <c r="H883" s="7"/>
      <c r="I883" s="7"/>
    </row>
    <row r="884" spans="5:9" ht="12.75" customHeight="1">
      <c r="E884" s="7"/>
      <c r="F884" s="7"/>
      <c r="G884" s="7"/>
      <c r="H884" s="7"/>
      <c r="I884" s="7"/>
    </row>
    <row r="885" spans="5:9" ht="12.75" customHeight="1">
      <c r="E885" s="7"/>
      <c r="F885" s="7"/>
      <c r="G885" s="7"/>
      <c r="H885" s="7"/>
      <c r="I885" s="7"/>
    </row>
    <row r="886" spans="5:9" ht="12.75" customHeight="1">
      <c r="E886" s="7"/>
      <c r="F886" s="7"/>
      <c r="G886" s="7"/>
      <c r="H886" s="7"/>
      <c r="I886" s="7"/>
    </row>
    <row r="887" spans="5:9" ht="12.75" customHeight="1">
      <c r="E887" s="7"/>
      <c r="F887" s="7"/>
      <c r="G887" s="7"/>
      <c r="H887" s="7"/>
      <c r="I887" s="7"/>
    </row>
    <row r="888" spans="5:9" ht="12.75" customHeight="1">
      <c r="E888" s="7"/>
      <c r="F888" s="7"/>
      <c r="G888" s="7"/>
      <c r="H888" s="7"/>
      <c r="I888" s="7"/>
    </row>
    <row r="889" spans="5:9" ht="12.75" customHeight="1">
      <c r="E889" s="7"/>
      <c r="F889" s="7"/>
      <c r="G889" s="7"/>
      <c r="H889" s="7"/>
      <c r="I889" s="7"/>
    </row>
    <row r="890" spans="5:9" ht="12.75" customHeight="1">
      <c r="E890" s="7"/>
      <c r="F890" s="7"/>
      <c r="G890" s="7"/>
      <c r="H890" s="7"/>
      <c r="I890" s="7"/>
    </row>
    <row r="891" spans="5:9" ht="12.75" customHeight="1">
      <c r="E891" s="7"/>
      <c r="F891" s="7"/>
      <c r="G891" s="7"/>
      <c r="H891" s="7"/>
      <c r="I891" s="7"/>
    </row>
    <row r="892" spans="5:9" ht="12.75" customHeight="1">
      <c r="E892" s="7"/>
      <c r="F892" s="7"/>
      <c r="G892" s="7"/>
      <c r="H892" s="7"/>
      <c r="I892" s="7"/>
    </row>
    <row r="893" spans="5:9" ht="12.75" customHeight="1">
      <c r="E893" s="7"/>
      <c r="F893" s="7"/>
      <c r="G893" s="7"/>
      <c r="H893" s="7"/>
      <c r="I893" s="7"/>
    </row>
    <row r="894" spans="5:9" ht="12.75" customHeight="1">
      <c r="E894" s="7"/>
      <c r="F894" s="7"/>
      <c r="G894" s="7"/>
      <c r="H894" s="7"/>
      <c r="I894" s="7"/>
    </row>
    <row r="895" spans="5:9" ht="12.75" customHeight="1">
      <c r="E895" s="7"/>
      <c r="F895" s="7"/>
      <c r="G895" s="7"/>
      <c r="H895" s="7"/>
      <c r="I895" s="7"/>
    </row>
    <row r="896" spans="5:9" ht="12.75" customHeight="1">
      <c r="E896" s="7"/>
      <c r="F896" s="7"/>
      <c r="G896" s="7"/>
      <c r="H896" s="7"/>
      <c r="I896" s="7"/>
    </row>
    <row r="897" spans="5:9" ht="12.75" customHeight="1">
      <c r="E897" s="7"/>
      <c r="F897" s="7"/>
      <c r="G897" s="7"/>
      <c r="H897" s="7"/>
      <c r="I897" s="7"/>
    </row>
    <row r="898" spans="5:9" ht="12.75" customHeight="1">
      <c r="E898" s="7"/>
      <c r="F898" s="7"/>
      <c r="G898" s="7"/>
      <c r="H898" s="7"/>
      <c r="I898" s="7"/>
    </row>
    <row r="899" spans="5:9" ht="12.75" customHeight="1">
      <c r="E899" s="7"/>
      <c r="F899" s="7"/>
      <c r="G899" s="7"/>
      <c r="H899" s="7"/>
      <c r="I899" s="7"/>
    </row>
    <row r="900" spans="5:9" ht="12.75" customHeight="1">
      <c r="E900" s="7"/>
      <c r="F900" s="7"/>
      <c r="G900" s="7"/>
      <c r="H900" s="7"/>
      <c r="I900" s="7"/>
    </row>
    <row r="901" spans="5:9" ht="12.75" customHeight="1">
      <c r="E901" s="7"/>
      <c r="F901" s="7"/>
      <c r="G901" s="7"/>
      <c r="H901" s="7"/>
      <c r="I901" s="7"/>
    </row>
    <row r="902" spans="5:9" ht="12.75" customHeight="1">
      <c r="E902" s="7"/>
      <c r="F902" s="7"/>
      <c r="G902" s="7"/>
      <c r="H902" s="7"/>
      <c r="I902" s="7"/>
    </row>
    <row r="903" spans="5:9" ht="12.75" customHeight="1">
      <c r="E903" s="7"/>
      <c r="F903" s="7"/>
      <c r="G903" s="7"/>
      <c r="H903" s="7"/>
      <c r="I903" s="7"/>
    </row>
    <row r="904" spans="5:9" ht="12.75" customHeight="1">
      <c r="E904" s="7"/>
      <c r="F904" s="7"/>
      <c r="G904" s="7"/>
      <c r="H904" s="7"/>
      <c r="I904" s="7"/>
    </row>
    <row r="905" spans="5:9" ht="12.75" customHeight="1">
      <c r="E905" s="7"/>
      <c r="F905" s="7"/>
      <c r="G905" s="7"/>
      <c r="H905" s="7"/>
      <c r="I905" s="7"/>
    </row>
    <row r="906" spans="5:9" ht="12.75" customHeight="1">
      <c r="E906" s="7"/>
      <c r="F906" s="7"/>
      <c r="G906" s="7"/>
      <c r="H906" s="7"/>
      <c r="I906" s="7"/>
    </row>
    <row r="907" spans="5:9" ht="12.75" customHeight="1">
      <c r="E907" s="7"/>
      <c r="F907" s="7"/>
      <c r="G907" s="7"/>
      <c r="H907" s="7"/>
      <c r="I907" s="7"/>
    </row>
    <row r="908" spans="5:9" ht="12.75" customHeight="1">
      <c r="E908" s="7"/>
      <c r="F908" s="7"/>
      <c r="G908" s="7"/>
      <c r="H908" s="7"/>
      <c r="I908" s="7"/>
    </row>
    <row r="909" spans="5:9" ht="12.75" customHeight="1">
      <c r="E909" s="7"/>
      <c r="F909" s="7"/>
      <c r="G909" s="7"/>
      <c r="H909" s="7"/>
      <c r="I909" s="7"/>
    </row>
    <row r="910" spans="5:9" ht="12.75" customHeight="1">
      <c r="E910" s="7"/>
      <c r="F910" s="7"/>
      <c r="G910" s="7"/>
      <c r="H910" s="7"/>
      <c r="I910" s="7"/>
    </row>
    <row r="911" spans="5:9" ht="12.75" customHeight="1">
      <c r="E911" s="7"/>
      <c r="F911" s="7"/>
      <c r="G911" s="7"/>
      <c r="H911" s="7"/>
      <c r="I911" s="7"/>
    </row>
    <row r="912" spans="5:9" ht="12.75" customHeight="1">
      <c r="E912" s="7"/>
      <c r="F912" s="7"/>
      <c r="G912" s="7"/>
      <c r="H912" s="7"/>
      <c r="I912" s="7"/>
    </row>
    <row r="913" spans="5:9" ht="12.75" customHeight="1">
      <c r="E913" s="7"/>
      <c r="F913" s="7"/>
      <c r="G913" s="7"/>
      <c r="H913" s="7"/>
      <c r="I913" s="7"/>
    </row>
    <row r="914" spans="5:9" ht="12.75" customHeight="1">
      <c r="E914" s="7"/>
      <c r="F914" s="7"/>
      <c r="G914" s="7"/>
      <c r="H914" s="7"/>
      <c r="I914" s="7"/>
    </row>
    <row r="915" spans="5:9" ht="12.75" customHeight="1">
      <c r="E915" s="7"/>
      <c r="F915" s="7"/>
      <c r="G915" s="7"/>
      <c r="H915" s="7"/>
      <c r="I915" s="7"/>
    </row>
    <row r="916" spans="5:9" ht="12.75" customHeight="1">
      <c r="E916" s="7"/>
      <c r="F916" s="7"/>
      <c r="G916" s="7"/>
      <c r="H916" s="7"/>
      <c r="I916" s="7"/>
    </row>
    <row r="917" spans="5:9" ht="12.75" customHeight="1">
      <c r="E917" s="7"/>
      <c r="F917" s="7"/>
      <c r="G917" s="7"/>
      <c r="H917" s="7"/>
      <c r="I917" s="7"/>
    </row>
    <row r="918" spans="5:9" ht="12.75" customHeight="1">
      <c r="E918" s="7"/>
      <c r="F918" s="7"/>
      <c r="G918" s="7"/>
      <c r="H918" s="7"/>
      <c r="I918" s="7"/>
    </row>
    <row r="919" spans="5:9" ht="12.75" customHeight="1">
      <c r="E919" s="7"/>
      <c r="F919" s="7"/>
      <c r="G919" s="7"/>
      <c r="H919" s="7"/>
      <c r="I919" s="7"/>
    </row>
    <row r="920" spans="5:9" ht="12.75" customHeight="1">
      <c r="E920" s="7"/>
      <c r="F920" s="7"/>
      <c r="G920" s="7"/>
      <c r="H920" s="7"/>
      <c r="I920" s="7"/>
    </row>
    <row r="921" spans="5:9" ht="12.75" customHeight="1">
      <c r="E921" s="7"/>
      <c r="F921" s="7"/>
      <c r="G921" s="7"/>
      <c r="H921" s="7"/>
      <c r="I921" s="7"/>
    </row>
    <row r="922" spans="5:9" ht="12.75" customHeight="1">
      <c r="E922" s="7"/>
      <c r="F922" s="7"/>
      <c r="G922" s="7"/>
      <c r="H922" s="7"/>
      <c r="I922" s="7"/>
    </row>
    <row r="923" spans="5:9" ht="12.75" customHeight="1">
      <c r="E923" s="7"/>
      <c r="F923" s="7"/>
      <c r="G923" s="7"/>
      <c r="H923" s="7"/>
      <c r="I923" s="7"/>
    </row>
    <row r="924" spans="5:9" ht="12.75" customHeight="1">
      <c r="E924" s="7"/>
      <c r="F924" s="7"/>
      <c r="G924" s="7"/>
      <c r="H924" s="7"/>
      <c r="I924" s="7"/>
    </row>
    <row r="925" spans="5:9" ht="12.75" customHeight="1">
      <c r="E925" s="7"/>
      <c r="F925" s="7"/>
      <c r="G925" s="7"/>
      <c r="H925" s="7"/>
      <c r="I925" s="7"/>
    </row>
    <row r="926" spans="5:9" ht="12.75" customHeight="1">
      <c r="E926" s="7"/>
      <c r="F926" s="7"/>
      <c r="G926" s="7"/>
      <c r="H926" s="7"/>
      <c r="I926" s="7"/>
    </row>
    <row r="927" spans="5:9" ht="12.75" customHeight="1">
      <c r="E927" s="7"/>
      <c r="F927" s="7"/>
      <c r="G927" s="7"/>
      <c r="H927" s="7"/>
      <c r="I927" s="7"/>
    </row>
    <row r="928" spans="5:9" ht="12.75" customHeight="1">
      <c r="E928" s="7"/>
      <c r="F928" s="7"/>
      <c r="G928" s="7"/>
      <c r="H928" s="7"/>
      <c r="I928" s="7"/>
    </row>
    <row r="929" spans="5:9" ht="12.75" customHeight="1">
      <c r="E929" s="7"/>
      <c r="F929" s="7"/>
      <c r="G929" s="7"/>
      <c r="H929" s="7"/>
      <c r="I929" s="7"/>
    </row>
    <row r="930" spans="5:9" ht="12.75" customHeight="1">
      <c r="E930" s="7"/>
      <c r="F930" s="7"/>
      <c r="G930" s="7"/>
      <c r="H930" s="7"/>
      <c r="I930" s="7"/>
    </row>
    <row r="931" spans="5:9" ht="12.75" customHeight="1">
      <c r="E931" s="7"/>
      <c r="F931" s="7"/>
      <c r="G931" s="7"/>
      <c r="H931" s="7"/>
      <c r="I931" s="7"/>
    </row>
    <row r="932" spans="5:9" ht="12.75" customHeight="1">
      <c r="E932" s="7"/>
      <c r="F932" s="7"/>
      <c r="G932" s="7"/>
      <c r="H932" s="7"/>
      <c r="I932" s="7"/>
    </row>
    <row r="933" spans="5:9" ht="12.75" customHeight="1">
      <c r="E933" s="7"/>
      <c r="F933" s="7"/>
      <c r="G933" s="7"/>
      <c r="H933" s="7"/>
      <c r="I933" s="7"/>
    </row>
    <row r="934" spans="5:9" ht="12.75" customHeight="1">
      <c r="E934" s="7"/>
      <c r="F934" s="7"/>
      <c r="G934" s="7"/>
      <c r="H934" s="7"/>
      <c r="I934" s="7"/>
    </row>
    <row r="935" spans="5:9" ht="12.75" customHeight="1">
      <c r="E935" s="7"/>
      <c r="F935" s="7"/>
      <c r="G935" s="7"/>
      <c r="H935" s="7"/>
      <c r="I935" s="7"/>
    </row>
    <row r="936" spans="5:9" ht="12.75" customHeight="1">
      <c r="E936" s="7"/>
      <c r="F936" s="7"/>
      <c r="G936" s="7"/>
      <c r="H936" s="7"/>
      <c r="I936" s="7"/>
    </row>
    <row r="937" spans="5:9" ht="12.75" customHeight="1">
      <c r="E937" s="7"/>
      <c r="F937" s="7"/>
      <c r="G937" s="7"/>
      <c r="H937" s="7"/>
      <c r="I937" s="7"/>
    </row>
    <row r="938" spans="5:9" ht="12.75" customHeight="1">
      <c r="E938" s="7"/>
      <c r="F938" s="7"/>
      <c r="G938" s="7"/>
      <c r="H938" s="7"/>
      <c r="I938" s="7"/>
    </row>
    <row r="939" spans="5:9" ht="12.75" customHeight="1">
      <c r="E939" s="7"/>
      <c r="F939" s="7"/>
      <c r="G939" s="7"/>
      <c r="H939" s="7"/>
      <c r="I939" s="7"/>
    </row>
    <row r="940" spans="5:9" ht="12.75" customHeight="1">
      <c r="E940" s="7"/>
      <c r="F940" s="7"/>
      <c r="G940" s="7"/>
      <c r="H940" s="7"/>
      <c r="I940" s="7"/>
    </row>
    <row r="941" spans="5:9" ht="12.75" customHeight="1">
      <c r="E941" s="7"/>
      <c r="F941" s="7"/>
      <c r="G941" s="7"/>
      <c r="H941" s="7"/>
      <c r="I941" s="7"/>
    </row>
    <row r="942" spans="5:9" ht="12.75" customHeight="1">
      <c r="E942" s="7"/>
      <c r="F942" s="7"/>
      <c r="G942" s="7"/>
      <c r="H942" s="7"/>
      <c r="I942" s="7"/>
    </row>
    <row r="943" spans="5:9" ht="12.75" customHeight="1">
      <c r="E943" s="7"/>
      <c r="F943" s="7"/>
      <c r="G943" s="7"/>
      <c r="H943" s="7"/>
      <c r="I943" s="7"/>
    </row>
    <row r="944" spans="5:9" ht="12.75" customHeight="1">
      <c r="E944" s="7"/>
      <c r="F944" s="7"/>
      <c r="G944" s="7"/>
      <c r="H944" s="7"/>
      <c r="I944" s="7"/>
    </row>
    <row r="945" spans="5:9" ht="12.75" customHeight="1">
      <c r="E945" s="7"/>
      <c r="F945" s="7"/>
      <c r="G945" s="7"/>
      <c r="H945" s="7"/>
      <c r="I945" s="7"/>
    </row>
    <row r="946" spans="5:9" ht="12.75" customHeight="1">
      <c r="E946" s="7"/>
      <c r="F946" s="7"/>
      <c r="G946" s="7"/>
      <c r="H946" s="7"/>
      <c r="I946" s="7"/>
    </row>
    <row r="947" spans="5:9" ht="12.75" customHeight="1">
      <c r="E947" s="7"/>
      <c r="F947" s="7"/>
      <c r="G947" s="7"/>
      <c r="H947" s="7"/>
      <c r="I947" s="7"/>
    </row>
    <row r="948" spans="5:9" ht="12.75" customHeight="1">
      <c r="E948" s="7"/>
      <c r="F948" s="7"/>
      <c r="G948" s="7"/>
      <c r="H948" s="7"/>
      <c r="I948" s="7"/>
    </row>
    <row r="949" spans="5:9" ht="12.75" customHeight="1">
      <c r="E949" s="7"/>
      <c r="F949" s="7"/>
      <c r="G949" s="7"/>
      <c r="H949" s="7"/>
      <c r="I949" s="7"/>
    </row>
    <row r="950" spans="5:9" ht="12.75" customHeight="1">
      <c r="E950" s="7"/>
      <c r="F950" s="7"/>
      <c r="G950" s="7"/>
      <c r="H950" s="7"/>
      <c r="I950" s="7"/>
    </row>
    <row r="951" spans="5:9" ht="12.75" customHeight="1">
      <c r="E951" s="7"/>
      <c r="F951" s="7"/>
      <c r="G951" s="7"/>
      <c r="H951" s="7"/>
      <c r="I951" s="7"/>
    </row>
    <row r="952" spans="5:9" ht="12.75" customHeight="1">
      <c r="E952" s="7"/>
      <c r="F952" s="7"/>
      <c r="G952" s="7"/>
      <c r="H952" s="7"/>
      <c r="I952" s="7"/>
    </row>
    <row r="953" spans="5:9" ht="12.75" customHeight="1">
      <c r="E953" s="7"/>
      <c r="F953" s="7"/>
      <c r="G953" s="7"/>
      <c r="H953" s="7"/>
      <c r="I953" s="7"/>
    </row>
    <row r="954" spans="5:9" ht="12.75" customHeight="1">
      <c r="E954" s="7"/>
      <c r="F954" s="7"/>
      <c r="G954" s="7"/>
      <c r="H954" s="7"/>
      <c r="I954" s="7"/>
    </row>
    <row r="955" spans="5:9" ht="12.75" customHeight="1">
      <c r="E955" s="7"/>
      <c r="F955" s="7"/>
      <c r="G955" s="7"/>
      <c r="H955" s="7"/>
      <c r="I955" s="7"/>
    </row>
    <row r="956" spans="5:9" ht="12.75" customHeight="1">
      <c r="E956" s="7"/>
      <c r="F956" s="7"/>
      <c r="G956" s="7"/>
      <c r="H956" s="7"/>
      <c r="I956" s="7"/>
    </row>
    <row r="957" spans="5:9" ht="12.75" customHeight="1">
      <c r="E957" s="7"/>
      <c r="F957" s="7"/>
      <c r="G957" s="7"/>
      <c r="H957" s="7"/>
      <c r="I957" s="7"/>
    </row>
    <row r="958" spans="5:9" ht="12.75" customHeight="1">
      <c r="E958" s="7"/>
      <c r="F958" s="7"/>
      <c r="G958" s="7"/>
      <c r="H958" s="7"/>
      <c r="I958" s="7"/>
    </row>
    <row r="959" spans="5:9" ht="12.75" customHeight="1">
      <c r="E959" s="7"/>
      <c r="F959" s="7"/>
      <c r="G959" s="7"/>
      <c r="H959" s="7"/>
      <c r="I959" s="7"/>
    </row>
    <row r="960" spans="5:9" ht="12.75" customHeight="1">
      <c r="E960" s="7"/>
      <c r="F960" s="7"/>
      <c r="G960" s="7"/>
      <c r="H960" s="7"/>
      <c r="I960" s="7"/>
    </row>
    <row r="961" spans="5:9" ht="12.75" customHeight="1">
      <c r="E961" s="7"/>
      <c r="F961" s="7"/>
      <c r="G961" s="7"/>
      <c r="H961" s="7"/>
      <c r="I961" s="7"/>
    </row>
    <row r="962" spans="5:9" ht="12.75" customHeight="1">
      <c r="E962" s="7"/>
      <c r="F962" s="7"/>
      <c r="G962" s="7"/>
      <c r="H962" s="7"/>
      <c r="I962" s="7"/>
    </row>
    <row r="963" spans="5:9" ht="12.75" customHeight="1">
      <c r="E963" s="7"/>
      <c r="F963" s="7"/>
      <c r="G963" s="7"/>
      <c r="H963" s="7"/>
      <c r="I963" s="7"/>
    </row>
    <row r="964" spans="5:9" ht="12.75" customHeight="1">
      <c r="E964" s="7"/>
      <c r="F964" s="7"/>
      <c r="G964" s="7"/>
      <c r="H964" s="7"/>
      <c r="I964" s="7"/>
    </row>
    <row r="965" spans="5:9" ht="12.75" customHeight="1">
      <c r="E965" s="7"/>
      <c r="F965" s="7"/>
      <c r="G965" s="7"/>
      <c r="H965" s="7"/>
      <c r="I965" s="7"/>
    </row>
    <row r="966" spans="5:9" ht="12.75" customHeight="1">
      <c r="E966" s="7"/>
      <c r="F966" s="7"/>
      <c r="G966" s="7"/>
      <c r="H966" s="7"/>
      <c r="I966" s="7"/>
    </row>
    <row r="967" spans="5:9" ht="12.75" customHeight="1">
      <c r="E967" s="7"/>
      <c r="F967" s="7"/>
      <c r="G967" s="7"/>
      <c r="H967" s="7"/>
      <c r="I967" s="7"/>
    </row>
    <row r="968" spans="5:9" ht="12.75" customHeight="1">
      <c r="E968" s="7"/>
      <c r="F968" s="7"/>
      <c r="G968" s="7"/>
      <c r="H968" s="7"/>
      <c r="I968" s="7"/>
    </row>
    <row r="969" spans="5:9" ht="12.75" customHeight="1">
      <c r="E969" s="7"/>
      <c r="F969" s="7"/>
      <c r="G969" s="7"/>
      <c r="H969" s="7"/>
      <c r="I969" s="7"/>
    </row>
    <row r="970" spans="5:9" ht="12.75" customHeight="1">
      <c r="E970" s="7"/>
      <c r="F970" s="7"/>
      <c r="G970" s="7"/>
      <c r="H970" s="7"/>
      <c r="I970" s="7"/>
    </row>
    <row r="971" spans="5:9" ht="12.75" customHeight="1">
      <c r="E971" s="7"/>
      <c r="F971" s="7"/>
      <c r="G971" s="7"/>
      <c r="H971" s="7"/>
      <c r="I971" s="7"/>
    </row>
    <row r="972" spans="5:9" ht="12.75" customHeight="1">
      <c r="E972" s="7"/>
      <c r="F972" s="7"/>
      <c r="G972" s="7"/>
      <c r="H972" s="7"/>
      <c r="I972" s="7"/>
    </row>
    <row r="973" spans="5:9" ht="12.75" customHeight="1">
      <c r="E973" s="7"/>
      <c r="F973" s="7"/>
      <c r="G973" s="7"/>
      <c r="H973" s="7"/>
      <c r="I973" s="7"/>
    </row>
    <row r="974" spans="5:9" ht="12.75" customHeight="1">
      <c r="E974" s="7"/>
      <c r="F974" s="7"/>
      <c r="G974" s="7"/>
      <c r="H974" s="7"/>
      <c r="I974" s="7"/>
    </row>
    <row r="975" spans="5:9" ht="12.75" customHeight="1">
      <c r="E975" s="7"/>
      <c r="F975" s="7"/>
      <c r="G975" s="7"/>
      <c r="H975" s="7"/>
      <c r="I975" s="7"/>
    </row>
    <row r="976" spans="5:9" ht="12.75" customHeight="1">
      <c r="E976" s="7"/>
      <c r="F976" s="7"/>
      <c r="G976" s="7"/>
      <c r="H976" s="7"/>
      <c r="I976" s="7"/>
    </row>
    <row r="977" spans="5:9" ht="12.75" customHeight="1">
      <c r="E977" s="7"/>
      <c r="F977" s="7"/>
      <c r="G977" s="7"/>
      <c r="H977" s="7"/>
      <c r="I977" s="7"/>
    </row>
    <row r="978" spans="5:9" ht="12.75" customHeight="1">
      <c r="E978" s="7"/>
      <c r="F978" s="7"/>
      <c r="G978" s="7"/>
      <c r="H978" s="7"/>
      <c r="I978" s="7"/>
    </row>
    <row r="979" spans="5:9" ht="12.75" customHeight="1">
      <c r="E979" s="7"/>
      <c r="F979" s="7"/>
      <c r="G979" s="7"/>
      <c r="H979" s="7"/>
      <c r="I979" s="7"/>
    </row>
    <row r="980" spans="5:9" ht="12.75" customHeight="1">
      <c r="E980" s="7"/>
      <c r="F980" s="7"/>
      <c r="G980" s="7"/>
      <c r="H980" s="7"/>
      <c r="I980" s="7"/>
    </row>
    <row r="981" spans="5:9" ht="12.75" customHeight="1">
      <c r="E981" s="7"/>
      <c r="F981" s="7"/>
      <c r="G981" s="7"/>
      <c r="H981" s="7"/>
      <c r="I981" s="7"/>
    </row>
    <row r="982" spans="5:9" ht="12.75" customHeight="1">
      <c r="E982" s="7"/>
      <c r="F982" s="7"/>
      <c r="G982" s="7"/>
      <c r="H982" s="7"/>
      <c r="I982" s="7"/>
    </row>
    <row r="983" spans="5:9" ht="12.75" customHeight="1">
      <c r="E983" s="7"/>
      <c r="F983" s="7"/>
      <c r="G983" s="7"/>
      <c r="H983" s="7"/>
      <c r="I983" s="7"/>
    </row>
    <row r="984" spans="5:9" ht="12.75" customHeight="1">
      <c r="E984" s="7"/>
      <c r="F984" s="7"/>
      <c r="G984" s="7"/>
      <c r="H984" s="7"/>
      <c r="I984" s="7"/>
    </row>
    <row r="985" spans="5:9" ht="12.75" customHeight="1">
      <c r="E985" s="7"/>
      <c r="F985" s="7"/>
      <c r="G985" s="7"/>
      <c r="H985" s="7"/>
      <c r="I985" s="7"/>
    </row>
    <row r="986" spans="5:9" ht="12.75" customHeight="1">
      <c r="E986" s="7"/>
      <c r="F986" s="7"/>
      <c r="G986" s="7"/>
      <c r="H986" s="7"/>
      <c r="I986" s="7"/>
    </row>
    <row r="987" spans="5:9" ht="12.75" customHeight="1">
      <c r="E987" s="7"/>
      <c r="F987" s="7"/>
      <c r="G987" s="7"/>
      <c r="H987" s="7"/>
      <c r="I987" s="7"/>
    </row>
    <row r="988" spans="5:9" ht="12.75" customHeight="1">
      <c r="E988" s="7"/>
      <c r="F988" s="7"/>
      <c r="G988" s="7"/>
      <c r="H988" s="7"/>
      <c r="I988" s="7"/>
    </row>
    <row r="989" spans="5:9" ht="12.75" customHeight="1">
      <c r="E989" s="7"/>
      <c r="F989" s="7"/>
      <c r="G989" s="7"/>
      <c r="H989" s="7"/>
      <c r="I989" s="7"/>
    </row>
    <row r="990" spans="5:9" ht="12.75" customHeight="1">
      <c r="E990" s="7"/>
      <c r="F990" s="7"/>
      <c r="G990" s="7"/>
      <c r="H990" s="7"/>
      <c r="I990" s="7"/>
    </row>
    <row r="991" spans="5:9" ht="12.75" customHeight="1">
      <c r="E991" s="7"/>
      <c r="F991" s="7"/>
      <c r="G991" s="7"/>
      <c r="H991" s="7"/>
      <c r="I991" s="7"/>
    </row>
    <row r="992" spans="5:9" ht="12.75" customHeight="1">
      <c r="E992" s="7"/>
      <c r="F992" s="7"/>
      <c r="G992" s="7"/>
      <c r="H992" s="7"/>
      <c r="I992" s="7"/>
    </row>
    <row r="993" spans="5:9" ht="12.75" customHeight="1">
      <c r="E993" s="7"/>
      <c r="F993" s="7"/>
      <c r="G993" s="7"/>
      <c r="H993" s="7"/>
      <c r="I993" s="7"/>
    </row>
    <row r="994" spans="5:9" ht="12.75" customHeight="1">
      <c r="E994" s="7"/>
      <c r="F994" s="7"/>
      <c r="G994" s="7"/>
      <c r="H994" s="7"/>
      <c r="I994" s="7"/>
    </row>
    <row r="995" spans="5:9" ht="12.75" customHeight="1">
      <c r="E995" s="7"/>
      <c r="F995" s="7"/>
      <c r="G995" s="7"/>
      <c r="H995" s="7"/>
      <c r="I995" s="7"/>
    </row>
    <row r="996" spans="5:9" ht="12.75" customHeight="1">
      <c r="E996" s="7"/>
      <c r="F996" s="7"/>
      <c r="G996" s="7"/>
      <c r="H996" s="7"/>
      <c r="I996" s="7"/>
    </row>
    <row r="997" spans="5:9" ht="12.75" customHeight="1">
      <c r="E997" s="7"/>
      <c r="F997" s="7"/>
      <c r="G997" s="7"/>
      <c r="H997" s="7"/>
      <c r="I997" s="7"/>
    </row>
    <row r="998" spans="5:9" ht="12.75" customHeight="1">
      <c r="E998" s="7"/>
      <c r="F998" s="7"/>
      <c r="G998" s="7"/>
      <c r="H998" s="7"/>
      <c r="I998" s="7"/>
    </row>
    <row r="999" spans="5:9" ht="12.75" customHeight="1">
      <c r="E999" s="7"/>
      <c r="F999" s="7"/>
      <c r="G999" s="7"/>
      <c r="H999" s="7"/>
      <c r="I999" s="7"/>
    </row>
    <row r="1000" spans="5:9" ht="12.75" customHeight="1">
      <c r="E1000" s="7"/>
      <c r="F1000" s="7"/>
      <c r="G1000" s="7"/>
      <c r="H1000" s="7"/>
      <c r="I1000" s="7"/>
    </row>
    <row r="1001" spans="5:9" ht="12.75" customHeight="1">
      <c r="E1001" s="7"/>
      <c r="F1001" s="7"/>
      <c r="G1001" s="7"/>
      <c r="H1001" s="7"/>
      <c r="I1001" s="7"/>
    </row>
    <row r="1002" spans="5:9" ht="12.75" customHeight="1">
      <c r="E1002" s="7"/>
      <c r="F1002" s="7"/>
      <c r="G1002" s="7"/>
      <c r="H1002" s="7"/>
      <c r="I1002" s="7"/>
    </row>
    <row r="1003" spans="5:9" ht="12.75" customHeight="1">
      <c r="E1003" s="7"/>
      <c r="F1003" s="7"/>
      <c r="G1003" s="7"/>
      <c r="H1003" s="7"/>
      <c r="I1003" s="7"/>
    </row>
    <row r="1004" spans="5:9" ht="12.75" customHeight="1">
      <c r="E1004" s="7"/>
      <c r="F1004" s="7"/>
      <c r="G1004" s="7"/>
      <c r="H1004" s="7"/>
      <c r="I1004" s="7"/>
    </row>
    <row r="1005" spans="5:9" ht="12.75" customHeight="1">
      <c r="E1005" s="7"/>
      <c r="F1005" s="7"/>
      <c r="G1005" s="7"/>
      <c r="H1005" s="7"/>
      <c r="I1005" s="7"/>
    </row>
    <row r="1006" spans="5:9" ht="12.75" customHeight="1">
      <c r="E1006" s="7"/>
      <c r="F1006" s="7"/>
      <c r="G1006" s="7"/>
      <c r="H1006" s="7"/>
      <c r="I1006" s="7"/>
    </row>
    <row r="1007" spans="5:9" ht="12.75" customHeight="1">
      <c r="E1007" s="7"/>
      <c r="F1007" s="7"/>
      <c r="G1007" s="7"/>
      <c r="H1007" s="7"/>
      <c r="I1007" s="7"/>
    </row>
    <row r="1008" spans="5:9" ht="12.75" customHeight="1">
      <c r="E1008" s="7"/>
      <c r="F1008" s="7"/>
      <c r="G1008" s="7"/>
      <c r="H1008" s="7"/>
      <c r="I1008" s="7"/>
    </row>
    <row r="1009" spans="5:9" ht="12.75" customHeight="1">
      <c r="E1009" s="7"/>
      <c r="F1009" s="7"/>
      <c r="G1009" s="7"/>
      <c r="H1009" s="7"/>
      <c r="I1009" s="7"/>
    </row>
    <row r="1010" spans="5:9" ht="12.75" customHeight="1">
      <c r="E1010" s="7"/>
      <c r="F1010" s="7"/>
      <c r="G1010" s="7"/>
      <c r="H1010" s="7"/>
      <c r="I1010" s="7"/>
    </row>
    <row r="1011" spans="5:9" ht="12.75" customHeight="1">
      <c r="E1011" s="7"/>
      <c r="F1011" s="7"/>
      <c r="G1011" s="7"/>
      <c r="H1011" s="7"/>
      <c r="I1011" s="7"/>
    </row>
    <row r="1012" spans="5:9" ht="12.75" customHeight="1">
      <c r="E1012" s="7"/>
      <c r="F1012" s="7"/>
      <c r="G1012" s="7"/>
      <c r="H1012" s="7"/>
      <c r="I1012" s="7"/>
    </row>
    <row r="1013" spans="5:9" ht="12.75" customHeight="1">
      <c r="E1013" s="7"/>
      <c r="F1013" s="7"/>
      <c r="G1013" s="7"/>
      <c r="H1013" s="7"/>
      <c r="I1013" s="7"/>
    </row>
    <row r="1014" spans="5:9" ht="12.75" customHeight="1">
      <c r="E1014" s="7"/>
      <c r="F1014" s="7"/>
      <c r="G1014" s="7"/>
      <c r="H1014" s="7"/>
      <c r="I1014" s="7"/>
    </row>
    <row r="1015" spans="5:9" ht="12.75" customHeight="1">
      <c r="E1015" s="7"/>
      <c r="F1015" s="7"/>
      <c r="G1015" s="7"/>
      <c r="H1015" s="7"/>
      <c r="I1015" s="7"/>
    </row>
    <row r="1016" spans="5:9" ht="12.75" customHeight="1">
      <c r="E1016" s="7"/>
      <c r="F1016" s="7"/>
      <c r="G1016" s="7"/>
      <c r="H1016" s="7"/>
      <c r="I1016" s="7"/>
    </row>
    <row r="1017" spans="5:9" ht="12.75" customHeight="1">
      <c r="E1017" s="7"/>
      <c r="F1017" s="7"/>
      <c r="G1017" s="7"/>
      <c r="H1017" s="7"/>
      <c r="I1017" s="7"/>
    </row>
    <row r="1018" spans="5:9" ht="12.75" customHeight="1">
      <c r="E1018" s="7"/>
      <c r="F1018" s="7"/>
      <c r="G1018" s="7"/>
      <c r="H1018" s="7"/>
      <c r="I1018" s="7"/>
    </row>
    <row r="1019" spans="5:9" ht="12.75" customHeight="1">
      <c r="E1019" s="7"/>
      <c r="F1019" s="7"/>
      <c r="G1019" s="7"/>
      <c r="H1019" s="7"/>
      <c r="I1019" s="7"/>
    </row>
    <row r="1020" spans="5:9" ht="12.75" customHeight="1">
      <c r="E1020" s="7"/>
      <c r="F1020" s="7"/>
      <c r="G1020" s="7"/>
      <c r="H1020" s="7"/>
      <c r="I1020" s="7"/>
    </row>
    <row r="1021" spans="5:9" ht="12.75" customHeight="1">
      <c r="E1021" s="7"/>
      <c r="F1021" s="7"/>
      <c r="G1021" s="7"/>
      <c r="H1021" s="7"/>
      <c r="I1021" s="7"/>
    </row>
    <row r="1022" spans="5:9" ht="12.75" customHeight="1">
      <c r="E1022" s="7"/>
      <c r="F1022" s="7"/>
      <c r="G1022" s="7"/>
      <c r="H1022" s="7"/>
      <c r="I1022" s="7"/>
    </row>
    <row r="1023" spans="5:9" ht="12.75" customHeight="1">
      <c r="E1023" s="7"/>
      <c r="F1023" s="7"/>
      <c r="G1023" s="7"/>
      <c r="H1023" s="7"/>
      <c r="I1023" s="7"/>
    </row>
    <row r="1024" spans="5:9" ht="12.75" customHeight="1">
      <c r="E1024" s="7"/>
      <c r="F1024" s="7"/>
      <c r="G1024" s="7"/>
      <c r="H1024" s="7"/>
      <c r="I1024" s="7"/>
    </row>
    <row r="1025" spans="5:9" ht="12.75" customHeight="1">
      <c r="E1025" s="7"/>
      <c r="F1025" s="7"/>
      <c r="G1025" s="7"/>
      <c r="H1025" s="7"/>
      <c r="I1025" s="7"/>
    </row>
    <row r="1026" spans="5:9" ht="12.75" customHeight="1">
      <c r="E1026" s="7"/>
      <c r="F1026" s="7"/>
      <c r="G1026" s="7"/>
      <c r="H1026" s="7"/>
      <c r="I1026" s="7"/>
    </row>
    <row r="1027" spans="5:9" ht="12.75" customHeight="1">
      <c r="E1027" s="7"/>
      <c r="F1027" s="7"/>
      <c r="G1027" s="7"/>
      <c r="H1027" s="7"/>
      <c r="I1027" s="7"/>
    </row>
    <row r="1028" spans="5:9" ht="12.75" customHeight="1">
      <c r="E1028" s="7"/>
      <c r="F1028" s="7"/>
      <c r="G1028" s="7"/>
      <c r="H1028" s="7"/>
      <c r="I1028" s="7"/>
    </row>
    <row r="1029" spans="5:9" ht="12.75" customHeight="1">
      <c r="E1029" s="7"/>
      <c r="F1029" s="7"/>
      <c r="G1029" s="7"/>
      <c r="H1029" s="7"/>
      <c r="I1029" s="7"/>
    </row>
    <row r="1030" spans="5:9" ht="12.75" customHeight="1">
      <c r="E1030" s="7"/>
      <c r="F1030" s="7"/>
      <c r="G1030" s="7"/>
      <c r="H1030" s="7"/>
      <c r="I1030" s="7"/>
    </row>
    <row r="1031" spans="5:9" ht="12.75" customHeight="1">
      <c r="E1031" s="7"/>
      <c r="F1031" s="7"/>
      <c r="G1031" s="7"/>
      <c r="H1031" s="7"/>
      <c r="I1031" s="7"/>
    </row>
    <row r="1032" spans="5:9" ht="12.75" customHeight="1">
      <c r="E1032" s="7"/>
      <c r="F1032" s="7"/>
      <c r="G1032" s="7"/>
      <c r="H1032" s="7"/>
      <c r="I1032" s="7"/>
    </row>
    <row r="1033" spans="5:9" ht="12.75" customHeight="1">
      <c r="E1033" s="7"/>
      <c r="F1033" s="7"/>
      <c r="G1033" s="7"/>
      <c r="H1033" s="7"/>
      <c r="I1033" s="7"/>
    </row>
    <row r="1034" spans="5:9" ht="12.75" customHeight="1">
      <c r="E1034" s="7"/>
      <c r="F1034" s="7"/>
      <c r="G1034" s="7"/>
      <c r="H1034" s="7"/>
      <c r="I1034" s="7"/>
    </row>
    <row r="1035" spans="5:9" ht="12.75" customHeight="1">
      <c r="E1035" s="7"/>
      <c r="F1035" s="7"/>
      <c r="G1035" s="7"/>
      <c r="H1035" s="7"/>
      <c r="I1035" s="7"/>
    </row>
    <row r="1036" spans="5:9" ht="12.75" customHeight="1">
      <c r="E1036" s="7"/>
      <c r="F1036" s="7"/>
      <c r="G1036" s="7"/>
      <c r="H1036" s="7"/>
      <c r="I1036" s="7"/>
    </row>
    <row r="1037" spans="5:9" ht="12.75" customHeight="1">
      <c r="E1037" s="7"/>
      <c r="F1037" s="7"/>
      <c r="G1037" s="7"/>
      <c r="H1037" s="7"/>
      <c r="I1037" s="7"/>
    </row>
    <row r="1038" spans="5:9" ht="12.75" customHeight="1">
      <c r="E1038" s="7"/>
      <c r="F1038" s="7"/>
      <c r="G1038" s="7"/>
      <c r="H1038" s="7"/>
      <c r="I1038" s="7"/>
    </row>
    <row r="1039" spans="5:9" ht="12.75" customHeight="1">
      <c r="E1039" s="7"/>
      <c r="F1039" s="7"/>
      <c r="G1039" s="7"/>
      <c r="H1039" s="7"/>
      <c r="I1039" s="7"/>
    </row>
    <row r="1040" spans="5:9" ht="12.75" customHeight="1">
      <c r="E1040" s="7"/>
      <c r="F1040" s="7"/>
      <c r="G1040" s="7"/>
      <c r="H1040" s="7"/>
      <c r="I1040" s="7"/>
    </row>
    <row r="1041" spans="5:9" ht="12.75" customHeight="1">
      <c r="E1041" s="7"/>
      <c r="F1041" s="7"/>
      <c r="G1041" s="7"/>
      <c r="H1041" s="7"/>
      <c r="I1041" s="7"/>
    </row>
    <row r="1042" spans="5:9" ht="12.75" customHeight="1">
      <c r="E1042" s="7"/>
      <c r="F1042" s="7"/>
      <c r="G1042" s="7"/>
      <c r="H1042" s="7"/>
      <c r="I1042" s="7"/>
    </row>
    <row r="1043" spans="5:9" ht="12.75" customHeight="1">
      <c r="E1043" s="7"/>
      <c r="F1043" s="7"/>
      <c r="G1043" s="7"/>
      <c r="H1043" s="7"/>
      <c r="I1043" s="7"/>
    </row>
    <row r="1044" spans="5:9" ht="12.75" customHeight="1">
      <c r="E1044" s="7"/>
      <c r="F1044" s="7"/>
      <c r="G1044" s="7"/>
      <c r="H1044" s="7"/>
      <c r="I1044" s="7"/>
    </row>
    <row r="1045" spans="5:9" ht="12.75" customHeight="1">
      <c r="E1045" s="7"/>
      <c r="F1045" s="7"/>
      <c r="G1045" s="7"/>
      <c r="H1045" s="7"/>
      <c r="I1045" s="7"/>
    </row>
    <row r="1046" spans="5:9" ht="12.75" customHeight="1">
      <c r="E1046" s="7"/>
      <c r="F1046" s="7"/>
      <c r="G1046" s="7"/>
      <c r="H1046" s="7"/>
      <c r="I1046" s="7"/>
    </row>
    <row r="1047" spans="5:9" ht="12.75" customHeight="1">
      <c r="E1047" s="7"/>
      <c r="F1047" s="7"/>
      <c r="G1047" s="7"/>
      <c r="H1047" s="7"/>
      <c r="I1047" s="7"/>
    </row>
    <row r="1048" spans="5:9" ht="12.75" customHeight="1">
      <c r="E1048" s="7"/>
      <c r="F1048" s="7"/>
      <c r="G1048" s="7"/>
      <c r="H1048" s="7"/>
      <c r="I1048" s="7"/>
    </row>
    <row r="1049" spans="5:9" ht="12.75" customHeight="1">
      <c r="E1049" s="7"/>
      <c r="F1049" s="7"/>
      <c r="G1049" s="7"/>
      <c r="H1049" s="7"/>
      <c r="I1049" s="7"/>
    </row>
    <row r="1050" spans="5:9" ht="12.75" customHeight="1">
      <c r="E1050" s="7"/>
      <c r="F1050" s="7"/>
      <c r="G1050" s="7"/>
      <c r="H1050" s="7"/>
      <c r="I1050" s="7"/>
    </row>
    <row r="1051" spans="5:9" ht="12.75" customHeight="1">
      <c r="E1051" s="7"/>
      <c r="F1051" s="7"/>
      <c r="G1051" s="7"/>
      <c r="H1051" s="7"/>
      <c r="I1051" s="7"/>
    </row>
    <row r="1052" spans="5:9" ht="12.75" customHeight="1">
      <c r="E1052" s="7"/>
      <c r="F1052" s="7"/>
      <c r="G1052" s="7"/>
      <c r="H1052" s="7"/>
      <c r="I1052" s="7"/>
    </row>
    <row r="1053" spans="5:9" ht="12.75" customHeight="1">
      <c r="E1053" s="7"/>
      <c r="F1053" s="7"/>
      <c r="G1053" s="7"/>
      <c r="H1053" s="7"/>
      <c r="I1053" s="7"/>
    </row>
    <row r="1054" spans="5:9" ht="12.75" customHeight="1">
      <c r="E1054" s="7"/>
      <c r="F1054" s="7"/>
      <c r="G1054" s="7"/>
      <c r="H1054" s="7"/>
      <c r="I1054" s="7"/>
    </row>
    <row r="1055" spans="5:9" ht="12.75" customHeight="1">
      <c r="E1055" s="7"/>
      <c r="F1055" s="7"/>
      <c r="G1055" s="7"/>
      <c r="H1055" s="7"/>
      <c r="I1055" s="7"/>
    </row>
    <row r="1056" spans="5:9" ht="12.75" customHeight="1">
      <c r="E1056" s="7"/>
      <c r="F1056" s="7"/>
      <c r="G1056" s="7"/>
      <c r="H1056" s="7"/>
      <c r="I1056" s="7"/>
    </row>
    <row r="1057" spans="5:9" ht="12.75" customHeight="1">
      <c r="E1057" s="7"/>
      <c r="F1057" s="7"/>
      <c r="G1057" s="7"/>
      <c r="H1057" s="7"/>
      <c r="I1057" s="7"/>
    </row>
    <row r="1058" spans="5:9" ht="12.75" customHeight="1">
      <c r="E1058" s="7"/>
      <c r="F1058" s="7"/>
      <c r="G1058" s="7"/>
      <c r="H1058" s="7"/>
      <c r="I1058" s="7"/>
    </row>
    <row r="1059" spans="5:9" ht="12.75" customHeight="1">
      <c r="E1059" s="7"/>
      <c r="F1059" s="7"/>
      <c r="G1059" s="7"/>
      <c r="H1059" s="7"/>
      <c r="I1059" s="7"/>
    </row>
    <row r="1060" spans="5:9" ht="12.75" customHeight="1">
      <c r="E1060" s="7"/>
      <c r="F1060" s="7"/>
      <c r="G1060" s="7"/>
      <c r="H1060" s="7"/>
      <c r="I1060" s="7"/>
    </row>
    <row r="1061" spans="5:9" ht="12.75" customHeight="1">
      <c r="E1061" s="7"/>
      <c r="F1061" s="7"/>
      <c r="G1061" s="7"/>
      <c r="H1061" s="7"/>
      <c r="I1061" s="7"/>
    </row>
    <row r="1062" spans="5:9" ht="12.75" customHeight="1">
      <c r="E1062" s="7"/>
      <c r="F1062" s="7"/>
      <c r="G1062" s="7"/>
      <c r="H1062" s="7"/>
      <c r="I1062" s="7"/>
    </row>
    <row r="1063" spans="5:9" ht="12.75" customHeight="1">
      <c r="E1063" s="7"/>
      <c r="F1063" s="7"/>
      <c r="G1063" s="7"/>
      <c r="H1063" s="7"/>
      <c r="I1063" s="7"/>
    </row>
    <row r="1064" spans="5:9" ht="12.75" customHeight="1">
      <c r="E1064" s="7"/>
      <c r="F1064" s="7"/>
      <c r="G1064" s="7"/>
      <c r="H1064" s="7"/>
      <c r="I1064" s="7"/>
    </row>
    <row r="1065" spans="5:9" ht="12.75" customHeight="1">
      <c r="E1065" s="7"/>
      <c r="F1065" s="7"/>
      <c r="G1065" s="7"/>
      <c r="H1065" s="7"/>
      <c r="I1065" s="7"/>
    </row>
    <row r="1066" spans="5:9" ht="12.75" customHeight="1">
      <c r="E1066" s="7"/>
      <c r="F1066" s="7"/>
      <c r="G1066" s="7"/>
      <c r="H1066" s="7"/>
      <c r="I1066" s="7"/>
    </row>
    <row r="1067" spans="5:9" ht="12.75" customHeight="1">
      <c r="E1067" s="7"/>
      <c r="F1067" s="7"/>
      <c r="G1067" s="7"/>
      <c r="H1067" s="7"/>
      <c r="I1067" s="7"/>
    </row>
    <row r="1068" spans="5:9" ht="12.75" customHeight="1">
      <c r="E1068" s="7"/>
      <c r="F1068" s="7"/>
      <c r="G1068" s="7"/>
      <c r="H1068" s="7"/>
      <c r="I1068" s="7"/>
    </row>
    <row r="1069" spans="5:9" ht="12.75" customHeight="1">
      <c r="E1069" s="7"/>
      <c r="F1069" s="7"/>
      <c r="G1069" s="7"/>
      <c r="H1069" s="7"/>
      <c r="I1069" s="7"/>
    </row>
    <row r="1070" spans="5:9" ht="12.75" customHeight="1">
      <c r="E1070" s="7"/>
      <c r="F1070" s="7"/>
      <c r="G1070" s="7"/>
      <c r="H1070" s="7"/>
      <c r="I1070" s="7"/>
    </row>
    <row r="1071" spans="5:9" ht="12.75" customHeight="1">
      <c r="E1071" s="7"/>
      <c r="F1071" s="7"/>
      <c r="G1071" s="7"/>
      <c r="H1071" s="7"/>
      <c r="I1071" s="7"/>
    </row>
    <row r="1072" spans="5:9" ht="12.75" customHeight="1">
      <c r="E1072" s="7"/>
      <c r="F1072" s="7"/>
      <c r="G1072" s="7"/>
      <c r="H1072" s="7"/>
      <c r="I1072" s="7"/>
    </row>
    <row r="1073" spans="5:9" ht="12.75" customHeight="1">
      <c r="E1073" s="7"/>
      <c r="F1073" s="7"/>
      <c r="G1073" s="7"/>
      <c r="H1073" s="7"/>
      <c r="I1073" s="7"/>
    </row>
    <row r="1074" spans="5:9" ht="12.75" customHeight="1">
      <c r="E1074" s="7"/>
      <c r="F1074" s="7"/>
      <c r="G1074" s="7"/>
      <c r="H1074" s="7"/>
      <c r="I1074" s="7"/>
    </row>
    <row r="1075" spans="5:9" ht="12.75" customHeight="1">
      <c r="E1075" s="7"/>
      <c r="F1075" s="7"/>
      <c r="G1075" s="7"/>
      <c r="H1075" s="7"/>
      <c r="I1075" s="7"/>
    </row>
    <row r="1076" spans="5:9" ht="12.75" customHeight="1">
      <c r="E1076" s="7"/>
      <c r="F1076" s="7"/>
      <c r="G1076" s="7"/>
      <c r="H1076" s="7"/>
      <c r="I1076" s="7"/>
    </row>
    <row r="1077" spans="5:9" ht="12.75" customHeight="1">
      <c r="E1077" s="7"/>
      <c r="F1077" s="7"/>
      <c r="G1077" s="7"/>
      <c r="H1077" s="7"/>
      <c r="I1077" s="7"/>
    </row>
    <row r="1078" spans="5:9" ht="12.75" customHeight="1">
      <c r="E1078" s="7"/>
      <c r="F1078" s="7"/>
      <c r="G1078" s="7"/>
      <c r="H1078" s="7"/>
      <c r="I1078" s="7"/>
    </row>
    <row r="1079" spans="5:9" ht="12.75" customHeight="1">
      <c r="E1079" s="7"/>
      <c r="F1079" s="7"/>
      <c r="G1079" s="7"/>
      <c r="H1079" s="7"/>
      <c r="I1079" s="7"/>
    </row>
    <row r="1080" spans="5:9" ht="12.75" customHeight="1">
      <c r="E1080" s="7"/>
      <c r="F1080" s="7"/>
      <c r="G1080" s="7"/>
      <c r="H1080" s="7"/>
      <c r="I1080" s="7"/>
    </row>
    <row r="1081" spans="5:9" ht="12.75" customHeight="1">
      <c r="E1081" s="7"/>
      <c r="F1081" s="7"/>
      <c r="G1081" s="7"/>
      <c r="H1081" s="7"/>
      <c r="I1081" s="7"/>
    </row>
    <row r="1082" spans="5:9" ht="12.75" customHeight="1">
      <c r="E1082" s="7"/>
      <c r="F1082" s="7"/>
      <c r="G1082" s="7"/>
      <c r="H1082" s="7"/>
      <c r="I1082" s="7"/>
    </row>
    <row r="1083" spans="5:9" ht="12.75" customHeight="1">
      <c r="E1083" s="7"/>
      <c r="F1083" s="7"/>
      <c r="G1083" s="7"/>
      <c r="H1083" s="7"/>
      <c r="I1083" s="7"/>
    </row>
    <row r="1084" spans="5:9" ht="12.75" customHeight="1">
      <c r="E1084" s="7"/>
      <c r="F1084" s="7"/>
      <c r="G1084" s="7"/>
      <c r="H1084" s="7"/>
      <c r="I1084" s="7"/>
    </row>
    <row r="1085" spans="5:9" ht="12.75" customHeight="1">
      <c r="E1085" s="7"/>
      <c r="F1085" s="7"/>
      <c r="G1085" s="7"/>
      <c r="H1085" s="7"/>
      <c r="I1085" s="7"/>
    </row>
    <row r="1086" spans="5:9" ht="12.75" customHeight="1">
      <c r="E1086" s="7"/>
      <c r="F1086" s="7"/>
      <c r="G1086" s="7"/>
      <c r="H1086" s="7"/>
      <c r="I1086" s="7"/>
    </row>
    <row r="1087" spans="5:9" ht="12.75" customHeight="1">
      <c r="E1087" s="7"/>
      <c r="F1087" s="7"/>
      <c r="G1087" s="7"/>
      <c r="H1087" s="7"/>
      <c r="I1087" s="7"/>
    </row>
    <row r="1088" spans="5:9" ht="12.75" customHeight="1">
      <c r="E1088" s="7"/>
      <c r="F1088" s="7"/>
      <c r="G1088" s="7"/>
      <c r="H1088" s="7"/>
      <c r="I1088" s="7"/>
    </row>
    <row r="1089" spans="5:9" ht="12.75" customHeight="1">
      <c r="E1089" s="7"/>
      <c r="F1089" s="7"/>
      <c r="G1089" s="7"/>
      <c r="H1089" s="7"/>
      <c r="I1089" s="7"/>
    </row>
    <row r="1090" spans="5:9" ht="12.75" customHeight="1">
      <c r="E1090" s="7"/>
      <c r="F1090" s="7"/>
      <c r="G1090" s="7"/>
      <c r="H1090" s="7"/>
      <c r="I1090" s="7"/>
    </row>
    <row r="1091" spans="5:9" ht="12.75" customHeight="1">
      <c r="E1091" s="7"/>
      <c r="F1091" s="7"/>
      <c r="G1091" s="7"/>
      <c r="H1091" s="7"/>
      <c r="I1091" s="7"/>
    </row>
    <row r="1092" spans="5:9" ht="12.75" customHeight="1">
      <c r="E1092" s="7"/>
      <c r="F1092" s="7"/>
      <c r="G1092" s="7"/>
      <c r="H1092" s="7"/>
      <c r="I1092" s="7"/>
    </row>
    <row r="1093" spans="5:9" ht="12.75" customHeight="1">
      <c r="E1093" s="7"/>
      <c r="F1093" s="7"/>
      <c r="G1093" s="7"/>
      <c r="H1093" s="7"/>
      <c r="I1093" s="7"/>
    </row>
    <row r="1094" spans="5:9" ht="12.75" customHeight="1">
      <c r="E1094" s="7"/>
      <c r="F1094" s="7"/>
      <c r="G1094" s="7"/>
      <c r="H1094" s="7"/>
      <c r="I1094" s="7"/>
    </row>
    <row r="1095" spans="5:9" ht="12.75" customHeight="1">
      <c r="E1095" s="7"/>
      <c r="F1095" s="7"/>
      <c r="G1095" s="7"/>
      <c r="H1095" s="7"/>
      <c r="I1095" s="7"/>
    </row>
    <row r="1096" spans="5:9" ht="12.75" customHeight="1">
      <c r="E1096" s="7"/>
      <c r="F1096" s="7"/>
      <c r="G1096" s="7"/>
      <c r="H1096" s="7"/>
      <c r="I1096" s="7"/>
    </row>
    <row r="1097" spans="5:9" ht="12.75" customHeight="1">
      <c r="E1097" s="7"/>
      <c r="F1097" s="7"/>
      <c r="G1097" s="7"/>
      <c r="H1097" s="7"/>
      <c r="I1097" s="7"/>
    </row>
    <row r="1098" spans="5:9" ht="12.75" customHeight="1">
      <c r="E1098" s="7"/>
      <c r="F1098" s="7"/>
      <c r="G1098" s="7"/>
      <c r="H1098" s="7"/>
      <c r="I1098" s="7"/>
    </row>
    <row r="1099" spans="5:9" ht="12.75" customHeight="1">
      <c r="E1099" s="7"/>
      <c r="F1099" s="7"/>
      <c r="G1099" s="7"/>
      <c r="H1099" s="7"/>
      <c r="I1099" s="7"/>
    </row>
    <row r="1100" spans="5:9" ht="12.75" customHeight="1">
      <c r="E1100" s="7"/>
      <c r="F1100" s="7"/>
      <c r="G1100" s="7"/>
      <c r="H1100" s="7"/>
      <c r="I1100" s="7"/>
    </row>
    <row r="1101" spans="5:9" ht="12.75" customHeight="1">
      <c r="E1101" s="7"/>
      <c r="F1101" s="7"/>
      <c r="G1101" s="7"/>
      <c r="H1101" s="7"/>
      <c r="I1101" s="7"/>
    </row>
    <row r="1102" spans="5:9" ht="12.75" customHeight="1">
      <c r="E1102" s="7"/>
      <c r="F1102" s="7"/>
      <c r="G1102" s="7"/>
      <c r="H1102" s="7"/>
      <c r="I1102" s="7"/>
    </row>
    <row r="1103" spans="5:9" ht="12.75" customHeight="1">
      <c r="E1103" s="7"/>
      <c r="F1103" s="7"/>
      <c r="G1103" s="7"/>
      <c r="H1103" s="7"/>
      <c r="I1103" s="7"/>
    </row>
    <row r="1104" spans="5:9" ht="12.75" customHeight="1">
      <c r="E1104" s="7"/>
      <c r="F1104" s="7"/>
      <c r="G1104" s="7"/>
      <c r="H1104" s="7"/>
      <c r="I1104" s="7"/>
    </row>
    <row r="1105" spans="5:9" ht="12.75" customHeight="1">
      <c r="E1105" s="7"/>
      <c r="F1105" s="7"/>
      <c r="G1105" s="7"/>
      <c r="H1105" s="7"/>
      <c r="I1105" s="7"/>
    </row>
    <row r="1106" spans="5:9" ht="12.75" customHeight="1">
      <c r="E1106" s="7"/>
      <c r="F1106" s="7"/>
      <c r="G1106" s="7"/>
      <c r="H1106" s="7"/>
      <c r="I1106" s="7"/>
    </row>
    <row r="1107" spans="5:9" ht="12.75" customHeight="1">
      <c r="E1107" s="7"/>
      <c r="F1107" s="7"/>
      <c r="G1107" s="7"/>
      <c r="H1107" s="7"/>
      <c r="I1107" s="7"/>
    </row>
    <row r="1108" spans="5:9" ht="12.75" customHeight="1">
      <c r="E1108" s="7"/>
      <c r="F1108" s="7"/>
      <c r="G1108" s="7"/>
      <c r="H1108" s="7"/>
      <c r="I1108" s="7"/>
    </row>
    <row r="1109" spans="5:9" ht="12.75" customHeight="1">
      <c r="E1109" s="7"/>
      <c r="F1109" s="7"/>
      <c r="G1109" s="7"/>
      <c r="H1109" s="7"/>
      <c r="I1109" s="7"/>
    </row>
    <row r="1110" spans="5:9" ht="12.75" customHeight="1">
      <c r="E1110" s="7"/>
      <c r="F1110" s="7"/>
      <c r="G1110" s="7"/>
      <c r="H1110" s="7"/>
      <c r="I1110" s="7"/>
    </row>
    <row r="1111" spans="5:9" ht="12.75" customHeight="1">
      <c r="E1111" s="7"/>
      <c r="F1111" s="7"/>
      <c r="G1111" s="7"/>
      <c r="H1111" s="7"/>
      <c r="I1111" s="7"/>
    </row>
    <row r="1112" spans="5:9" ht="12.75" customHeight="1">
      <c r="E1112" s="7"/>
      <c r="F1112" s="7"/>
      <c r="G1112" s="7"/>
      <c r="H1112" s="7"/>
      <c r="I1112" s="7"/>
    </row>
    <row r="1113" spans="5:9" ht="12.75" customHeight="1">
      <c r="E1113" s="7"/>
      <c r="F1113" s="7"/>
      <c r="G1113" s="7"/>
      <c r="H1113" s="7"/>
      <c r="I1113" s="7"/>
    </row>
    <row r="1114" spans="5:9" ht="12.75" customHeight="1">
      <c r="E1114" s="7"/>
      <c r="F1114" s="7"/>
      <c r="G1114" s="7"/>
      <c r="H1114" s="7"/>
      <c r="I1114" s="7"/>
    </row>
    <row r="1115" spans="5:9" ht="12.75" customHeight="1">
      <c r="E1115" s="7"/>
      <c r="F1115" s="7"/>
      <c r="G1115" s="7"/>
      <c r="H1115" s="7"/>
      <c r="I1115" s="7"/>
    </row>
    <row r="1116" spans="5:9" ht="12.75" customHeight="1">
      <c r="E1116" s="7"/>
      <c r="F1116" s="7"/>
      <c r="G1116" s="7"/>
      <c r="H1116" s="7"/>
      <c r="I1116" s="7"/>
    </row>
    <row r="1117" spans="5:9" ht="12.75" customHeight="1">
      <c r="E1117" s="7"/>
      <c r="F1117" s="7"/>
      <c r="G1117" s="7"/>
      <c r="H1117" s="7"/>
      <c r="I1117" s="7"/>
    </row>
    <row r="1118" spans="5:9" ht="12.75" customHeight="1">
      <c r="E1118" s="7"/>
      <c r="F1118" s="7"/>
      <c r="G1118" s="7"/>
      <c r="H1118" s="7"/>
      <c r="I1118" s="7"/>
    </row>
    <row r="1119" spans="5:9" ht="12.75" customHeight="1">
      <c r="E1119" s="7"/>
      <c r="F1119" s="7"/>
      <c r="G1119" s="7"/>
      <c r="H1119" s="7"/>
      <c r="I1119" s="7"/>
    </row>
    <row r="1120" spans="5:9" ht="12.75" customHeight="1">
      <c r="E1120" s="7"/>
      <c r="F1120" s="7"/>
      <c r="G1120" s="7"/>
      <c r="H1120" s="7"/>
      <c r="I1120" s="7"/>
    </row>
    <row r="1121" spans="5:9" ht="12.75" customHeight="1">
      <c r="E1121" s="7"/>
      <c r="F1121" s="7"/>
      <c r="G1121" s="7"/>
      <c r="H1121" s="7"/>
      <c r="I1121" s="7"/>
    </row>
    <row r="1122" spans="5:9" ht="12.75" customHeight="1">
      <c r="E1122" s="7"/>
      <c r="F1122" s="7"/>
      <c r="G1122" s="7"/>
      <c r="H1122" s="7"/>
      <c r="I1122" s="7"/>
    </row>
    <row r="1123" spans="5:9" ht="12.75" customHeight="1">
      <c r="E1123" s="7"/>
      <c r="F1123" s="7"/>
      <c r="G1123" s="7"/>
      <c r="H1123" s="7"/>
      <c r="I1123" s="7"/>
    </row>
    <row r="1124" spans="5:9" ht="12.75" customHeight="1">
      <c r="E1124" s="7"/>
      <c r="F1124" s="7"/>
      <c r="G1124" s="7"/>
      <c r="H1124" s="7"/>
      <c r="I1124" s="7"/>
    </row>
    <row r="1125" spans="5:9" ht="12.75" customHeight="1">
      <c r="E1125" s="7"/>
      <c r="F1125" s="7"/>
      <c r="G1125" s="7"/>
      <c r="H1125" s="7"/>
      <c r="I1125" s="7"/>
    </row>
    <row r="1126" spans="5:9" ht="12.75" customHeight="1">
      <c r="E1126" s="7"/>
      <c r="F1126" s="7"/>
      <c r="G1126" s="7"/>
      <c r="H1126" s="7"/>
      <c r="I1126" s="7"/>
    </row>
    <row r="1127" spans="5:9" ht="12.75" customHeight="1">
      <c r="E1127" s="7"/>
      <c r="F1127" s="7"/>
      <c r="G1127" s="7"/>
      <c r="H1127" s="7"/>
      <c r="I1127" s="7"/>
    </row>
    <row r="1128" spans="5:9" ht="12.75" customHeight="1">
      <c r="E1128" s="7"/>
      <c r="F1128" s="7"/>
      <c r="G1128" s="7"/>
      <c r="H1128" s="7"/>
      <c r="I1128" s="7"/>
    </row>
    <row r="1129" spans="5:9" ht="12.75" customHeight="1">
      <c r="E1129" s="7"/>
      <c r="F1129" s="7"/>
      <c r="G1129" s="7"/>
      <c r="H1129" s="7"/>
      <c r="I1129" s="7"/>
    </row>
    <row r="1130" spans="5:9" ht="12.75" customHeight="1">
      <c r="E1130" s="7"/>
      <c r="F1130" s="7"/>
      <c r="G1130" s="7"/>
      <c r="H1130" s="7"/>
      <c r="I1130" s="7"/>
    </row>
    <row r="1131" spans="5:9" ht="12.75" customHeight="1">
      <c r="E1131" s="7"/>
      <c r="F1131" s="7"/>
      <c r="G1131" s="7"/>
      <c r="H1131" s="7"/>
      <c r="I1131" s="7"/>
    </row>
    <row r="1132" spans="5:9" ht="12.75" customHeight="1">
      <c r="E1132" s="7"/>
      <c r="F1132" s="7"/>
      <c r="G1132" s="7"/>
      <c r="H1132" s="7"/>
      <c r="I1132" s="7"/>
    </row>
    <row r="1133" spans="5:9" ht="12.75" customHeight="1">
      <c r="E1133" s="7"/>
      <c r="F1133" s="7"/>
      <c r="G1133" s="7"/>
      <c r="H1133" s="7"/>
      <c r="I1133" s="7"/>
    </row>
    <row r="1134" spans="5:9" ht="12.75" customHeight="1">
      <c r="E1134" s="7"/>
      <c r="F1134" s="7"/>
      <c r="G1134" s="7"/>
      <c r="H1134" s="7"/>
      <c r="I1134" s="7"/>
    </row>
    <row r="1135" spans="5:9" ht="12.75" customHeight="1">
      <c r="E1135" s="7"/>
      <c r="F1135" s="7"/>
      <c r="G1135" s="7"/>
      <c r="H1135" s="7"/>
      <c r="I1135" s="7"/>
    </row>
    <row r="1136" spans="5:9" ht="12.75" customHeight="1">
      <c r="E1136" s="7"/>
      <c r="F1136" s="7"/>
      <c r="G1136" s="7"/>
      <c r="H1136" s="7"/>
      <c r="I1136" s="7"/>
    </row>
    <row r="1137" spans="5:9" ht="12.75" customHeight="1">
      <c r="E1137" s="7"/>
      <c r="F1137" s="7"/>
      <c r="G1137" s="7"/>
      <c r="H1137" s="7"/>
      <c r="I1137" s="7"/>
    </row>
    <row r="1138" spans="5:9" ht="12.75" customHeight="1">
      <c r="E1138" s="7"/>
      <c r="F1138" s="7"/>
      <c r="G1138" s="7"/>
      <c r="H1138" s="7"/>
      <c r="I1138" s="7"/>
    </row>
    <row r="1139" spans="5:9" ht="12.75" customHeight="1">
      <c r="E1139" s="7"/>
      <c r="F1139" s="7"/>
      <c r="G1139" s="7"/>
      <c r="H1139" s="7"/>
      <c r="I1139" s="7"/>
    </row>
    <row r="1140" spans="5:9" ht="12.75" customHeight="1">
      <c r="E1140" s="7"/>
      <c r="F1140" s="7"/>
      <c r="G1140" s="7"/>
      <c r="H1140" s="7"/>
      <c r="I1140" s="7"/>
    </row>
    <row r="1141" spans="5:9" ht="12.75" customHeight="1">
      <c r="E1141" s="7"/>
      <c r="F1141" s="7"/>
      <c r="G1141" s="7"/>
      <c r="H1141" s="7"/>
      <c r="I1141" s="7"/>
    </row>
    <row r="1142" spans="5:9" ht="12.75" customHeight="1">
      <c r="E1142" s="7"/>
      <c r="F1142" s="7"/>
      <c r="G1142" s="7"/>
      <c r="H1142" s="7"/>
      <c r="I1142" s="7"/>
    </row>
    <row r="1143" spans="5:9" ht="12.75" customHeight="1">
      <c r="E1143" s="7"/>
      <c r="F1143" s="7"/>
      <c r="G1143" s="7"/>
      <c r="H1143" s="7"/>
      <c r="I1143" s="7"/>
    </row>
    <row r="1144" spans="5:9" ht="12.75" customHeight="1">
      <c r="E1144" s="7"/>
      <c r="F1144" s="7"/>
      <c r="G1144" s="7"/>
      <c r="H1144" s="7"/>
      <c r="I1144" s="7"/>
    </row>
    <row r="1145" spans="5:9" ht="12.75" customHeight="1">
      <c r="E1145" s="7"/>
      <c r="F1145" s="7"/>
      <c r="G1145" s="7"/>
      <c r="H1145" s="7"/>
      <c r="I1145" s="7"/>
    </row>
    <row r="1146" spans="5:9" ht="12.75" customHeight="1">
      <c r="E1146" s="7"/>
      <c r="F1146" s="7"/>
      <c r="G1146" s="7"/>
      <c r="H1146" s="7"/>
      <c r="I1146" s="7"/>
    </row>
    <row r="1147" spans="5:9" ht="12.75" customHeight="1">
      <c r="E1147" s="7"/>
      <c r="F1147" s="7"/>
      <c r="G1147" s="7"/>
      <c r="H1147" s="7"/>
      <c r="I1147" s="7"/>
    </row>
    <row r="1148" spans="5:9" ht="12.75" customHeight="1">
      <c r="E1148" s="7"/>
      <c r="F1148" s="7"/>
      <c r="G1148" s="7"/>
      <c r="H1148" s="7"/>
      <c r="I1148" s="7"/>
    </row>
    <row r="1149" spans="5:9" ht="12.75" customHeight="1">
      <c r="E1149" s="7"/>
      <c r="F1149" s="7"/>
      <c r="G1149" s="7"/>
      <c r="H1149" s="7"/>
      <c r="I1149" s="7"/>
    </row>
    <row r="1150" spans="5:9" ht="12.75" customHeight="1">
      <c r="E1150" s="7"/>
      <c r="F1150" s="7"/>
      <c r="G1150" s="7"/>
      <c r="H1150" s="7"/>
      <c r="I1150" s="7"/>
    </row>
    <row r="1151" spans="5:9" ht="12.75" customHeight="1">
      <c r="E1151" s="7"/>
      <c r="F1151" s="7"/>
      <c r="G1151" s="7"/>
      <c r="H1151" s="7"/>
      <c r="I1151" s="7"/>
    </row>
    <row r="1152" spans="5:9" ht="12.75" customHeight="1">
      <c r="E1152" s="7"/>
      <c r="F1152" s="7"/>
      <c r="G1152" s="7"/>
      <c r="H1152" s="7"/>
      <c r="I1152" s="7"/>
    </row>
    <row r="1153" spans="5:9" ht="12.75" customHeight="1">
      <c r="E1153" s="7"/>
      <c r="F1153" s="7"/>
      <c r="G1153" s="7"/>
      <c r="H1153" s="7"/>
      <c r="I1153" s="7"/>
    </row>
    <row r="1154" spans="5:9" ht="12.75" customHeight="1">
      <c r="E1154" s="7"/>
      <c r="F1154" s="7"/>
      <c r="G1154" s="7"/>
      <c r="H1154" s="7"/>
      <c r="I1154" s="7"/>
    </row>
    <row r="1155" spans="5:9" ht="12.75" customHeight="1">
      <c r="E1155" s="7"/>
      <c r="F1155" s="7"/>
      <c r="G1155" s="7"/>
      <c r="H1155" s="7"/>
      <c r="I1155" s="7"/>
    </row>
    <row r="1156" spans="5:9" ht="12.75" customHeight="1">
      <c r="E1156" s="7"/>
      <c r="F1156" s="7"/>
      <c r="G1156" s="7"/>
      <c r="H1156" s="7"/>
      <c r="I1156" s="7"/>
    </row>
    <row r="1157" spans="5:9" ht="12.75" customHeight="1">
      <c r="E1157" s="7"/>
      <c r="F1157" s="7"/>
      <c r="G1157" s="7"/>
      <c r="H1157" s="7"/>
      <c r="I1157" s="7"/>
    </row>
    <row r="1158" spans="5:9" ht="12.75" customHeight="1">
      <c r="E1158" s="7"/>
      <c r="F1158" s="7"/>
      <c r="G1158" s="7"/>
      <c r="H1158" s="7"/>
      <c r="I1158" s="7"/>
    </row>
    <row r="1159" spans="5:9" ht="12.75" customHeight="1">
      <c r="E1159" s="7"/>
      <c r="F1159" s="7"/>
      <c r="G1159" s="7"/>
      <c r="H1159" s="7"/>
      <c r="I1159" s="7"/>
    </row>
    <row r="1160" spans="5:9" ht="12.75" customHeight="1">
      <c r="E1160" s="7"/>
      <c r="F1160" s="7"/>
      <c r="G1160" s="7"/>
      <c r="H1160" s="7"/>
      <c r="I1160" s="7"/>
    </row>
    <row r="1161" spans="5:9" ht="12.75" customHeight="1">
      <c r="E1161" s="7"/>
      <c r="F1161" s="7"/>
      <c r="G1161" s="7"/>
      <c r="H1161" s="7"/>
      <c r="I1161" s="7"/>
    </row>
    <row r="1162" spans="5:9" ht="12.75" customHeight="1">
      <c r="E1162" s="7"/>
      <c r="F1162" s="7"/>
      <c r="G1162" s="7"/>
      <c r="H1162" s="7"/>
      <c r="I1162" s="7"/>
    </row>
    <row r="1163" spans="5:9" ht="12.75" customHeight="1">
      <c r="E1163" s="7"/>
      <c r="F1163" s="7"/>
      <c r="G1163" s="7"/>
      <c r="H1163" s="7"/>
      <c r="I1163" s="7"/>
    </row>
    <row r="1164" spans="5:9" ht="12.75" customHeight="1">
      <c r="E1164" s="7"/>
      <c r="F1164" s="7"/>
      <c r="G1164" s="7"/>
      <c r="H1164" s="7"/>
      <c r="I1164" s="7"/>
    </row>
    <row r="1165" spans="5:9" ht="12.75" customHeight="1">
      <c r="E1165" s="7"/>
      <c r="F1165" s="7"/>
      <c r="G1165" s="7"/>
      <c r="H1165" s="7"/>
      <c r="I1165" s="7"/>
    </row>
    <row r="1166" spans="5:9" ht="12.75" customHeight="1">
      <c r="E1166" s="7"/>
      <c r="F1166" s="7"/>
      <c r="G1166" s="7"/>
      <c r="H1166" s="7"/>
      <c r="I1166" s="7"/>
    </row>
    <row r="1167" spans="5:9" ht="12.75" customHeight="1">
      <c r="E1167" s="7"/>
      <c r="F1167" s="7"/>
      <c r="G1167" s="7"/>
      <c r="H1167" s="7"/>
      <c r="I1167" s="7"/>
    </row>
    <row r="1168" spans="5:9" ht="12.75" customHeight="1">
      <c r="E1168" s="7"/>
      <c r="F1168" s="7"/>
      <c r="G1168" s="7"/>
      <c r="H1168" s="7"/>
      <c r="I1168" s="7"/>
    </row>
    <row r="1169" spans="5:9" ht="12.75" customHeight="1">
      <c r="E1169" s="7"/>
      <c r="F1169" s="7"/>
      <c r="G1169" s="7"/>
      <c r="H1169" s="7"/>
      <c r="I1169" s="7"/>
    </row>
    <row r="1170" spans="5:9" ht="12.75" customHeight="1">
      <c r="E1170" s="7"/>
      <c r="F1170" s="7"/>
      <c r="G1170" s="7"/>
      <c r="H1170" s="7"/>
      <c r="I1170" s="7"/>
    </row>
    <row r="1171" spans="5:9" ht="12.75" customHeight="1">
      <c r="E1171" s="7"/>
      <c r="F1171" s="7"/>
      <c r="G1171" s="7"/>
      <c r="H1171" s="7"/>
      <c r="I1171" s="7"/>
    </row>
    <row r="1172" spans="5:9" ht="12.75" customHeight="1">
      <c r="E1172" s="7"/>
      <c r="F1172" s="7"/>
      <c r="G1172" s="7"/>
      <c r="H1172" s="7"/>
      <c r="I1172" s="7"/>
    </row>
    <row r="1173" spans="5:9" ht="12.75" customHeight="1">
      <c r="E1173" s="7"/>
      <c r="F1173" s="7"/>
      <c r="G1173" s="7"/>
      <c r="H1173" s="7"/>
      <c r="I1173" s="7"/>
    </row>
    <row r="1174" spans="5:9" ht="12.75" customHeight="1">
      <c r="E1174" s="7"/>
      <c r="F1174" s="7"/>
      <c r="G1174" s="7"/>
      <c r="H1174" s="7"/>
      <c r="I1174" s="7"/>
    </row>
    <row r="1175" spans="5:9" ht="12.75" customHeight="1">
      <c r="E1175" s="7"/>
      <c r="F1175" s="7"/>
      <c r="G1175" s="7"/>
      <c r="H1175" s="7"/>
      <c r="I1175" s="7"/>
    </row>
    <row r="1176" spans="5:9" ht="12.75" customHeight="1">
      <c r="E1176" s="7"/>
      <c r="F1176" s="7"/>
      <c r="G1176" s="7"/>
      <c r="H1176" s="7"/>
      <c r="I1176" s="7"/>
    </row>
    <row r="1177" spans="5:9" ht="12.75" customHeight="1">
      <c r="E1177" s="7"/>
      <c r="F1177" s="7"/>
      <c r="G1177" s="7"/>
      <c r="H1177" s="7"/>
      <c r="I1177" s="7"/>
    </row>
    <row r="1178" spans="5:9" ht="12.75" customHeight="1">
      <c r="E1178" s="7"/>
      <c r="F1178" s="7"/>
      <c r="G1178" s="7"/>
      <c r="H1178" s="7"/>
      <c r="I1178" s="7"/>
    </row>
    <row r="1179" spans="5:9" ht="12.75" customHeight="1">
      <c r="E1179" s="7"/>
      <c r="F1179" s="7"/>
      <c r="G1179" s="7"/>
      <c r="H1179" s="7"/>
      <c r="I1179" s="7"/>
    </row>
    <row r="1180" spans="5:9" ht="12.75" customHeight="1">
      <c r="E1180" s="7"/>
      <c r="F1180" s="7"/>
      <c r="G1180" s="7"/>
      <c r="H1180" s="7"/>
      <c r="I1180" s="7"/>
    </row>
    <row r="1181" spans="5:9" ht="12.75" customHeight="1">
      <c r="E1181" s="7"/>
      <c r="F1181" s="7"/>
      <c r="G1181" s="7"/>
      <c r="H1181" s="7"/>
      <c r="I1181" s="7"/>
    </row>
    <row r="1182" spans="5:9" ht="12.75" customHeight="1">
      <c r="E1182" s="7"/>
      <c r="F1182" s="7"/>
      <c r="G1182" s="7"/>
      <c r="H1182" s="7"/>
      <c r="I1182" s="7"/>
    </row>
    <row r="1183" spans="5:9" ht="12.75" customHeight="1">
      <c r="E1183" s="7"/>
      <c r="F1183" s="7"/>
      <c r="G1183" s="7"/>
      <c r="H1183" s="7"/>
      <c r="I1183" s="7"/>
    </row>
    <row r="1184" spans="5:9" ht="12.75" customHeight="1">
      <c r="E1184" s="7"/>
      <c r="F1184" s="7"/>
      <c r="G1184" s="7"/>
      <c r="H1184" s="7"/>
      <c r="I1184" s="7"/>
    </row>
    <row r="1185" spans="5:9" ht="12.75" customHeight="1">
      <c r="E1185" s="7"/>
      <c r="F1185" s="7"/>
      <c r="G1185" s="7"/>
      <c r="H1185" s="7"/>
      <c r="I1185" s="7"/>
    </row>
    <row r="1186" spans="5:9" ht="12.75" customHeight="1">
      <c r="E1186" s="7"/>
      <c r="F1186" s="7"/>
      <c r="G1186" s="7"/>
      <c r="H1186" s="7"/>
      <c r="I1186" s="7"/>
    </row>
    <row r="1187" spans="5:9" ht="12.75" customHeight="1">
      <c r="E1187" s="7"/>
      <c r="F1187" s="7"/>
      <c r="G1187" s="7"/>
      <c r="H1187" s="7"/>
      <c r="I1187" s="7"/>
    </row>
    <row r="1188" spans="5:9" ht="12.75" customHeight="1">
      <c r="E1188" s="7"/>
      <c r="F1188" s="7"/>
      <c r="G1188" s="7"/>
      <c r="H1188" s="7"/>
      <c r="I1188" s="7"/>
    </row>
    <row r="1189" spans="5:9" ht="12.75" customHeight="1">
      <c r="E1189" s="7"/>
      <c r="F1189" s="7"/>
      <c r="G1189" s="7"/>
      <c r="H1189" s="7"/>
      <c r="I1189" s="7"/>
    </row>
    <row r="1190" spans="5:9" ht="12.75" customHeight="1">
      <c r="E1190" s="7"/>
      <c r="F1190" s="7"/>
      <c r="G1190" s="7"/>
      <c r="H1190" s="7"/>
      <c r="I1190" s="7"/>
    </row>
    <row r="1191" spans="5:9" ht="12.75" customHeight="1">
      <c r="E1191" s="7"/>
      <c r="F1191" s="7"/>
      <c r="G1191" s="7"/>
      <c r="H1191" s="7"/>
      <c r="I1191" s="7"/>
    </row>
    <row r="1192" spans="5:9" ht="12.75" customHeight="1">
      <c r="E1192" s="7"/>
      <c r="F1192" s="7"/>
      <c r="G1192" s="7"/>
      <c r="H1192" s="7"/>
      <c r="I1192" s="7"/>
    </row>
    <row r="1193" spans="5:9" ht="12.75" customHeight="1">
      <c r="E1193" s="7"/>
      <c r="F1193" s="7"/>
      <c r="G1193" s="7"/>
      <c r="H1193" s="7"/>
      <c r="I1193" s="7"/>
    </row>
    <row r="1194" spans="5:9" ht="12.75" customHeight="1">
      <c r="E1194" s="7"/>
      <c r="F1194" s="7"/>
      <c r="G1194" s="7"/>
      <c r="H1194" s="7"/>
      <c r="I1194" s="7"/>
    </row>
    <row r="1195" spans="5:9" ht="12.75" customHeight="1">
      <c r="E1195" s="7"/>
      <c r="F1195" s="7"/>
      <c r="G1195" s="7"/>
      <c r="H1195" s="7"/>
      <c r="I1195" s="7"/>
    </row>
    <row r="1196" spans="5:9" ht="12.75" customHeight="1">
      <c r="E1196" s="7"/>
      <c r="F1196" s="7"/>
      <c r="G1196" s="7"/>
      <c r="H1196" s="7"/>
      <c r="I1196" s="7"/>
    </row>
    <row r="1197" spans="5:9" ht="12.75" customHeight="1">
      <c r="E1197" s="7"/>
      <c r="F1197" s="7"/>
      <c r="G1197" s="7"/>
      <c r="H1197" s="7"/>
      <c r="I1197" s="7"/>
    </row>
    <row r="1198" spans="5:9" ht="12.75" customHeight="1">
      <c r="E1198" s="7"/>
      <c r="F1198" s="7"/>
      <c r="G1198" s="7"/>
      <c r="H1198" s="7"/>
      <c r="I1198" s="7"/>
    </row>
    <row r="1199" spans="5:9" ht="12.75" customHeight="1">
      <c r="E1199" s="7"/>
      <c r="F1199" s="7"/>
      <c r="G1199" s="7"/>
      <c r="H1199" s="7"/>
      <c r="I1199" s="7"/>
    </row>
    <row r="1200" spans="5:9" ht="12.75" customHeight="1">
      <c r="E1200" s="7"/>
      <c r="F1200" s="7"/>
      <c r="G1200" s="7"/>
      <c r="H1200" s="7"/>
      <c r="I1200" s="7"/>
    </row>
    <row r="1201" spans="5:9" ht="12.75" customHeight="1">
      <c r="E1201" s="7"/>
      <c r="F1201" s="7"/>
      <c r="G1201" s="7"/>
      <c r="H1201" s="7"/>
      <c r="I1201" s="7"/>
    </row>
    <row r="1202" spans="5:9" ht="12.75" customHeight="1">
      <c r="E1202" s="7"/>
      <c r="F1202" s="7"/>
      <c r="G1202" s="7"/>
      <c r="H1202" s="7"/>
      <c r="I1202" s="7"/>
    </row>
    <row r="1203" spans="5:9" ht="12.75" customHeight="1">
      <c r="E1203" s="7"/>
      <c r="F1203" s="7"/>
      <c r="G1203" s="7"/>
      <c r="H1203" s="7"/>
      <c r="I1203" s="7"/>
    </row>
    <row r="1204" spans="5:9" ht="12.75" customHeight="1">
      <c r="E1204" s="7"/>
      <c r="F1204" s="7"/>
      <c r="G1204" s="7"/>
      <c r="H1204" s="7"/>
      <c r="I1204" s="7"/>
    </row>
    <row r="1205" spans="5:9" ht="12.75" customHeight="1">
      <c r="E1205" s="7"/>
      <c r="F1205" s="7"/>
      <c r="G1205" s="7"/>
      <c r="H1205" s="7"/>
      <c r="I1205" s="7"/>
    </row>
    <row r="1206" spans="5:9" ht="12.75" customHeight="1">
      <c r="E1206" s="7"/>
      <c r="F1206" s="7"/>
      <c r="G1206" s="7"/>
      <c r="H1206" s="7"/>
      <c r="I1206" s="7"/>
    </row>
    <row r="1207" spans="5:9" ht="12.75" customHeight="1">
      <c r="E1207" s="7"/>
      <c r="F1207" s="7"/>
      <c r="G1207" s="7"/>
      <c r="H1207" s="7"/>
      <c r="I1207" s="7"/>
    </row>
    <row r="1208" spans="5:9" ht="12.75" customHeight="1">
      <c r="E1208" s="7"/>
      <c r="F1208" s="7"/>
      <c r="G1208" s="7"/>
      <c r="H1208" s="7"/>
      <c r="I1208" s="7"/>
    </row>
    <row r="1209" spans="5:9" ht="12.75" customHeight="1">
      <c r="E1209" s="7"/>
      <c r="F1209" s="7"/>
      <c r="G1209" s="7"/>
      <c r="H1209" s="7"/>
      <c r="I1209" s="7"/>
    </row>
    <row r="1210" spans="5:9" ht="12.75" customHeight="1">
      <c r="E1210" s="7"/>
      <c r="F1210" s="7"/>
      <c r="G1210" s="7"/>
      <c r="H1210" s="7"/>
      <c r="I1210" s="7"/>
    </row>
    <row r="1211" spans="5:9" ht="12.75" customHeight="1">
      <c r="E1211" s="7"/>
      <c r="F1211" s="7"/>
      <c r="G1211" s="7"/>
      <c r="H1211" s="7"/>
      <c r="I1211" s="7"/>
    </row>
    <row r="1212" spans="5:9" ht="12.75" customHeight="1">
      <c r="E1212" s="7"/>
      <c r="F1212" s="7"/>
      <c r="G1212" s="7"/>
      <c r="H1212" s="7"/>
      <c r="I1212" s="7"/>
    </row>
    <row r="1213" spans="5:9" ht="12.75" customHeight="1">
      <c r="E1213" s="7"/>
      <c r="F1213" s="7"/>
      <c r="G1213" s="7"/>
      <c r="H1213" s="7"/>
      <c r="I1213" s="7"/>
    </row>
    <row r="1214" spans="5:9" ht="12.75" customHeight="1">
      <c r="E1214" s="7"/>
      <c r="F1214" s="7"/>
      <c r="G1214" s="7"/>
      <c r="H1214" s="7"/>
      <c r="I1214" s="7"/>
    </row>
    <row r="1215" spans="5:9" ht="12.75" customHeight="1">
      <c r="E1215" s="7"/>
      <c r="F1215" s="7"/>
      <c r="G1215" s="7"/>
      <c r="H1215" s="7"/>
      <c r="I1215" s="7"/>
    </row>
    <row r="1216" spans="5:9" ht="12.75" customHeight="1">
      <c r="E1216" s="7"/>
      <c r="F1216" s="7"/>
      <c r="G1216" s="7"/>
      <c r="H1216" s="7"/>
      <c r="I1216" s="7"/>
    </row>
    <row r="1217" spans="5:9" ht="12.75" customHeight="1">
      <c r="E1217" s="7"/>
      <c r="F1217" s="7"/>
      <c r="G1217" s="7"/>
      <c r="H1217" s="7"/>
      <c r="I1217" s="7"/>
    </row>
    <row r="1218" spans="5:9" ht="12.75" customHeight="1">
      <c r="E1218" s="7"/>
      <c r="F1218" s="7"/>
      <c r="G1218" s="7"/>
      <c r="H1218" s="7"/>
      <c r="I1218" s="7"/>
    </row>
    <row r="1219" spans="5:9" ht="12.75" customHeight="1">
      <c r="E1219" s="7"/>
      <c r="F1219" s="7"/>
      <c r="G1219" s="7"/>
      <c r="H1219" s="7"/>
      <c r="I1219" s="7"/>
    </row>
    <row r="1220" spans="5:9" ht="12.75" customHeight="1">
      <c r="E1220" s="7"/>
      <c r="F1220" s="7"/>
      <c r="G1220" s="7"/>
      <c r="H1220" s="7"/>
      <c r="I1220" s="7"/>
    </row>
    <row r="1221" spans="5:9" ht="12.75" customHeight="1">
      <c r="E1221" s="7"/>
      <c r="F1221" s="7"/>
      <c r="G1221" s="7"/>
      <c r="H1221" s="7"/>
      <c r="I1221" s="7"/>
    </row>
    <row r="1222" spans="5:9" ht="12.75" customHeight="1">
      <c r="E1222" s="7"/>
      <c r="F1222" s="7"/>
      <c r="G1222" s="7"/>
      <c r="H1222" s="7"/>
      <c r="I1222" s="7"/>
    </row>
    <row r="1223" spans="5:9" ht="12.75" customHeight="1">
      <c r="E1223" s="7"/>
      <c r="F1223" s="7"/>
      <c r="G1223" s="7"/>
      <c r="H1223" s="7"/>
      <c r="I1223" s="7"/>
    </row>
    <row r="1224" spans="5:9" ht="12.75" customHeight="1">
      <c r="E1224" s="7"/>
      <c r="F1224" s="7"/>
      <c r="G1224" s="7"/>
      <c r="H1224" s="7"/>
      <c r="I1224" s="7"/>
    </row>
    <row r="1225" spans="5:9" ht="12.75" customHeight="1">
      <c r="E1225" s="7"/>
      <c r="F1225" s="7"/>
      <c r="G1225" s="7"/>
      <c r="H1225" s="7"/>
      <c r="I1225" s="7"/>
    </row>
    <row r="1226" spans="5:9" ht="12.75" customHeight="1">
      <c r="E1226" s="7"/>
      <c r="F1226" s="7"/>
      <c r="G1226" s="7"/>
      <c r="H1226" s="7"/>
      <c r="I1226" s="7"/>
    </row>
    <row r="1227" spans="5:9" ht="12.75" customHeight="1">
      <c r="E1227" s="7"/>
      <c r="F1227" s="7"/>
      <c r="G1227" s="7"/>
      <c r="H1227" s="7"/>
      <c r="I1227" s="7"/>
    </row>
    <row r="1228" spans="5:9" ht="12.75" customHeight="1">
      <c r="E1228" s="7"/>
      <c r="F1228" s="7"/>
      <c r="G1228" s="7"/>
      <c r="H1228" s="7"/>
      <c r="I1228" s="7"/>
    </row>
    <row r="1229" spans="5:9" ht="12.75" customHeight="1">
      <c r="E1229" s="7"/>
      <c r="F1229" s="7"/>
      <c r="G1229" s="7"/>
      <c r="H1229" s="7"/>
      <c r="I1229" s="7"/>
    </row>
    <row r="1230" spans="5:9" ht="12.75" customHeight="1">
      <c r="E1230" s="7"/>
      <c r="F1230" s="7"/>
      <c r="G1230" s="7"/>
      <c r="H1230" s="7"/>
      <c r="I1230" s="7"/>
    </row>
    <row r="1231" spans="5:9" ht="12.75" customHeight="1">
      <c r="E1231" s="7"/>
      <c r="F1231" s="7"/>
      <c r="G1231" s="7"/>
      <c r="H1231" s="7"/>
      <c r="I1231" s="7"/>
    </row>
    <row r="1232" spans="5:9" ht="12.75" customHeight="1">
      <c r="E1232" s="7"/>
      <c r="F1232" s="7"/>
      <c r="G1232" s="7"/>
      <c r="H1232" s="7"/>
      <c r="I1232" s="7"/>
    </row>
    <row r="1233" spans="5:9" ht="12.75" customHeight="1">
      <c r="E1233" s="7"/>
      <c r="F1233" s="7"/>
      <c r="G1233" s="7"/>
      <c r="H1233" s="7"/>
      <c r="I1233" s="7"/>
    </row>
    <row r="1234" spans="5:9" ht="12.75" customHeight="1">
      <c r="E1234" s="7"/>
      <c r="F1234" s="7"/>
      <c r="G1234" s="7"/>
      <c r="H1234" s="7"/>
      <c r="I1234" s="7"/>
    </row>
    <row r="1235" spans="5:9" ht="12.75" customHeight="1">
      <c r="E1235" s="7"/>
      <c r="F1235" s="7"/>
      <c r="G1235" s="7"/>
      <c r="H1235" s="7"/>
      <c r="I1235" s="7"/>
    </row>
    <row r="1236" spans="5:9" ht="12.75" customHeight="1">
      <c r="E1236" s="7"/>
      <c r="F1236" s="7"/>
      <c r="G1236" s="7"/>
      <c r="H1236" s="7"/>
      <c r="I1236" s="7"/>
    </row>
    <row r="1237" spans="5:9" ht="12.75" customHeight="1">
      <c r="E1237" s="7"/>
      <c r="F1237" s="7"/>
      <c r="G1237" s="7"/>
      <c r="H1237" s="7"/>
      <c r="I1237" s="7"/>
    </row>
    <row r="1238" spans="5:9" ht="12.75" customHeight="1">
      <c r="E1238" s="7"/>
      <c r="F1238" s="7"/>
      <c r="G1238" s="7"/>
      <c r="H1238" s="7"/>
      <c r="I1238" s="7"/>
    </row>
    <row r="1239" spans="5:9" ht="12.75" customHeight="1">
      <c r="E1239" s="7"/>
      <c r="F1239" s="7"/>
      <c r="G1239" s="7"/>
      <c r="H1239" s="7"/>
      <c r="I1239" s="7"/>
    </row>
    <row r="1240" spans="5:9" ht="12.75" customHeight="1">
      <c r="E1240" s="7"/>
      <c r="F1240" s="7"/>
      <c r="G1240" s="7"/>
      <c r="H1240" s="7"/>
      <c r="I1240" s="7"/>
    </row>
    <row r="1241" spans="5:9" ht="12.75" customHeight="1">
      <c r="E1241" s="7"/>
      <c r="F1241" s="7"/>
      <c r="G1241" s="7"/>
      <c r="H1241" s="7"/>
      <c r="I1241" s="7"/>
    </row>
    <row r="1242" spans="5:9" ht="12.75" customHeight="1">
      <c r="E1242" s="7"/>
      <c r="F1242" s="7"/>
      <c r="G1242" s="7"/>
      <c r="H1242" s="7"/>
      <c r="I1242" s="7"/>
    </row>
    <row r="1243" spans="5:9" ht="12.75" customHeight="1">
      <c r="E1243" s="7"/>
      <c r="F1243" s="7"/>
      <c r="G1243" s="7"/>
      <c r="H1243" s="7"/>
      <c r="I1243" s="7"/>
    </row>
    <row r="1244" spans="5:9" ht="12.75" customHeight="1">
      <c r="E1244" s="7"/>
      <c r="F1244" s="7"/>
      <c r="G1244" s="7"/>
      <c r="H1244" s="7"/>
      <c r="I1244" s="7"/>
    </row>
    <row r="1245" spans="5:9" ht="12.75" customHeight="1">
      <c r="E1245" s="7"/>
      <c r="F1245" s="7"/>
      <c r="G1245" s="7"/>
      <c r="H1245" s="7"/>
      <c r="I1245" s="7"/>
    </row>
    <row r="1246" spans="5:9" ht="12.75" customHeight="1">
      <c r="E1246" s="7"/>
      <c r="F1246" s="7"/>
      <c r="G1246" s="7"/>
      <c r="H1246" s="7"/>
      <c r="I1246" s="7"/>
    </row>
    <row r="1247" spans="5:9" ht="12.75" customHeight="1">
      <c r="E1247" s="7"/>
      <c r="F1247" s="7"/>
      <c r="G1247" s="7"/>
      <c r="H1247" s="7"/>
      <c r="I1247" s="7"/>
    </row>
    <row r="1248" spans="5:9" ht="12.75" customHeight="1">
      <c r="E1248" s="7"/>
      <c r="F1248" s="7"/>
      <c r="G1248" s="7"/>
      <c r="H1248" s="7"/>
      <c r="I1248" s="7"/>
    </row>
    <row r="1249" spans="5:9" ht="12.75" customHeight="1">
      <c r="E1249" s="7"/>
      <c r="F1249" s="7"/>
      <c r="G1249" s="7"/>
      <c r="H1249" s="7"/>
      <c r="I1249" s="7"/>
    </row>
    <row r="1250" spans="5:9" ht="12.75" customHeight="1">
      <c r="E1250" s="7"/>
      <c r="F1250" s="7"/>
      <c r="G1250" s="7"/>
      <c r="H1250" s="7"/>
      <c r="I1250" s="7"/>
    </row>
    <row r="1251" spans="5:9" ht="12.75" customHeight="1">
      <c r="E1251" s="7"/>
      <c r="F1251" s="7"/>
      <c r="G1251" s="7"/>
      <c r="H1251" s="7"/>
      <c r="I1251" s="7"/>
    </row>
    <row r="1252" spans="5:9" ht="12.75" customHeight="1">
      <c r="E1252" s="7"/>
      <c r="F1252" s="7"/>
      <c r="G1252" s="7"/>
      <c r="H1252" s="7"/>
      <c r="I1252" s="7"/>
    </row>
    <row r="1253" spans="5:9" ht="12.75" customHeight="1">
      <c r="E1253" s="7"/>
      <c r="F1253" s="7"/>
      <c r="G1253" s="7"/>
      <c r="H1253" s="7"/>
      <c r="I1253" s="7"/>
    </row>
    <row r="1254" spans="5:9" ht="12.75" customHeight="1">
      <c r="E1254" s="7"/>
      <c r="F1254" s="7"/>
      <c r="G1254" s="7"/>
      <c r="H1254" s="7"/>
      <c r="I1254" s="7"/>
    </row>
    <row r="1255" spans="5:9" ht="12.75" customHeight="1">
      <c r="E1255" s="7"/>
      <c r="F1255" s="7"/>
      <c r="G1255" s="7"/>
      <c r="H1255" s="7"/>
      <c r="I1255" s="7"/>
    </row>
    <row r="1256" spans="5:9" ht="12.75" customHeight="1">
      <c r="E1256" s="7"/>
      <c r="F1256" s="7"/>
      <c r="G1256" s="7"/>
      <c r="H1256" s="7"/>
      <c r="I1256" s="7"/>
    </row>
    <row r="1257" spans="5:9" ht="12.75" customHeight="1">
      <c r="E1257" s="7"/>
      <c r="F1257" s="7"/>
      <c r="G1257" s="7"/>
      <c r="H1257" s="7"/>
      <c r="I1257" s="7"/>
    </row>
    <row r="1258" spans="5:9" ht="12.75" customHeight="1">
      <c r="E1258" s="7"/>
      <c r="F1258" s="7"/>
      <c r="G1258" s="7"/>
      <c r="H1258" s="7"/>
      <c r="I1258" s="7"/>
    </row>
    <row r="1259" spans="5:9" ht="12.75" customHeight="1">
      <c r="E1259" s="7"/>
      <c r="F1259" s="7"/>
      <c r="G1259" s="7"/>
      <c r="H1259" s="7"/>
      <c r="I1259" s="7"/>
    </row>
    <row r="1260" spans="5:9" ht="12.75" customHeight="1">
      <c r="E1260" s="7"/>
      <c r="F1260" s="7"/>
      <c r="G1260" s="7"/>
      <c r="H1260" s="7"/>
      <c r="I1260" s="7"/>
    </row>
    <row r="1261" spans="5:9" ht="12.75" customHeight="1">
      <c r="E1261" s="7"/>
      <c r="F1261" s="7"/>
      <c r="G1261" s="7"/>
      <c r="H1261" s="7"/>
      <c r="I1261" s="7"/>
    </row>
    <row r="1262" spans="5:9" ht="12.75" customHeight="1">
      <c r="E1262" s="7"/>
      <c r="F1262" s="7"/>
      <c r="G1262" s="7"/>
      <c r="H1262" s="7"/>
      <c r="I1262" s="7"/>
    </row>
    <row r="1263" spans="5:9" ht="12.75" customHeight="1">
      <c r="E1263" s="7"/>
      <c r="F1263" s="7"/>
      <c r="G1263" s="7"/>
      <c r="H1263" s="7"/>
      <c r="I1263" s="7"/>
    </row>
    <row r="1264" spans="5:9" ht="12.75" customHeight="1">
      <c r="E1264" s="7"/>
      <c r="F1264" s="7"/>
      <c r="G1264" s="7"/>
      <c r="H1264" s="7"/>
      <c r="I1264" s="7"/>
    </row>
    <row r="1265" spans="5:9" ht="12.75" customHeight="1">
      <c r="E1265" s="7"/>
      <c r="F1265" s="7"/>
      <c r="G1265" s="7"/>
      <c r="H1265" s="7"/>
      <c r="I1265" s="7"/>
    </row>
    <row r="1266" spans="5:9" ht="12.75" customHeight="1">
      <c r="E1266" s="7"/>
      <c r="F1266" s="7"/>
      <c r="G1266" s="7"/>
      <c r="H1266" s="7"/>
      <c r="I1266" s="7"/>
    </row>
    <row r="1267" spans="5:9" ht="12.75" customHeight="1">
      <c r="E1267" s="7"/>
      <c r="F1267" s="7"/>
      <c r="G1267" s="7"/>
      <c r="H1267" s="7"/>
      <c r="I1267" s="7"/>
    </row>
    <row r="1268" spans="5:9" ht="12.75" customHeight="1">
      <c r="E1268" s="7"/>
      <c r="F1268" s="7"/>
      <c r="G1268" s="7"/>
      <c r="H1268" s="7"/>
      <c r="I1268" s="7"/>
    </row>
    <row r="1269" spans="5:9" ht="12.75" customHeight="1">
      <c r="E1269" s="7"/>
      <c r="F1269" s="7"/>
      <c r="G1269" s="7"/>
      <c r="H1269" s="7"/>
      <c r="I1269" s="7"/>
    </row>
    <row r="1270" spans="5:9" ht="12.75" customHeight="1">
      <c r="E1270" s="7"/>
      <c r="F1270" s="7"/>
      <c r="G1270" s="7"/>
      <c r="H1270" s="7"/>
      <c r="I1270" s="7"/>
    </row>
    <row r="1271" spans="5:9" ht="12.75" customHeight="1">
      <c r="E1271" s="7"/>
      <c r="F1271" s="7"/>
      <c r="G1271" s="7"/>
      <c r="H1271" s="7"/>
      <c r="I1271" s="7"/>
    </row>
    <row r="1272" spans="5:9" ht="12.75" customHeight="1">
      <c r="E1272" s="7"/>
      <c r="F1272" s="7"/>
      <c r="G1272" s="7"/>
      <c r="H1272" s="7"/>
      <c r="I1272" s="7"/>
    </row>
    <row r="1273" spans="5:9" ht="12.75" customHeight="1">
      <c r="E1273" s="7"/>
      <c r="F1273" s="7"/>
      <c r="G1273" s="7"/>
      <c r="H1273" s="7"/>
      <c r="I1273" s="7"/>
    </row>
    <row r="1274" spans="5:9" ht="12.75" customHeight="1">
      <c r="E1274" s="7"/>
      <c r="F1274" s="7"/>
      <c r="G1274" s="7"/>
      <c r="H1274" s="7"/>
      <c r="I1274" s="7"/>
    </row>
    <row r="1275" spans="5:9" ht="12.75" customHeight="1">
      <c r="E1275" s="7"/>
      <c r="F1275" s="7"/>
      <c r="G1275" s="7"/>
      <c r="H1275" s="7"/>
      <c r="I1275" s="7"/>
    </row>
    <row r="1276" spans="5:9" ht="12.75" customHeight="1">
      <c r="E1276" s="7"/>
      <c r="F1276" s="7"/>
      <c r="G1276" s="7"/>
      <c r="H1276" s="7"/>
      <c r="I1276" s="7"/>
    </row>
    <row r="1277" spans="5:9" ht="12.75" customHeight="1">
      <c r="E1277" s="7"/>
      <c r="F1277" s="7"/>
      <c r="G1277" s="7"/>
      <c r="H1277" s="7"/>
      <c r="I1277" s="7"/>
    </row>
    <row r="1278" spans="5:9" ht="12.75" customHeight="1">
      <c r="E1278" s="7"/>
      <c r="F1278" s="7"/>
      <c r="G1278" s="7"/>
      <c r="H1278" s="7"/>
      <c r="I1278" s="7"/>
    </row>
    <row r="1279" spans="5:9" ht="12.75" customHeight="1">
      <c r="E1279" s="7"/>
      <c r="F1279" s="7"/>
      <c r="G1279" s="7"/>
      <c r="H1279" s="7"/>
      <c r="I1279" s="7"/>
    </row>
    <row r="1280" spans="5:9" ht="12.75" customHeight="1">
      <c r="E1280" s="7"/>
      <c r="F1280" s="7"/>
      <c r="G1280" s="7"/>
      <c r="H1280" s="7"/>
      <c r="I1280" s="7"/>
    </row>
    <row r="1281" spans="5:9" ht="12.75" customHeight="1">
      <c r="E1281" s="7"/>
      <c r="F1281" s="7"/>
      <c r="G1281" s="7"/>
      <c r="H1281" s="7"/>
      <c r="I1281" s="7"/>
    </row>
    <row r="1282" spans="5:9" ht="12.75" customHeight="1">
      <c r="E1282" s="7"/>
      <c r="F1282" s="7"/>
      <c r="G1282" s="7"/>
      <c r="H1282" s="7"/>
      <c r="I1282" s="7"/>
    </row>
    <row r="1283" spans="5:9" ht="12.75" customHeight="1">
      <c r="E1283" s="7"/>
      <c r="F1283" s="7"/>
      <c r="G1283" s="7"/>
      <c r="H1283" s="7"/>
      <c r="I1283" s="7"/>
    </row>
    <row r="1284" spans="5:9" ht="12.75" customHeight="1">
      <c r="E1284" s="7"/>
      <c r="F1284" s="7"/>
      <c r="G1284" s="7"/>
      <c r="H1284" s="7"/>
      <c r="I1284" s="7"/>
    </row>
    <row r="1285" spans="5:9" ht="12.75" customHeight="1">
      <c r="E1285" s="7"/>
      <c r="F1285" s="7"/>
      <c r="G1285" s="7"/>
      <c r="H1285" s="7"/>
      <c r="I1285" s="7"/>
    </row>
    <row r="1286" spans="5:9" ht="12.75" customHeight="1">
      <c r="E1286" s="7"/>
      <c r="F1286" s="7"/>
      <c r="G1286" s="7"/>
      <c r="H1286" s="7"/>
      <c r="I1286" s="7"/>
    </row>
    <row r="1287" spans="5:9" ht="12.75" customHeight="1">
      <c r="E1287" s="7"/>
      <c r="F1287" s="7"/>
      <c r="G1287" s="7"/>
      <c r="H1287" s="7"/>
      <c r="I1287" s="7"/>
    </row>
    <row r="1288" spans="5:9" ht="12.75" customHeight="1">
      <c r="E1288" s="7"/>
      <c r="F1288" s="7"/>
      <c r="G1288" s="7"/>
      <c r="H1288" s="7"/>
      <c r="I1288" s="7"/>
    </row>
    <row r="1289" spans="5:9" ht="12.75" customHeight="1">
      <c r="E1289" s="7"/>
      <c r="F1289" s="7"/>
      <c r="G1289" s="7"/>
      <c r="H1289" s="7"/>
      <c r="I1289" s="7"/>
    </row>
    <row r="1290" spans="5:9" ht="12.75" customHeight="1">
      <c r="E1290" s="7"/>
      <c r="F1290" s="7"/>
      <c r="G1290" s="7"/>
      <c r="H1290" s="7"/>
      <c r="I1290" s="7"/>
    </row>
    <row r="1291" spans="5:9" ht="12.75" customHeight="1">
      <c r="E1291" s="7"/>
      <c r="F1291" s="7"/>
      <c r="G1291" s="7"/>
      <c r="H1291" s="7"/>
      <c r="I1291" s="7"/>
    </row>
    <row r="1292" spans="5:9" ht="12.75" customHeight="1">
      <c r="E1292" s="7"/>
      <c r="F1292" s="7"/>
      <c r="G1292" s="7"/>
      <c r="H1292" s="7"/>
      <c r="I1292" s="7"/>
    </row>
    <row r="1293" spans="5:9" ht="12.75" customHeight="1">
      <c r="E1293" s="7"/>
      <c r="F1293" s="7"/>
      <c r="G1293" s="7"/>
      <c r="H1293" s="7"/>
      <c r="I1293" s="7"/>
    </row>
    <row r="1294" spans="5:9" ht="12.75" customHeight="1">
      <c r="E1294" s="7"/>
      <c r="F1294" s="7"/>
      <c r="G1294" s="7"/>
      <c r="H1294" s="7"/>
      <c r="I1294" s="7"/>
    </row>
    <row r="1295" spans="5:9" ht="12.75" customHeight="1">
      <c r="E1295" s="7"/>
      <c r="F1295" s="7"/>
      <c r="G1295" s="7"/>
      <c r="H1295" s="7"/>
      <c r="I1295" s="7"/>
    </row>
    <row r="1296" spans="5:9" ht="12.75" customHeight="1">
      <c r="E1296" s="7"/>
      <c r="F1296" s="7"/>
      <c r="G1296" s="7"/>
      <c r="H1296" s="7"/>
      <c r="I1296" s="7"/>
    </row>
    <row r="1297" spans="5:9" ht="12.75" customHeight="1">
      <c r="E1297" s="7"/>
      <c r="F1297" s="7"/>
      <c r="G1297" s="7"/>
      <c r="H1297" s="7"/>
      <c r="I1297" s="7"/>
    </row>
    <row r="1298" spans="5:9" ht="12.75" customHeight="1">
      <c r="E1298" s="7"/>
      <c r="F1298" s="7"/>
      <c r="G1298" s="7"/>
      <c r="H1298" s="7"/>
      <c r="I1298" s="7"/>
    </row>
    <row r="1299" spans="5:9" ht="12.75" customHeight="1">
      <c r="E1299" s="7"/>
      <c r="F1299" s="7"/>
      <c r="G1299" s="7"/>
      <c r="H1299" s="7"/>
      <c r="I1299" s="7"/>
    </row>
    <row r="1300" spans="5:9" ht="12.75" customHeight="1">
      <c r="E1300" s="7"/>
      <c r="F1300" s="7"/>
      <c r="G1300" s="7"/>
      <c r="H1300" s="7"/>
      <c r="I1300" s="7"/>
    </row>
    <row r="1301" spans="5:9" ht="12.75" customHeight="1">
      <c r="E1301" s="7"/>
      <c r="F1301" s="7"/>
      <c r="G1301" s="7"/>
      <c r="H1301" s="7"/>
      <c r="I1301" s="7"/>
    </row>
    <row r="1302" spans="5:9" ht="12.75" customHeight="1">
      <c r="E1302" s="7"/>
      <c r="F1302" s="7"/>
      <c r="G1302" s="7"/>
      <c r="H1302" s="7"/>
      <c r="I1302" s="7"/>
    </row>
    <row r="1303" spans="5:9" ht="12.75" customHeight="1">
      <c r="E1303" s="7"/>
      <c r="F1303" s="7"/>
      <c r="G1303" s="7"/>
      <c r="H1303" s="7"/>
      <c r="I1303" s="7"/>
    </row>
    <row r="1304" spans="5:9" ht="12.75" customHeight="1">
      <c r="E1304" s="7"/>
      <c r="F1304" s="7"/>
      <c r="G1304" s="7"/>
      <c r="H1304" s="7"/>
      <c r="I1304" s="7"/>
    </row>
    <row r="1305" spans="5:9" ht="12.75" customHeight="1">
      <c r="E1305" s="7"/>
      <c r="F1305" s="7"/>
      <c r="G1305" s="7"/>
      <c r="H1305" s="7"/>
      <c r="I1305" s="7"/>
    </row>
    <row r="1306" spans="5:9" ht="12.75" customHeight="1">
      <c r="E1306" s="7"/>
      <c r="F1306" s="7"/>
      <c r="G1306" s="7"/>
      <c r="H1306" s="7"/>
      <c r="I1306" s="7"/>
    </row>
    <row r="1307" spans="5:9" ht="12.75" customHeight="1">
      <c r="E1307" s="7"/>
      <c r="F1307" s="7"/>
      <c r="G1307" s="7"/>
      <c r="H1307" s="7"/>
      <c r="I1307" s="7"/>
    </row>
    <row r="1308" spans="5:9" ht="12.75" customHeight="1">
      <c r="E1308" s="7"/>
      <c r="F1308" s="7"/>
      <c r="G1308" s="7"/>
      <c r="H1308" s="7"/>
      <c r="I1308" s="7"/>
    </row>
    <row r="1309" spans="5:9" ht="12.75" customHeight="1">
      <c r="E1309" s="7"/>
      <c r="F1309" s="7"/>
      <c r="G1309" s="7"/>
      <c r="H1309" s="7"/>
      <c r="I1309" s="7"/>
    </row>
    <row r="1310" spans="5:9" ht="12.75" customHeight="1">
      <c r="E1310" s="7"/>
      <c r="F1310" s="7"/>
      <c r="G1310" s="7"/>
      <c r="H1310" s="7"/>
      <c r="I1310" s="7"/>
    </row>
    <row r="1311" spans="5:9" ht="12.75" customHeight="1">
      <c r="E1311" s="7"/>
      <c r="F1311" s="7"/>
      <c r="G1311" s="7"/>
      <c r="H1311" s="7"/>
      <c r="I1311" s="7"/>
    </row>
    <row r="1312" spans="5:9" ht="12.75" customHeight="1">
      <c r="E1312" s="7"/>
      <c r="F1312" s="7"/>
      <c r="G1312" s="7"/>
      <c r="H1312" s="7"/>
      <c r="I1312" s="7"/>
    </row>
    <row r="1313" spans="5:9" ht="12.75" customHeight="1">
      <c r="E1313" s="7"/>
      <c r="F1313" s="7"/>
      <c r="G1313" s="7"/>
      <c r="H1313" s="7"/>
      <c r="I1313" s="7"/>
    </row>
    <row r="1314" spans="5:9" ht="12.75" customHeight="1">
      <c r="E1314" s="7"/>
      <c r="F1314" s="7"/>
      <c r="G1314" s="7"/>
      <c r="H1314" s="7"/>
      <c r="I1314" s="7"/>
    </row>
    <row r="1315" spans="5:9" ht="12.75" customHeight="1">
      <c r="E1315" s="7"/>
      <c r="F1315" s="7"/>
      <c r="G1315" s="7"/>
      <c r="H1315" s="7"/>
      <c r="I1315" s="7"/>
    </row>
    <row r="1316" spans="5:9" ht="12.75" customHeight="1">
      <c r="E1316" s="7"/>
      <c r="F1316" s="7"/>
      <c r="G1316" s="7"/>
      <c r="H1316" s="7"/>
      <c r="I1316" s="7"/>
    </row>
    <row r="1317" spans="5:9" ht="12.75" customHeight="1">
      <c r="E1317" s="7"/>
      <c r="F1317" s="7"/>
      <c r="G1317" s="7"/>
      <c r="H1317" s="7"/>
      <c r="I1317" s="7"/>
    </row>
    <row r="1318" spans="5:9" ht="12.75" customHeight="1">
      <c r="E1318" s="7"/>
      <c r="F1318" s="7"/>
      <c r="G1318" s="7"/>
      <c r="H1318" s="7"/>
      <c r="I1318" s="7"/>
    </row>
    <row r="1319" spans="5:9" ht="12.75" customHeight="1">
      <c r="E1319" s="7"/>
      <c r="F1319" s="7"/>
      <c r="G1319" s="7"/>
      <c r="H1319" s="7"/>
      <c r="I1319" s="7"/>
    </row>
    <row r="1320" spans="5:9" ht="12.75" customHeight="1">
      <c r="E1320" s="7"/>
      <c r="F1320" s="7"/>
      <c r="G1320" s="7"/>
      <c r="H1320" s="7"/>
      <c r="I1320" s="7"/>
    </row>
    <row r="1321" spans="5:9" ht="12.75" customHeight="1">
      <c r="E1321" s="7"/>
      <c r="F1321" s="7"/>
      <c r="G1321" s="7"/>
      <c r="H1321" s="7"/>
      <c r="I1321" s="7"/>
    </row>
    <row r="1322" spans="5:9" ht="12.75" customHeight="1">
      <c r="E1322" s="7"/>
      <c r="F1322" s="7"/>
      <c r="G1322" s="7"/>
      <c r="H1322" s="7"/>
      <c r="I1322" s="7"/>
    </row>
    <row r="1323" spans="5:9" ht="12.75" customHeight="1">
      <c r="E1323" s="7"/>
      <c r="F1323" s="7"/>
      <c r="G1323" s="7"/>
      <c r="H1323" s="7"/>
      <c r="I1323" s="7"/>
    </row>
    <row r="1324" spans="5:9" ht="12.75" customHeight="1">
      <c r="E1324" s="7"/>
      <c r="F1324" s="7"/>
      <c r="G1324" s="7"/>
      <c r="H1324" s="7"/>
      <c r="I1324" s="7"/>
    </row>
    <row r="1325" spans="5:9" ht="12.75" customHeight="1">
      <c r="E1325" s="7"/>
      <c r="F1325" s="7"/>
      <c r="G1325" s="7"/>
      <c r="H1325" s="7"/>
      <c r="I1325" s="7"/>
    </row>
    <row r="1326" spans="5:9" ht="12.75" customHeight="1">
      <c r="E1326" s="7"/>
      <c r="F1326" s="7"/>
      <c r="G1326" s="7"/>
      <c r="H1326" s="7"/>
      <c r="I1326" s="7"/>
    </row>
    <row r="1327" spans="5:9" ht="12.75" customHeight="1">
      <c r="E1327" s="7"/>
      <c r="F1327" s="7"/>
      <c r="G1327" s="7"/>
      <c r="H1327" s="7"/>
      <c r="I1327" s="7"/>
    </row>
    <row r="1328" spans="5:9" ht="12.75" customHeight="1">
      <c r="E1328" s="7"/>
      <c r="F1328" s="7"/>
      <c r="G1328" s="7"/>
      <c r="H1328" s="7"/>
      <c r="I1328" s="7"/>
    </row>
    <row r="1329" spans="5:9" ht="12.75" customHeight="1">
      <c r="E1329" s="7"/>
      <c r="F1329" s="7"/>
      <c r="G1329" s="7"/>
      <c r="H1329" s="7"/>
      <c r="I1329" s="7"/>
    </row>
    <row r="1330" spans="5:9" ht="12.75" customHeight="1">
      <c r="E1330" s="7"/>
      <c r="F1330" s="7"/>
      <c r="G1330" s="7"/>
      <c r="H1330" s="7"/>
      <c r="I1330" s="7"/>
    </row>
    <row r="1331" spans="5:9" ht="12.75" customHeight="1">
      <c r="E1331" s="7"/>
      <c r="F1331" s="7"/>
      <c r="G1331" s="7"/>
      <c r="H1331" s="7"/>
      <c r="I1331" s="7"/>
    </row>
    <row r="1332" spans="5:9" ht="12.75" customHeight="1">
      <c r="E1332" s="7"/>
      <c r="F1332" s="7"/>
      <c r="G1332" s="7"/>
      <c r="H1332" s="7"/>
      <c r="I1332" s="7"/>
    </row>
    <row r="1333" spans="5:9" ht="12.75" customHeight="1">
      <c r="E1333" s="7"/>
      <c r="F1333" s="7"/>
      <c r="G1333" s="7"/>
      <c r="H1333" s="7"/>
      <c r="I1333" s="7"/>
    </row>
    <row r="1334" spans="5:9" ht="12.75" customHeight="1">
      <c r="E1334" s="7"/>
      <c r="F1334" s="7"/>
      <c r="G1334" s="7"/>
      <c r="H1334" s="7"/>
      <c r="I1334" s="7"/>
    </row>
    <row r="1335" spans="5:9" ht="12.75" customHeight="1">
      <c r="E1335" s="7"/>
      <c r="F1335" s="7"/>
      <c r="G1335" s="7"/>
      <c r="H1335" s="7"/>
      <c r="I1335" s="7"/>
    </row>
    <row r="1336" spans="5:9" ht="12.75" customHeight="1">
      <c r="E1336" s="7"/>
      <c r="F1336" s="7"/>
      <c r="G1336" s="7"/>
      <c r="H1336" s="7"/>
      <c r="I1336" s="7"/>
    </row>
    <row r="1337" spans="5:9" ht="12.75" customHeight="1">
      <c r="E1337" s="7"/>
      <c r="F1337" s="7"/>
      <c r="G1337" s="7"/>
      <c r="H1337" s="7"/>
      <c r="I1337" s="7"/>
    </row>
    <row r="1338" spans="5:9" ht="12.75" customHeight="1">
      <c r="E1338" s="7"/>
      <c r="F1338" s="7"/>
      <c r="G1338" s="7"/>
      <c r="H1338" s="7"/>
      <c r="I1338" s="7"/>
    </row>
    <row r="1339" spans="5:9" ht="12.75" customHeight="1">
      <c r="E1339" s="7"/>
      <c r="F1339" s="7"/>
      <c r="G1339" s="7"/>
      <c r="H1339" s="7"/>
      <c r="I1339" s="7"/>
    </row>
    <row r="1340" spans="5:9" ht="12.75" customHeight="1">
      <c r="E1340" s="7"/>
      <c r="F1340" s="7"/>
      <c r="G1340" s="7"/>
      <c r="H1340" s="7"/>
      <c r="I1340" s="7"/>
    </row>
    <row r="1341" spans="5:9" ht="12.75" customHeight="1">
      <c r="E1341" s="7"/>
      <c r="F1341" s="7"/>
      <c r="G1341" s="7"/>
      <c r="H1341" s="7"/>
      <c r="I1341" s="7"/>
    </row>
    <row r="1342" spans="5:9" ht="12.75" customHeight="1">
      <c r="E1342" s="7"/>
      <c r="F1342" s="7"/>
      <c r="G1342" s="7"/>
      <c r="H1342" s="7"/>
      <c r="I1342" s="7"/>
    </row>
    <row r="1343" spans="5:9" ht="12.75" customHeight="1">
      <c r="E1343" s="7"/>
      <c r="F1343" s="7"/>
      <c r="G1343" s="7"/>
      <c r="H1343" s="7"/>
      <c r="I1343" s="7"/>
    </row>
    <row r="1344" spans="5:9" ht="12.75" customHeight="1">
      <c r="E1344" s="7"/>
      <c r="F1344" s="7"/>
      <c r="G1344" s="7"/>
      <c r="H1344" s="7"/>
      <c r="I1344" s="7"/>
    </row>
    <row r="1345" spans="5:9" ht="12.75" customHeight="1">
      <c r="E1345" s="7"/>
      <c r="F1345" s="7"/>
      <c r="G1345" s="7"/>
      <c r="H1345" s="7"/>
      <c r="I1345" s="7"/>
    </row>
    <row r="1346" spans="5:9" ht="12.75" customHeight="1">
      <c r="E1346" s="7"/>
      <c r="F1346" s="7"/>
      <c r="G1346" s="7"/>
      <c r="H1346" s="7"/>
      <c r="I1346" s="7"/>
    </row>
    <row r="1347" spans="5:9" ht="12.75" customHeight="1">
      <c r="E1347" s="7"/>
      <c r="F1347" s="7"/>
      <c r="G1347" s="7"/>
      <c r="H1347" s="7"/>
      <c r="I1347" s="7"/>
    </row>
    <row r="1348" spans="5:9" ht="12.75" customHeight="1">
      <c r="E1348" s="7"/>
      <c r="F1348" s="7"/>
      <c r="G1348" s="7"/>
      <c r="H1348" s="7"/>
      <c r="I1348" s="7"/>
    </row>
    <row r="1349" spans="5:9" ht="12.75" customHeight="1">
      <c r="E1349" s="7"/>
      <c r="F1349" s="7"/>
      <c r="G1349" s="7"/>
      <c r="H1349" s="7"/>
      <c r="I1349" s="7"/>
    </row>
    <row r="1350" spans="5:9" ht="12.75" customHeight="1">
      <c r="E1350" s="7"/>
      <c r="F1350" s="7"/>
      <c r="G1350" s="7"/>
      <c r="H1350" s="7"/>
      <c r="I1350" s="7"/>
    </row>
    <row r="1351" spans="5:9" ht="12.75" customHeight="1">
      <c r="E1351" s="7"/>
      <c r="F1351" s="7"/>
      <c r="G1351" s="7"/>
      <c r="H1351" s="7"/>
      <c r="I1351" s="7"/>
    </row>
    <row r="1352" spans="5:9" ht="12.75" customHeight="1">
      <c r="E1352" s="7"/>
      <c r="F1352" s="7"/>
      <c r="G1352" s="7"/>
      <c r="H1352" s="7"/>
      <c r="I1352" s="7"/>
    </row>
    <row r="1353" spans="5:9" ht="12.75" customHeight="1">
      <c r="E1353" s="7"/>
      <c r="F1353" s="7"/>
      <c r="G1353" s="7"/>
      <c r="H1353" s="7"/>
      <c r="I1353" s="7"/>
    </row>
    <row r="1354" spans="5:9" ht="12.75" customHeight="1">
      <c r="E1354" s="7"/>
      <c r="F1354" s="7"/>
      <c r="G1354" s="7"/>
      <c r="H1354" s="7"/>
      <c r="I1354" s="7"/>
    </row>
    <row r="1355" spans="5:9" ht="12.75" customHeight="1">
      <c r="E1355" s="7"/>
      <c r="F1355" s="7"/>
      <c r="G1355" s="7"/>
      <c r="H1355" s="7"/>
      <c r="I1355" s="7"/>
    </row>
    <row r="1356" spans="5:9" ht="12.75" customHeight="1">
      <c r="E1356" s="7"/>
      <c r="F1356" s="7"/>
      <c r="G1356" s="7"/>
      <c r="H1356" s="7"/>
      <c r="I1356" s="7"/>
    </row>
    <row r="1357" spans="5:9" ht="12.75" customHeight="1">
      <c r="E1357" s="7"/>
      <c r="F1357" s="7"/>
      <c r="G1357" s="7"/>
      <c r="H1357" s="7"/>
      <c r="I1357" s="7"/>
    </row>
    <row r="1358" spans="5:9" ht="12.75" customHeight="1">
      <c r="E1358" s="7"/>
      <c r="F1358" s="7"/>
      <c r="G1358" s="7"/>
      <c r="H1358" s="7"/>
      <c r="I1358" s="7"/>
    </row>
    <row r="1359" spans="5:9" ht="12.75" customHeight="1">
      <c r="E1359" s="7"/>
      <c r="F1359" s="7"/>
      <c r="G1359" s="7"/>
      <c r="H1359" s="7"/>
      <c r="I1359" s="7"/>
    </row>
    <row r="1360" spans="5:9" ht="12.75" customHeight="1">
      <c r="E1360" s="7"/>
      <c r="F1360" s="7"/>
      <c r="G1360" s="7"/>
      <c r="H1360" s="7"/>
      <c r="I1360" s="7"/>
    </row>
    <row r="1361" spans="5:9" ht="12.75" customHeight="1">
      <c r="E1361" s="7"/>
      <c r="F1361" s="7"/>
      <c r="G1361" s="7"/>
      <c r="H1361" s="7"/>
      <c r="I1361" s="7"/>
    </row>
    <row r="1362" spans="5:9" ht="12.75" customHeight="1">
      <c r="E1362" s="7"/>
      <c r="F1362" s="7"/>
      <c r="G1362" s="7"/>
      <c r="H1362" s="7"/>
      <c r="I1362" s="7"/>
    </row>
    <row r="1363" spans="5:9" ht="12.75" customHeight="1">
      <c r="E1363" s="7"/>
      <c r="F1363" s="7"/>
      <c r="G1363" s="7"/>
      <c r="H1363" s="7"/>
      <c r="I1363" s="7"/>
    </row>
    <row r="1364" spans="5:9" ht="12.75" customHeight="1">
      <c r="E1364" s="7"/>
      <c r="F1364" s="7"/>
      <c r="G1364" s="7"/>
      <c r="H1364" s="7"/>
      <c r="I1364" s="7"/>
    </row>
    <row r="1365" spans="5:9" ht="12.75" customHeight="1">
      <c r="E1365" s="7"/>
      <c r="F1365" s="7"/>
      <c r="G1365" s="7"/>
      <c r="H1365" s="7"/>
      <c r="I1365" s="7"/>
    </row>
    <row r="1366" spans="5:9" ht="12.75" customHeight="1">
      <c r="E1366" s="7"/>
      <c r="F1366" s="7"/>
      <c r="G1366" s="7"/>
      <c r="H1366" s="7"/>
      <c r="I1366" s="7"/>
    </row>
    <row r="1367" spans="5:9" ht="12.75" customHeight="1">
      <c r="E1367" s="7"/>
      <c r="F1367" s="7"/>
      <c r="G1367" s="7"/>
      <c r="H1367" s="7"/>
      <c r="I1367" s="7"/>
    </row>
    <row r="1368" spans="5:9" ht="12.75" customHeight="1">
      <c r="E1368" s="7"/>
      <c r="F1368" s="7"/>
      <c r="G1368" s="7"/>
      <c r="H1368" s="7"/>
      <c r="I1368" s="7"/>
    </row>
    <row r="1369" spans="5:9" ht="12.75" customHeight="1">
      <c r="E1369" s="7"/>
      <c r="F1369" s="7"/>
      <c r="G1369" s="7"/>
      <c r="H1369" s="7"/>
      <c r="I1369" s="7"/>
    </row>
    <row r="1370" spans="5:9" ht="12.75" customHeight="1">
      <c r="E1370" s="7"/>
      <c r="F1370" s="7"/>
      <c r="G1370" s="7"/>
      <c r="H1370" s="7"/>
      <c r="I1370" s="7"/>
    </row>
    <row r="1371" spans="5:9" ht="12.75" customHeight="1">
      <c r="E1371" s="7"/>
      <c r="F1371" s="7"/>
      <c r="G1371" s="7"/>
      <c r="H1371" s="7"/>
      <c r="I1371" s="7"/>
    </row>
    <row r="1372" spans="5:9" ht="12.75" customHeight="1">
      <c r="E1372" s="7"/>
      <c r="F1372" s="7"/>
      <c r="G1372" s="7"/>
      <c r="H1372" s="7"/>
      <c r="I1372" s="7"/>
    </row>
    <row r="1373" spans="5:9" ht="12.75" customHeight="1">
      <c r="E1373" s="7"/>
      <c r="F1373" s="7"/>
      <c r="G1373" s="7"/>
      <c r="H1373" s="7"/>
      <c r="I1373" s="7"/>
    </row>
    <row r="1374" spans="5:9" ht="12.75" customHeight="1">
      <c r="E1374" s="7"/>
      <c r="F1374" s="7"/>
      <c r="G1374" s="7"/>
      <c r="H1374" s="7"/>
      <c r="I1374" s="7"/>
    </row>
    <row r="1375" spans="5:9" ht="12.75" customHeight="1">
      <c r="E1375" s="7"/>
      <c r="F1375" s="7"/>
      <c r="G1375" s="7"/>
      <c r="H1375" s="7"/>
      <c r="I1375" s="7"/>
    </row>
    <row r="1376" spans="5:9" ht="12.75" customHeight="1">
      <c r="E1376" s="7"/>
      <c r="F1376" s="7"/>
      <c r="G1376" s="7"/>
      <c r="H1376" s="7"/>
      <c r="I1376" s="7"/>
    </row>
    <row r="1377" spans="5:9" ht="12.75" customHeight="1">
      <c r="E1377" s="7"/>
      <c r="F1377" s="7"/>
      <c r="G1377" s="7"/>
      <c r="H1377" s="7"/>
      <c r="I1377" s="7"/>
    </row>
    <row r="1378" spans="5:9" ht="12.75" customHeight="1">
      <c r="E1378" s="7"/>
      <c r="F1378" s="7"/>
      <c r="G1378" s="7"/>
      <c r="H1378" s="7"/>
      <c r="I1378" s="7"/>
    </row>
    <row r="1379" spans="5:9" ht="12.75" customHeight="1">
      <c r="E1379" s="7"/>
      <c r="F1379" s="7"/>
      <c r="G1379" s="7"/>
      <c r="H1379" s="7"/>
      <c r="I1379" s="7"/>
    </row>
    <row r="1380" spans="5:9" ht="12.75" customHeight="1">
      <c r="E1380" s="7"/>
      <c r="F1380" s="7"/>
      <c r="G1380" s="7"/>
      <c r="H1380" s="7"/>
      <c r="I1380" s="7"/>
    </row>
    <row r="1381" spans="5:9" ht="12.75" customHeight="1">
      <c r="E1381" s="7"/>
      <c r="F1381" s="7"/>
      <c r="G1381" s="7"/>
      <c r="H1381" s="7"/>
      <c r="I1381" s="7"/>
    </row>
    <row r="1382" spans="5:9" ht="12.75" customHeight="1">
      <c r="E1382" s="7"/>
      <c r="F1382" s="7"/>
      <c r="G1382" s="7"/>
      <c r="H1382" s="7"/>
      <c r="I1382" s="7"/>
    </row>
    <row r="1383" spans="5:9" ht="12.75" customHeight="1">
      <c r="E1383" s="7"/>
      <c r="F1383" s="7"/>
      <c r="G1383" s="7"/>
      <c r="H1383" s="7"/>
      <c r="I1383" s="7"/>
    </row>
    <row r="1384" spans="5:9" ht="12.75" customHeight="1">
      <c r="E1384" s="7"/>
      <c r="F1384" s="7"/>
      <c r="G1384" s="7"/>
      <c r="H1384" s="7"/>
      <c r="I1384" s="7"/>
    </row>
    <row r="1385" spans="5:9" ht="12.75" customHeight="1">
      <c r="E1385" s="7"/>
      <c r="F1385" s="7"/>
      <c r="G1385" s="7"/>
      <c r="H1385" s="7"/>
      <c r="I1385" s="7"/>
    </row>
    <row r="1386" spans="5:9" ht="12.75" customHeight="1">
      <c r="E1386" s="7"/>
      <c r="F1386" s="7"/>
      <c r="G1386" s="7"/>
      <c r="H1386" s="7"/>
      <c r="I1386" s="7"/>
    </row>
    <row r="1387" spans="5:9" ht="12.75" customHeight="1">
      <c r="E1387" s="7"/>
      <c r="F1387" s="7"/>
      <c r="G1387" s="7"/>
      <c r="H1387" s="7"/>
      <c r="I1387" s="7"/>
    </row>
    <row r="1388" spans="5:9" ht="12.75" customHeight="1">
      <c r="E1388" s="7"/>
      <c r="F1388" s="7"/>
      <c r="G1388" s="7"/>
      <c r="H1388" s="7"/>
      <c r="I1388" s="7"/>
    </row>
    <row r="1389" spans="5:9" ht="12.75" customHeight="1">
      <c r="E1389" s="7"/>
      <c r="F1389" s="7"/>
      <c r="G1389" s="7"/>
      <c r="H1389" s="7"/>
      <c r="I1389" s="7"/>
    </row>
    <row r="1390" spans="5:9" ht="12.75" customHeight="1">
      <c r="E1390" s="7"/>
      <c r="F1390" s="7"/>
      <c r="G1390" s="7"/>
      <c r="H1390" s="7"/>
      <c r="I1390" s="7"/>
    </row>
    <row r="1391" spans="5:9" ht="12.75" customHeight="1">
      <c r="E1391" s="7"/>
      <c r="F1391" s="7"/>
      <c r="G1391" s="7"/>
      <c r="H1391" s="7"/>
      <c r="I1391" s="7"/>
    </row>
    <row r="1392" spans="5:9" ht="12.75" customHeight="1">
      <c r="E1392" s="7"/>
      <c r="F1392" s="7"/>
      <c r="G1392" s="7"/>
      <c r="H1392" s="7"/>
      <c r="I1392" s="7"/>
    </row>
    <row r="1393" spans="5:9" ht="12.75" customHeight="1">
      <c r="E1393" s="7"/>
      <c r="F1393" s="7"/>
      <c r="G1393" s="7"/>
      <c r="H1393" s="7"/>
      <c r="I1393" s="7"/>
    </row>
    <row r="1394" spans="5:9" ht="12.75" customHeight="1">
      <c r="E1394" s="7"/>
      <c r="F1394" s="7"/>
      <c r="G1394" s="7"/>
      <c r="H1394" s="7"/>
      <c r="I1394" s="7"/>
    </row>
    <row r="1395" spans="5:9" ht="12.75" customHeight="1">
      <c r="E1395" s="7"/>
      <c r="F1395" s="7"/>
      <c r="G1395" s="7"/>
      <c r="H1395" s="7"/>
      <c r="I1395" s="7"/>
    </row>
    <row r="1396" spans="5:9" ht="12.75" customHeight="1">
      <c r="E1396" s="7"/>
      <c r="F1396" s="7"/>
      <c r="G1396" s="7"/>
      <c r="H1396" s="7"/>
      <c r="I1396" s="7"/>
    </row>
    <row r="1397" spans="5:9" ht="12.75" customHeight="1">
      <c r="E1397" s="7"/>
      <c r="F1397" s="7"/>
      <c r="G1397" s="7"/>
      <c r="H1397" s="7"/>
      <c r="I1397" s="7"/>
    </row>
    <row r="1398" spans="5:9" ht="12.75" customHeight="1">
      <c r="E1398" s="7"/>
      <c r="F1398" s="7"/>
      <c r="G1398" s="7"/>
      <c r="H1398" s="7"/>
      <c r="I1398" s="7"/>
    </row>
    <row r="1399" spans="5:9" ht="12.75" customHeight="1">
      <c r="E1399" s="7"/>
      <c r="F1399" s="7"/>
      <c r="G1399" s="7"/>
      <c r="H1399" s="7"/>
      <c r="I1399" s="7"/>
    </row>
    <row r="1400" spans="5:9" ht="12.75" customHeight="1">
      <c r="E1400" s="7"/>
      <c r="F1400" s="7"/>
      <c r="G1400" s="7"/>
      <c r="H1400" s="7"/>
      <c r="I1400" s="7"/>
    </row>
    <row r="1401" spans="5:9" ht="12.75" customHeight="1">
      <c r="E1401" s="7"/>
      <c r="F1401" s="7"/>
      <c r="G1401" s="7"/>
      <c r="H1401" s="7"/>
      <c r="I1401" s="7"/>
    </row>
    <row r="1402" spans="5:9" ht="12.75" customHeight="1">
      <c r="E1402" s="7"/>
      <c r="F1402" s="7"/>
      <c r="G1402" s="7"/>
      <c r="H1402" s="7"/>
      <c r="I1402" s="7"/>
    </row>
    <row r="1403" spans="5:9" ht="12.75" customHeight="1">
      <c r="E1403" s="7"/>
      <c r="F1403" s="7"/>
      <c r="G1403" s="7"/>
      <c r="H1403" s="7"/>
      <c r="I1403" s="7"/>
    </row>
    <row r="1404" spans="5:9" ht="12.75" customHeight="1">
      <c r="E1404" s="7"/>
      <c r="F1404" s="7"/>
      <c r="G1404" s="7"/>
      <c r="H1404" s="7"/>
      <c r="I1404" s="7"/>
    </row>
    <row r="1405" spans="5:9" ht="12.75" customHeight="1">
      <c r="E1405" s="7"/>
      <c r="F1405" s="7"/>
      <c r="G1405" s="7"/>
      <c r="H1405" s="7"/>
      <c r="I1405" s="7"/>
    </row>
    <row r="1406" spans="5:9" ht="12.75" customHeight="1">
      <c r="E1406" s="7"/>
      <c r="F1406" s="7"/>
      <c r="G1406" s="7"/>
      <c r="H1406" s="7"/>
      <c r="I1406" s="7"/>
    </row>
    <row r="1407" spans="5:9" ht="12.75" customHeight="1">
      <c r="E1407" s="7"/>
      <c r="F1407" s="7"/>
      <c r="G1407" s="7"/>
      <c r="H1407" s="7"/>
      <c r="I1407" s="7"/>
    </row>
    <row r="1408" spans="5:9" ht="12.75" customHeight="1">
      <c r="E1408" s="7"/>
      <c r="F1408" s="7"/>
      <c r="G1408" s="7"/>
      <c r="H1408" s="7"/>
      <c r="I1408" s="7"/>
    </row>
    <row r="1409" spans="5:9" ht="12.75" customHeight="1">
      <c r="E1409" s="7"/>
      <c r="F1409" s="7"/>
      <c r="G1409" s="7"/>
      <c r="H1409" s="7"/>
      <c r="I1409" s="7"/>
    </row>
    <row r="1410" spans="5:9" ht="12.75" customHeight="1">
      <c r="E1410" s="7"/>
      <c r="F1410" s="7"/>
      <c r="G1410" s="7"/>
      <c r="H1410" s="7"/>
      <c r="I1410" s="7"/>
    </row>
    <row r="1411" spans="5:9" ht="12.75" customHeight="1">
      <c r="E1411" s="7"/>
      <c r="F1411" s="7"/>
      <c r="G1411" s="7"/>
      <c r="H1411" s="7"/>
      <c r="I1411" s="7"/>
    </row>
    <row r="1412" spans="5:9" ht="12.75" customHeight="1">
      <c r="E1412" s="7"/>
      <c r="F1412" s="7"/>
      <c r="G1412" s="7"/>
      <c r="H1412" s="7"/>
      <c r="I1412" s="7"/>
    </row>
    <row r="1413" spans="5:9" ht="12.75" customHeight="1">
      <c r="E1413" s="7"/>
      <c r="F1413" s="7"/>
      <c r="G1413" s="7"/>
      <c r="H1413" s="7"/>
      <c r="I1413" s="7"/>
    </row>
    <row r="1414" spans="5:9" ht="12.75" customHeight="1">
      <c r="E1414" s="7"/>
      <c r="F1414" s="7"/>
      <c r="G1414" s="7"/>
      <c r="H1414" s="7"/>
      <c r="I1414" s="7"/>
    </row>
    <row r="1415" spans="5:9" ht="12.75" customHeight="1">
      <c r="E1415" s="7"/>
      <c r="F1415" s="7"/>
      <c r="G1415" s="7"/>
      <c r="H1415" s="7"/>
      <c r="I1415" s="7"/>
    </row>
    <row r="1416" spans="5:9" ht="12.75" customHeight="1">
      <c r="E1416" s="7"/>
      <c r="F1416" s="7"/>
      <c r="G1416" s="7"/>
      <c r="H1416" s="7"/>
      <c r="I1416" s="7"/>
    </row>
    <row r="1417" spans="5:9" ht="12.75" customHeight="1">
      <c r="E1417" s="7"/>
      <c r="F1417" s="7"/>
      <c r="G1417" s="7"/>
      <c r="H1417" s="7"/>
      <c r="I1417" s="7"/>
    </row>
    <row r="1418" spans="5:9" ht="12.75" customHeight="1">
      <c r="E1418" s="7"/>
      <c r="F1418" s="7"/>
      <c r="G1418" s="7"/>
      <c r="H1418" s="7"/>
      <c r="I1418" s="7"/>
    </row>
    <row r="1419" spans="5:9" ht="12.75" customHeight="1">
      <c r="E1419" s="7"/>
      <c r="F1419" s="7"/>
      <c r="G1419" s="7"/>
      <c r="H1419" s="7"/>
      <c r="I1419" s="7"/>
    </row>
    <row r="1420" spans="5:9" ht="12.75" customHeight="1">
      <c r="E1420" s="7"/>
      <c r="F1420" s="7"/>
      <c r="G1420" s="7"/>
      <c r="H1420" s="7"/>
      <c r="I1420" s="7"/>
    </row>
    <row r="1421" spans="5:9" ht="12.75" customHeight="1">
      <c r="E1421" s="7"/>
      <c r="F1421" s="7"/>
      <c r="G1421" s="7"/>
      <c r="H1421" s="7"/>
      <c r="I1421" s="7"/>
    </row>
    <row r="1422" spans="5:9" ht="12.75" customHeight="1">
      <c r="E1422" s="7"/>
      <c r="F1422" s="7"/>
      <c r="G1422" s="7"/>
      <c r="H1422" s="7"/>
      <c r="I1422" s="7"/>
    </row>
    <row r="1423" spans="5:9" ht="12.75" customHeight="1">
      <c r="E1423" s="7"/>
      <c r="F1423" s="7"/>
      <c r="G1423" s="7"/>
      <c r="H1423" s="7"/>
      <c r="I1423" s="7"/>
    </row>
    <row r="1424" spans="5:9" ht="12.75" customHeight="1">
      <c r="E1424" s="7"/>
      <c r="F1424" s="7"/>
      <c r="G1424" s="7"/>
      <c r="H1424" s="7"/>
      <c r="I1424" s="7"/>
    </row>
    <row r="1425" spans="5:9" ht="12.75" customHeight="1">
      <c r="E1425" s="7"/>
      <c r="F1425" s="7"/>
      <c r="G1425" s="7"/>
      <c r="H1425" s="7"/>
      <c r="I1425" s="7"/>
    </row>
    <row r="1426" spans="5:9" ht="12.75" customHeight="1">
      <c r="E1426" s="7"/>
      <c r="F1426" s="7"/>
      <c r="G1426" s="7"/>
      <c r="H1426" s="7"/>
      <c r="I1426" s="7"/>
    </row>
    <row r="1427" spans="5:9" ht="12.75" customHeight="1">
      <c r="E1427" s="7"/>
      <c r="F1427" s="7"/>
      <c r="G1427" s="7"/>
      <c r="H1427" s="7"/>
      <c r="I1427" s="7"/>
    </row>
    <row r="1428" spans="5:9" ht="12.75" customHeight="1">
      <c r="E1428" s="7"/>
      <c r="F1428" s="7"/>
      <c r="G1428" s="7"/>
      <c r="H1428" s="7"/>
      <c r="I1428" s="7"/>
    </row>
    <row r="1429" spans="5:9" ht="12.75" customHeight="1">
      <c r="E1429" s="7"/>
      <c r="F1429" s="7"/>
      <c r="G1429" s="7"/>
      <c r="H1429" s="7"/>
      <c r="I1429" s="7"/>
    </row>
    <row r="1430" spans="5:9" ht="12.75" customHeight="1">
      <c r="E1430" s="7"/>
      <c r="F1430" s="7"/>
      <c r="G1430" s="7"/>
      <c r="H1430" s="7"/>
      <c r="I1430" s="7"/>
    </row>
    <row r="1431" spans="5:9" ht="12.75" customHeight="1">
      <c r="E1431" s="7"/>
      <c r="F1431" s="7"/>
      <c r="G1431" s="7"/>
      <c r="H1431" s="7"/>
      <c r="I1431" s="7"/>
    </row>
    <row r="1432" spans="5:9" ht="12.75" customHeight="1">
      <c r="E1432" s="7"/>
      <c r="F1432" s="7"/>
      <c r="G1432" s="7"/>
      <c r="H1432" s="7"/>
      <c r="I1432" s="7"/>
    </row>
    <row r="1433" spans="5:9" ht="12.75" customHeight="1">
      <c r="E1433" s="7"/>
      <c r="F1433" s="7"/>
      <c r="G1433" s="7"/>
      <c r="H1433" s="7"/>
      <c r="I1433" s="7"/>
    </row>
    <row r="1434" spans="5:9" ht="12.75" customHeight="1">
      <c r="E1434" s="7"/>
      <c r="F1434" s="7"/>
      <c r="G1434" s="7"/>
      <c r="H1434" s="7"/>
      <c r="I1434" s="7"/>
    </row>
    <row r="1435" spans="5:9" ht="12.75" customHeight="1">
      <c r="E1435" s="7"/>
      <c r="F1435" s="7"/>
      <c r="G1435" s="7"/>
      <c r="H1435" s="7"/>
      <c r="I1435" s="7"/>
    </row>
    <row r="1436" spans="5:9" ht="12.75" customHeight="1">
      <c r="E1436" s="7"/>
      <c r="F1436" s="7"/>
      <c r="G1436" s="7"/>
      <c r="H1436" s="7"/>
      <c r="I1436" s="7"/>
    </row>
    <row r="1437" spans="5:9" ht="12.75" customHeight="1">
      <c r="E1437" s="7"/>
      <c r="F1437" s="7"/>
      <c r="G1437" s="7"/>
      <c r="H1437" s="7"/>
      <c r="I1437" s="7"/>
    </row>
    <row r="1438" spans="5:9" ht="12.75" customHeight="1">
      <c r="E1438" s="7"/>
      <c r="F1438" s="7"/>
      <c r="G1438" s="7"/>
      <c r="H1438" s="7"/>
      <c r="I1438" s="7"/>
    </row>
    <row r="1439" spans="5:9" ht="12.75" customHeight="1">
      <c r="E1439" s="7"/>
      <c r="F1439" s="7"/>
      <c r="G1439" s="7"/>
      <c r="H1439" s="7"/>
      <c r="I1439" s="7"/>
    </row>
    <row r="1440" spans="5:9" ht="12.75" customHeight="1">
      <c r="E1440" s="7"/>
      <c r="F1440" s="7"/>
      <c r="G1440" s="7"/>
      <c r="H1440" s="7"/>
      <c r="I1440" s="7"/>
    </row>
    <row r="1441" spans="5:9" ht="12.75" customHeight="1">
      <c r="E1441" s="7"/>
      <c r="F1441" s="7"/>
      <c r="G1441" s="7"/>
      <c r="H1441" s="7"/>
      <c r="I1441" s="7"/>
    </row>
    <row r="1442" spans="5:9" ht="12.75" customHeight="1">
      <c r="E1442" s="7"/>
      <c r="F1442" s="7"/>
      <c r="G1442" s="7"/>
      <c r="H1442" s="7"/>
      <c r="I1442" s="7"/>
    </row>
    <row r="1443" spans="5:9" ht="12.75" customHeight="1">
      <c r="E1443" s="7"/>
      <c r="F1443" s="7"/>
      <c r="G1443" s="7"/>
      <c r="H1443" s="7"/>
      <c r="I1443" s="7"/>
    </row>
    <row r="1444" spans="5:9" ht="12.75" customHeight="1">
      <c r="E1444" s="7"/>
      <c r="F1444" s="7"/>
      <c r="G1444" s="7"/>
      <c r="H1444" s="7"/>
      <c r="I1444" s="7"/>
    </row>
    <row r="1445" spans="5:9" ht="12.75" customHeight="1">
      <c r="E1445" s="7"/>
      <c r="F1445" s="7"/>
      <c r="G1445" s="7"/>
      <c r="H1445" s="7"/>
      <c r="I1445" s="7"/>
    </row>
    <row r="1446" spans="5:9" ht="12.75" customHeight="1">
      <c r="E1446" s="7"/>
      <c r="F1446" s="7"/>
      <c r="G1446" s="7"/>
      <c r="H1446" s="7"/>
      <c r="I1446" s="7"/>
    </row>
    <row r="1447" spans="5:9" ht="12.75" customHeight="1">
      <c r="E1447" s="7"/>
      <c r="F1447" s="7"/>
      <c r="G1447" s="7"/>
      <c r="H1447" s="7"/>
      <c r="I1447" s="7"/>
    </row>
    <row r="1448" spans="5:9" ht="12.75" customHeight="1">
      <c r="E1448" s="7"/>
      <c r="F1448" s="7"/>
      <c r="G1448" s="7"/>
      <c r="H1448" s="7"/>
      <c r="I1448" s="7"/>
    </row>
    <row r="1449" spans="5:9" ht="12.75" customHeight="1">
      <c r="E1449" s="7"/>
      <c r="F1449" s="7"/>
      <c r="G1449" s="7"/>
      <c r="H1449" s="7"/>
      <c r="I1449" s="7"/>
    </row>
    <row r="1450" spans="5:9" ht="12.75" customHeight="1">
      <c r="E1450" s="7"/>
      <c r="F1450" s="7"/>
      <c r="G1450" s="7"/>
      <c r="H1450" s="7"/>
      <c r="I1450" s="7"/>
    </row>
    <row r="1451" spans="5:9" ht="12.75" customHeight="1">
      <c r="E1451" s="7"/>
      <c r="F1451" s="7"/>
      <c r="G1451" s="7"/>
      <c r="H1451" s="7"/>
      <c r="I1451" s="7"/>
    </row>
    <row r="1452" spans="5:9" ht="12.75" customHeight="1">
      <c r="E1452" s="7"/>
      <c r="F1452" s="7"/>
      <c r="G1452" s="7"/>
      <c r="H1452" s="7"/>
      <c r="I1452" s="7"/>
    </row>
    <row r="1453" spans="5:9" ht="12.75" customHeight="1">
      <c r="E1453" s="7"/>
      <c r="F1453" s="7"/>
      <c r="G1453" s="7"/>
      <c r="H1453" s="7"/>
      <c r="I1453" s="7"/>
    </row>
    <row r="1454" spans="5:9" ht="12.75" customHeight="1">
      <c r="E1454" s="7"/>
      <c r="F1454" s="7"/>
      <c r="G1454" s="7"/>
      <c r="H1454" s="7"/>
      <c r="I1454" s="7"/>
    </row>
    <row r="1455" spans="5:9" ht="12.75" customHeight="1">
      <c r="E1455" s="7"/>
      <c r="F1455" s="7"/>
      <c r="G1455" s="7"/>
      <c r="H1455" s="7"/>
      <c r="I1455" s="7"/>
    </row>
    <row r="1456" spans="5:9" ht="12.75" customHeight="1">
      <c r="E1456" s="7"/>
      <c r="F1456" s="7"/>
      <c r="G1456" s="7"/>
      <c r="H1456" s="7"/>
      <c r="I1456" s="7"/>
    </row>
    <row r="1457" spans="5:9" ht="12.75" customHeight="1">
      <c r="E1457" s="7"/>
      <c r="F1457" s="7"/>
      <c r="G1457" s="7"/>
      <c r="H1457" s="7"/>
      <c r="I1457" s="7"/>
    </row>
    <row r="1458" spans="5:9" ht="12.75" customHeight="1">
      <c r="E1458" s="7"/>
      <c r="F1458" s="7"/>
      <c r="G1458" s="7"/>
      <c r="H1458" s="7"/>
      <c r="I1458" s="7"/>
    </row>
    <row r="1459" spans="5:9" ht="12.75" customHeight="1">
      <c r="E1459" s="7"/>
      <c r="F1459" s="7"/>
      <c r="G1459" s="7"/>
      <c r="H1459" s="7"/>
      <c r="I1459" s="7"/>
    </row>
    <row r="1460" spans="5:9" ht="12.75" customHeight="1">
      <c r="E1460" s="7"/>
      <c r="F1460" s="7"/>
      <c r="G1460" s="7"/>
      <c r="H1460" s="7"/>
      <c r="I1460" s="7"/>
    </row>
    <row r="1461" spans="5:9" ht="12.75" customHeight="1">
      <c r="E1461" s="7"/>
      <c r="F1461" s="7"/>
      <c r="G1461" s="7"/>
      <c r="H1461" s="7"/>
      <c r="I1461" s="7"/>
    </row>
    <row r="1462" spans="5:9" ht="12.75" customHeight="1">
      <c r="E1462" s="7"/>
      <c r="F1462" s="7"/>
      <c r="G1462" s="7"/>
      <c r="H1462" s="7"/>
      <c r="I1462" s="7"/>
    </row>
    <row r="1463" spans="5:9" ht="12.75" customHeight="1">
      <c r="E1463" s="7"/>
      <c r="F1463" s="7"/>
      <c r="G1463" s="7"/>
      <c r="H1463" s="7"/>
      <c r="I1463" s="7"/>
    </row>
    <row r="1464" spans="5:9" ht="12.75" customHeight="1">
      <c r="E1464" s="7"/>
      <c r="F1464" s="7"/>
      <c r="G1464" s="7"/>
      <c r="H1464" s="7"/>
      <c r="I1464" s="7"/>
    </row>
    <row r="1465" spans="5:9" ht="12.75" customHeight="1">
      <c r="E1465" s="7"/>
      <c r="F1465" s="7"/>
      <c r="G1465" s="7"/>
      <c r="H1465" s="7"/>
      <c r="I1465" s="7"/>
    </row>
    <row r="1466" spans="5:9" ht="12.75" customHeight="1">
      <c r="E1466" s="7"/>
      <c r="F1466" s="7"/>
      <c r="G1466" s="7"/>
      <c r="H1466" s="7"/>
      <c r="I1466" s="7"/>
    </row>
    <row r="1467" spans="5:9" ht="12.75" customHeight="1">
      <c r="E1467" s="7"/>
      <c r="F1467" s="7"/>
      <c r="G1467" s="7"/>
      <c r="H1467" s="7"/>
      <c r="I1467" s="7"/>
    </row>
    <row r="1468" spans="5:9" ht="12.75" customHeight="1">
      <c r="E1468" s="7"/>
      <c r="F1468" s="7"/>
      <c r="G1468" s="7"/>
      <c r="H1468" s="7"/>
      <c r="I1468" s="7"/>
    </row>
    <row r="1469" spans="5:9" ht="12.75" customHeight="1">
      <c r="E1469" s="7"/>
      <c r="F1469" s="7"/>
      <c r="G1469" s="7"/>
      <c r="H1469" s="7"/>
      <c r="I1469" s="7"/>
    </row>
    <row r="1470" spans="5:9" ht="12.75" customHeight="1">
      <c r="E1470" s="7"/>
      <c r="F1470" s="7"/>
      <c r="G1470" s="7"/>
      <c r="H1470" s="7"/>
      <c r="I1470" s="7"/>
    </row>
    <row r="1471" spans="5:9" ht="12.75" customHeight="1">
      <c r="E1471" s="7"/>
      <c r="F1471" s="7"/>
      <c r="G1471" s="7"/>
      <c r="H1471" s="7"/>
      <c r="I1471" s="7"/>
    </row>
    <row r="1472" spans="5:9" ht="12.75" customHeight="1">
      <c r="E1472" s="7"/>
      <c r="F1472" s="7"/>
      <c r="G1472" s="7"/>
      <c r="H1472" s="7"/>
      <c r="I1472" s="7"/>
    </row>
    <row r="1473" spans="5:9" ht="12.75" customHeight="1">
      <c r="E1473" s="7"/>
      <c r="F1473" s="7"/>
      <c r="G1473" s="7"/>
      <c r="H1473" s="7"/>
      <c r="I1473" s="7"/>
    </row>
    <row r="1474" spans="5:9" ht="12.75" customHeight="1">
      <c r="E1474" s="7"/>
      <c r="F1474" s="7"/>
      <c r="G1474" s="7"/>
      <c r="H1474" s="7"/>
      <c r="I1474" s="7"/>
    </row>
    <row r="1475" spans="5:9" ht="12.75" customHeight="1">
      <c r="E1475" s="7"/>
      <c r="F1475" s="7"/>
      <c r="G1475" s="7"/>
      <c r="H1475" s="7"/>
      <c r="I1475" s="7"/>
    </row>
    <row r="1476" spans="5:9" ht="12.75" customHeight="1">
      <c r="E1476" s="7"/>
      <c r="F1476" s="7"/>
      <c r="G1476" s="7"/>
      <c r="H1476" s="7"/>
      <c r="I1476" s="7"/>
    </row>
    <row r="1477" spans="5:9" ht="12.75" customHeight="1">
      <c r="E1477" s="7"/>
      <c r="F1477" s="7"/>
      <c r="G1477" s="7"/>
      <c r="H1477" s="7"/>
      <c r="I1477" s="7"/>
    </row>
    <row r="1478" spans="5:9" ht="12.75" customHeight="1">
      <c r="E1478" s="7"/>
      <c r="F1478" s="7"/>
      <c r="G1478" s="7"/>
      <c r="H1478" s="7"/>
      <c r="I1478" s="7"/>
    </row>
    <row r="1479" spans="5:9" ht="12.75" customHeight="1">
      <c r="E1479" s="7"/>
      <c r="F1479" s="7"/>
      <c r="G1479" s="7"/>
      <c r="H1479" s="7"/>
      <c r="I1479" s="7"/>
    </row>
    <row r="1480" spans="5:9" ht="12.75" customHeight="1">
      <c r="E1480" s="7"/>
      <c r="F1480" s="7"/>
      <c r="G1480" s="7"/>
      <c r="H1480" s="7"/>
      <c r="I1480" s="7"/>
    </row>
    <row r="1481" spans="5:9" ht="12.75" customHeight="1">
      <c r="E1481" s="7"/>
      <c r="F1481" s="7"/>
      <c r="G1481" s="7"/>
      <c r="H1481" s="7"/>
      <c r="I1481" s="7"/>
    </row>
    <row r="1482" spans="5:9" ht="12.75" customHeight="1">
      <c r="E1482" s="7"/>
      <c r="F1482" s="7"/>
      <c r="G1482" s="7"/>
      <c r="H1482" s="7"/>
      <c r="I1482" s="7"/>
    </row>
    <row r="1483" spans="5:9" ht="12.75" customHeight="1">
      <c r="E1483" s="7"/>
      <c r="F1483" s="7"/>
      <c r="G1483" s="7"/>
      <c r="H1483" s="7"/>
      <c r="I1483" s="7"/>
    </row>
    <row r="1484" spans="5:9" ht="12.75" customHeight="1">
      <c r="E1484" s="7"/>
      <c r="F1484" s="7"/>
      <c r="G1484" s="7"/>
      <c r="H1484" s="7"/>
      <c r="I1484" s="7"/>
    </row>
    <row r="1485" spans="5:9" ht="12.75" customHeight="1">
      <c r="E1485" s="7"/>
      <c r="F1485" s="7"/>
      <c r="G1485" s="7"/>
      <c r="H1485" s="7"/>
      <c r="I1485" s="7"/>
    </row>
    <row r="1486" spans="5:9" ht="12.75" customHeight="1">
      <c r="E1486" s="7"/>
      <c r="F1486" s="7"/>
      <c r="G1486" s="7"/>
      <c r="H1486" s="7"/>
      <c r="I1486" s="7"/>
    </row>
    <row r="1487" spans="5:9" ht="12.75" customHeight="1">
      <c r="E1487" s="7"/>
      <c r="F1487" s="7"/>
      <c r="G1487" s="7"/>
      <c r="H1487" s="7"/>
      <c r="I1487" s="7"/>
    </row>
    <row r="1488" spans="5:9" ht="12.75" customHeight="1">
      <c r="E1488" s="7"/>
      <c r="F1488" s="7"/>
      <c r="G1488" s="7"/>
      <c r="H1488" s="7"/>
      <c r="I1488" s="7"/>
    </row>
    <row r="1489" spans="5:9" ht="12.75" customHeight="1">
      <c r="E1489" s="7"/>
      <c r="F1489" s="7"/>
      <c r="G1489" s="7"/>
      <c r="H1489" s="7"/>
      <c r="I1489" s="7"/>
    </row>
    <row r="1490" spans="5:9" ht="12.75" customHeight="1">
      <c r="E1490" s="7"/>
      <c r="F1490" s="7"/>
      <c r="G1490" s="7"/>
      <c r="H1490" s="7"/>
      <c r="I1490" s="7"/>
    </row>
    <row r="1491" spans="5:9" ht="12.75" customHeight="1">
      <c r="E1491" s="7"/>
      <c r="F1491" s="7"/>
      <c r="G1491" s="7"/>
      <c r="H1491" s="7"/>
      <c r="I1491" s="7"/>
    </row>
    <row r="1492" spans="5:9" ht="12.75" customHeight="1">
      <c r="E1492" s="7"/>
      <c r="F1492" s="7"/>
      <c r="G1492" s="7"/>
      <c r="H1492" s="7"/>
      <c r="I1492" s="7"/>
    </row>
    <row r="1493" spans="5:9" ht="12.75" customHeight="1">
      <c r="E1493" s="7"/>
      <c r="F1493" s="7"/>
      <c r="G1493" s="7"/>
      <c r="H1493" s="7"/>
      <c r="I1493" s="7"/>
    </row>
    <row r="1494" spans="5:9" ht="12.75" customHeight="1">
      <c r="E1494" s="7"/>
      <c r="F1494" s="7"/>
      <c r="G1494" s="7"/>
      <c r="H1494" s="7"/>
      <c r="I1494" s="7"/>
    </row>
    <row r="1495" spans="5:9" ht="12.75" customHeight="1">
      <c r="E1495" s="7"/>
      <c r="F1495" s="7"/>
      <c r="G1495" s="7"/>
      <c r="H1495" s="7"/>
      <c r="I1495" s="7"/>
    </row>
    <row r="1496" spans="5:9" ht="12.75" customHeight="1">
      <c r="E1496" s="7"/>
      <c r="F1496" s="7"/>
      <c r="G1496" s="7"/>
      <c r="H1496" s="7"/>
      <c r="I1496" s="7"/>
    </row>
    <row r="1497" spans="5:9" ht="12.75" customHeight="1">
      <c r="E1497" s="7"/>
      <c r="F1497" s="7"/>
      <c r="G1497" s="7"/>
      <c r="H1497" s="7"/>
      <c r="I1497" s="7"/>
    </row>
    <row r="1498" spans="5:9" ht="12.75" customHeight="1">
      <c r="E1498" s="7"/>
      <c r="F1498" s="7"/>
      <c r="G1498" s="7"/>
      <c r="H1498" s="7"/>
      <c r="I1498" s="7"/>
    </row>
    <row r="1499" spans="5:9" ht="12.75" customHeight="1">
      <c r="E1499" s="7"/>
      <c r="F1499" s="7"/>
      <c r="G1499" s="7"/>
      <c r="H1499" s="7"/>
      <c r="I1499" s="7"/>
    </row>
    <row r="1500" spans="5:9" ht="12.75" customHeight="1">
      <c r="E1500" s="7"/>
      <c r="F1500" s="7"/>
      <c r="G1500" s="7"/>
      <c r="H1500" s="7"/>
      <c r="I1500" s="7"/>
    </row>
    <row r="1501" spans="5:9" ht="12.75" customHeight="1">
      <c r="E1501" s="7"/>
      <c r="F1501" s="7"/>
      <c r="G1501" s="7"/>
      <c r="H1501" s="7"/>
      <c r="I1501" s="7"/>
    </row>
    <row r="1502" spans="5:9" ht="12.75" customHeight="1">
      <c r="E1502" s="7"/>
      <c r="F1502" s="7"/>
      <c r="G1502" s="7"/>
      <c r="H1502" s="7"/>
      <c r="I1502" s="7"/>
    </row>
    <row r="1503" spans="5:9" ht="12.75" customHeight="1">
      <c r="E1503" s="7"/>
      <c r="F1503" s="7"/>
      <c r="G1503" s="7"/>
      <c r="H1503" s="7"/>
      <c r="I1503" s="7"/>
    </row>
    <row r="1504" spans="5:9" ht="12.75" customHeight="1">
      <c r="E1504" s="7"/>
      <c r="F1504" s="7"/>
      <c r="G1504" s="7"/>
      <c r="H1504" s="7"/>
      <c r="I1504" s="7"/>
    </row>
    <row r="1505" spans="5:9" ht="12.75" customHeight="1">
      <c r="E1505" s="7"/>
      <c r="F1505" s="7"/>
      <c r="G1505" s="7"/>
      <c r="H1505" s="7"/>
      <c r="I1505" s="7"/>
    </row>
    <row r="1506" spans="5:9" ht="12.75" customHeight="1">
      <c r="E1506" s="7"/>
      <c r="F1506" s="7"/>
      <c r="G1506" s="7"/>
      <c r="H1506" s="7"/>
      <c r="I1506" s="7"/>
    </row>
    <row r="1507" spans="5:9" ht="12.75" customHeight="1">
      <c r="E1507" s="7"/>
      <c r="F1507" s="7"/>
      <c r="G1507" s="7"/>
      <c r="H1507" s="7"/>
      <c r="I1507" s="7"/>
    </row>
    <row r="1508" spans="5:9" ht="12.75" customHeight="1">
      <c r="E1508" s="7"/>
      <c r="F1508" s="7"/>
      <c r="G1508" s="7"/>
      <c r="H1508" s="7"/>
      <c r="I1508" s="7"/>
    </row>
    <row r="1509" spans="5:9" ht="12.75" customHeight="1">
      <c r="E1509" s="7"/>
      <c r="F1509" s="7"/>
      <c r="G1509" s="7"/>
      <c r="H1509" s="7"/>
      <c r="I1509" s="7"/>
    </row>
    <row r="1510" spans="5:9" ht="12.75" customHeight="1">
      <c r="E1510" s="7"/>
      <c r="F1510" s="7"/>
      <c r="G1510" s="7"/>
      <c r="H1510" s="7"/>
      <c r="I1510" s="7"/>
    </row>
    <row r="1511" spans="5:9" ht="12.75" customHeight="1">
      <c r="E1511" s="7"/>
      <c r="F1511" s="7"/>
      <c r="G1511" s="7"/>
      <c r="H1511" s="7"/>
      <c r="I1511" s="7"/>
    </row>
    <row r="1512" spans="5:9" ht="12.75" customHeight="1">
      <c r="E1512" s="7"/>
      <c r="F1512" s="7"/>
      <c r="G1512" s="7"/>
      <c r="H1512" s="7"/>
      <c r="I1512" s="7"/>
    </row>
    <row r="1513" spans="5:9" ht="12.75" customHeight="1">
      <c r="E1513" s="7"/>
      <c r="F1513" s="7"/>
      <c r="G1513" s="7"/>
      <c r="H1513" s="7"/>
      <c r="I1513" s="7"/>
    </row>
    <row r="1514" spans="5:9" ht="12.75" customHeight="1">
      <c r="E1514" s="7"/>
      <c r="F1514" s="7"/>
      <c r="G1514" s="7"/>
      <c r="H1514" s="7"/>
      <c r="I1514" s="7"/>
    </row>
    <row r="1515" spans="5:9" ht="12.75" customHeight="1">
      <c r="E1515" s="7"/>
      <c r="F1515" s="7"/>
      <c r="G1515" s="7"/>
      <c r="H1515" s="7"/>
      <c r="I1515" s="7"/>
    </row>
    <row r="1516" spans="5:9" ht="12.75" customHeight="1">
      <c r="E1516" s="7"/>
      <c r="F1516" s="7"/>
      <c r="G1516" s="7"/>
      <c r="H1516" s="7"/>
      <c r="I1516" s="7"/>
    </row>
    <row r="1517" spans="5:9" ht="12.75" customHeight="1">
      <c r="E1517" s="7"/>
      <c r="F1517" s="7"/>
      <c r="G1517" s="7"/>
      <c r="H1517" s="7"/>
      <c r="I1517" s="7"/>
    </row>
    <row r="1518" spans="5:9" ht="12.75" customHeight="1">
      <c r="E1518" s="7"/>
      <c r="F1518" s="7"/>
      <c r="G1518" s="7"/>
      <c r="H1518" s="7"/>
      <c r="I1518" s="7"/>
    </row>
    <row r="1519" spans="5:9" ht="12.75" customHeight="1">
      <c r="E1519" s="7"/>
      <c r="F1519" s="7"/>
      <c r="G1519" s="7"/>
      <c r="H1519" s="7"/>
      <c r="I1519" s="7"/>
    </row>
    <row r="1520" spans="5:9" ht="12.75" customHeight="1">
      <c r="E1520" s="7"/>
      <c r="F1520" s="7"/>
      <c r="G1520" s="7"/>
      <c r="H1520" s="7"/>
      <c r="I1520" s="7"/>
    </row>
    <row r="1521" spans="5:9" ht="12.75" customHeight="1">
      <c r="E1521" s="7"/>
      <c r="F1521" s="7"/>
      <c r="G1521" s="7"/>
      <c r="H1521" s="7"/>
      <c r="I1521" s="7"/>
    </row>
    <row r="1522" spans="5:9" ht="12.75" customHeight="1">
      <c r="E1522" s="7"/>
      <c r="F1522" s="7"/>
      <c r="G1522" s="7"/>
      <c r="H1522" s="7"/>
      <c r="I1522" s="7"/>
    </row>
    <row r="1523" spans="5:9" ht="12.75" customHeight="1">
      <c r="E1523" s="7"/>
      <c r="F1523" s="7"/>
      <c r="G1523" s="7"/>
      <c r="H1523" s="7"/>
      <c r="I1523" s="7"/>
    </row>
    <row r="1524" spans="5:9" ht="12.75" customHeight="1">
      <c r="E1524" s="7"/>
      <c r="F1524" s="7"/>
      <c r="G1524" s="7"/>
      <c r="H1524" s="7"/>
      <c r="I1524" s="7"/>
    </row>
    <row r="1525" spans="5:9" ht="12.75" customHeight="1">
      <c r="E1525" s="7"/>
      <c r="F1525" s="7"/>
      <c r="G1525" s="7"/>
      <c r="H1525" s="7"/>
      <c r="I1525" s="7"/>
    </row>
    <row r="1526" spans="5:9" ht="12.75" customHeight="1">
      <c r="E1526" s="7"/>
      <c r="F1526" s="7"/>
      <c r="G1526" s="7"/>
      <c r="H1526" s="7"/>
      <c r="I1526" s="7"/>
    </row>
    <row r="1527" spans="5:9" ht="12.75" customHeight="1">
      <c r="E1527" s="7"/>
      <c r="F1527" s="7"/>
      <c r="G1527" s="7"/>
      <c r="H1527" s="7"/>
      <c r="I1527" s="7"/>
    </row>
    <row r="1528" spans="5:9" ht="12.75" customHeight="1">
      <c r="E1528" s="7"/>
      <c r="F1528" s="7"/>
      <c r="G1528" s="7"/>
      <c r="H1528" s="7"/>
      <c r="I1528" s="7"/>
    </row>
    <row r="1529" spans="5:9" ht="12.75" customHeight="1">
      <c r="E1529" s="7"/>
      <c r="F1529" s="7"/>
      <c r="G1529" s="7"/>
      <c r="H1529" s="7"/>
      <c r="I1529" s="7"/>
    </row>
    <row r="1530" spans="5:9" ht="12.75" customHeight="1">
      <c r="E1530" s="7"/>
      <c r="F1530" s="7"/>
      <c r="G1530" s="7"/>
      <c r="H1530" s="7"/>
      <c r="I1530" s="7"/>
    </row>
    <row r="1531" spans="5:9" ht="12.75" customHeight="1">
      <c r="E1531" s="7"/>
      <c r="F1531" s="7"/>
      <c r="G1531" s="7"/>
      <c r="H1531" s="7"/>
      <c r="I1531" s="7"/>
    </row>
    <row r="1532" spans="5:9" ht="12.75" customHeight="1">
      <c r="E1532" s="7"/>
      <c r="F1532" s="7"/>
      <c r="G1532" s="7"/>
      <c r="H1532" s="7"/>
      <c r="I1532" s="7"/>
    </row>
    <row r="1533" spans="5:9" ht="12.75" customHeight="1">
      <c r="E1533" s="7"/>
      <c r="F1533" s="7"/>
      <c r="G1533" s="7"/>
      <c r="H1533" s="7"/>
      <c r="I1533" s="7"/>
    </row>
    <row r="1534" spans="5:9" ht="12.75" customHeight="1">
      <c r="E1534" s="7"/>
      <c r="F1534" s="7"/>
      <c r="G1534" s="7"/>
      <c r="H1534" s="7"/>
      <c r="I1534" s="7"/>
    </row>
    <row r="1535" spans="5:9" ht="12.75" customHeight="1">
      <c r="E1535" s="7"/>
      <c r="F1535" s="7"/>
      <c r="G1535" s="7"/>
      <c r="H1535" s="7"/>
      <c r="I1535" s="7"/>
    </row>
    <row r="1536" spans="5:9" ht="12.75" customHeight="1">
      <c r="E1536" s="7"/>
      <c r="F1536" s="7"/>
      <c r="G1536" s="7"/>
      <c r="H1536" s="7"/>
      <c r="I1536" s="7"/>
    </row>
    <row r="1537" spans="5:9" ht="12.75" customHeight="1">
      <c r="E1537" s="7"/>
      <c r="F1537" s="7"/>
      <c r="G1537" s="7"/>
      <c r="H1537" s="7"/>
      <c r="I1537" s="7"/>
    </row>
    <row r="1538" spans="5:9" ht="12.75" customHeight="1">
      <c r="E1538" s="7"/>
      <c r="F1538" s="7"/>
      <c r="G1538" s="7"/>
      <c r="H1538" s="7"/>
      <c r="I1538" s="7"/>
    </row>
    <row r="1539" spans="5:9" ht="12.75" customHeight="1">
      <c r="E1539" s="7"/>
      <c r="F1539" s="7"/>
      <c r="G1539" s="7"/>
      <c r="H1539" s="7"/>
      <c r="I1539" s="7"/>
    </row>
    <row r="1540" spans="5:9" ht="12.75" customHeight="1">
      <c r="E1540" s="7"/>
      <c r="F1540" s="7"/>
      <c r="G1540" s="7"/>
      <c r="H1540" s="7"/>
      <c r="I1540" s="7"/>
    </row>
    <row r="1541" spans="5:9" ht="12.75" customHeight="1">
      <c r="E1541" s="7"/>
      <c r="F1541" s="7"/>
      <c r="G1541" s="7"/>
      <c r="H1541" s="7"/>
      <c r="I1541" s="7"/>
    </row>
    <row r="1542" spans="5:9" ht="12.75" customHeight="1">
      <c r="E1542" s="7"/>
      <c r="F1542" s="7"/>
      <c r="G1542" s="7"/>
      <c r="H1542" s="7"/>
      <c r="I1542" s="7"/>
    </row>
    <row r="1543" spans="5:9" ht="12.75" customHeight="1">
      <c r="E1543" s="7"/>
      <c r="F1543" s="7"/>
      <c r="G1543" s="7"/>
      <c r="H1543" s="7"/>
      <c r="I1543" s="7"/>
    </row>
    <row r="1544" spans="5:9" ht="12.75" customHeight="1">
      <c r="E1544" s="7"/>
      <c r="F1544" s="7"/>
      <c r="G1544" s="7"/>
      <c r="H1544" s="7"/>
      <c r="I1544" s="7"/>
    </row>
    <row r="1545" spans="5:9" ht="12.75" customHeight="1">
      <c r="E1545" s="7"/>
      <c r="F1545" s="7"/>
      <c r="G1545" s="7"/>
      <c r="H1545" s="7"/>
      <c r="I1545" s="7"/>
    </row>
    <row r="1546" spans="5:9" ht="12.75" customHeight="1">
      <c r="E1546" s="7"/>
      <c r="F1546" s="7"/>
      <c r="G1546" s="7"/>
      <c r="H1546" s="7"/>
      <c r="I1546" s="7"/>
    </row>
    <row r="1547" spans="5:9" ht="12.75" customHeight="1">
      <c r="E1547" s="7"/>
      <c r="F1547" s="7"/>
      <c r="G1547" s="7"/>
      <c r="H1547" s="7"/>
      <c r="I1547" s="7"/>
    </row>
    <row r="1548" spans="5:9" ht="12.75" customHeight="1">
      <c r="E1548" s="7"/>
      <c r="F1548" s="7"/>
      <c r="G1548" s="7"/>
      <c r="H1548" s="7"/>
      <c r="I1548" s="7"/>
    </row>
    <row r="1549" spans="5:9" ht="12.75" customHeight="1">
      <c r="E1549" s="7"/>
      <c r="F1549" s="7"/>
      <c r="G1549" s="7"/>
      <c r="H1549" s="7"/>
      <c r="I1549" s="7"/>
    </row>
    <row r="1550" spans="5:9" ht="12.75" customHeight="1">
      <c r="E1550" s="7"/>
      <c r="F1550" s="7"/>
      <c r="G1550" s="7"/>
      <c r="H1550" s="7"/>
      <c r="I1550" s="7"/>
    </row>
    <row r="1551" spans="5:9" ht="12.75" customHeight="1">
      <c r="E1551" s="7"/>
      <c r="F1551" s="7"/>
      <c r="G1551" s="7"/>
      <c r="H1551" s="7"/>
      <c r="I1551" s="7"/>
    </row>
    <row r="1552" spans="5:9" ht="12.75" customHeight="1">
      <c r="E1552" s="7"/>
      <c r="F1552" s="7"/>
      <c r="G1552" s="7"/>
      <c r="H1552" s="7"/>
      <c r="I1552" s="7"/>
    </row>
    <row r="1553" spans="5:9" ht="12.75" customHeight="1">
      <c r="E1553" s="7"/>
      <c r="F1553" s="7"/>
      <c r="G1553" s="7"/>
      <c r="H1553" s="7"/>
      <c r="I1553" s="7"/>
    </row>
    <row r="1554" spans="5:9" ht="12.75" customHeight="1">
      <c r="E1554" s="7"/>
      <c r="F1554" s="7"/>
      <c r="G1554" s="7"/>
      <c r="H1554" s="7"/>
      <c r="I1554" s="7"/>
    </row>
    <row r="1555" spans="5:9" ht="12.75" customHeight="1">
      <c r="E1555" s="7"/>
      <c r="F1555" s="7"/>
      <c r="G1555" s="7"/>
      <c r="H1555" s="7"/>
      <c r="I1555" s="7"/>
    </row>
    <row r="1556" spans="5:9" ht="12.75" customHeight="1">
      <c r="E1556" s="7"/>
      <c r="F1556" s="7"/>
      <c r="G1556" s="7"/>
      <c r="H1556" s="7"/>
      <c r="I1556" s="7"/>
    </row>
    <row r="1557" spans="5:9" ht="12.75" customHeight="1">
      <c r="E1557" s="7"/>
      <c r="F1557" s="7"/>
      <c r="G1557" s="7"/>
      <c r="H1557" s="7"/>
      <c r="I1557" s="7"/>
    </row>
    <row r="1558" spans="5:9" ht="12.75" customHeight="1">
      <c r="E1558" s="7"/>
      <c r="F1558" s="7"/>
      <c r="G1558" s="7"/>
      <c r="H1558" s="7"/>
      <c r="I1558" s="7"/>
    </row>
    <row r="1559" spans="5:9" ht="12.75" customHeight="1">
      <c r="E1559" s="7"/>
      <c r="F1559" s="7"/>
      <c r="G1559" s="7"/>
      <c r="H1559" s="7"/>
      <c r="I1559" s="7"/>
    </row>
    <row r="1560" spans="5:9" ht="12.75" customHeight="1">
      <c r="E1560" s="7"/>
      <c r="F1560" s="7"/>
      <c r="G1560" s="7"/>
      <c r="H1560" s="7"/>
      <c r="I1560" s="7"/>
    </row>
    <row r="1561" spans="5:9" ht="12.75" customHeight="1">
      <c r="E1561" s="7"/>
      <c r="F1561" s="7"/>
      <c r="G1561" s="7"/>
      <c r="H1561" s="7"/>
      <c r="I1561" s="7"/>
    </row>
    <row r="1562" spans="5:9" ht="12.75" customHeight="1">
      <c r="E1562" s="7"/>
      <c r="F1562" s="7"/>
      <c r="G1562" s="7"/>
      <c r="H1562" s="7"/>
      <c r="I1562" s="7"/>
    </row>
    <row r="1563" spans="5:9" ht="12.75" customHeight="1">
      <c r="E1563" s="7"/>
      <c r="F1563" s="7"/>
      <c r="G1563" s="7"/>
      <c r="H1563" s="7"/>
      <c r="I1563" s="7"/>
    </row>
    <row r="1564" spans="5:9" ht="12.75" customHeight="1">
      <c r="E1564" s="7"/>
      <c r="F1564" s="7"/>
      <c r="G1564" s="7"/>
      <c r="H1564" s="7"/>
      <c r="I1564" s="7"/>
    </row>
    <row r="1565" spans="5:9" ht="12.75" customHeight="1">
      <c r="E1565" s="7"/>
      <c r="F1565" s="7"/>
      <c r="G1565" s="7"/>
      <c r="H1565" s="7"/>
      <c r="I1565" s="7"/>
    </row>
    <row r="1566" spans="5:9" ht="12.75" customHeight="1">
      <c r="E1566" s="7"/>
      <c r="F1566" s="7"/>
      <c r="G1566" s="7"/>
      <c r="H1566" s="7"/>
      <c r="I1566" s="7"/>
    </row>
    <row r="1567" spans="5:9" ht="12.75" customHeight="1">
      <c r="E1567" s="7"/>
      <c r="F1567" s="7"/>
      <c r="G1567" s="7"/>
      <c r="H1567" s="7"/>
      <c r="I1567" s="7"/>
    </row>
    <row r="1568" spans="5:9" ht="12.75" customHeight="1">
      <c r="E1568" s="7"/>
      <c r="F1568" s="7"/>
      <c r="G1568" s="7"/>
      <c r="H1568" s="7"/>
      <c r="I1568" s="7"/>
    </row>
    <row r="1569" spans="5:9" ht="12.75" customHeight="1">
      <c r="E1569" s="7"/>
      <c r="F1569" s="7"/>
      <c r="G1569" s="7"/>
      <c r="H1569" s="7"/>
      <c r="I1569" s="7"/>
    </row>
    <row r="1570" spans="5:9" ht="12.75" customHeight="1">
      <c r="E1570" s="7"/>
      <c r="F1570" s="7"/>
      <c r="G1570" s="7"/>
      <c r="H1570" s="7"/>
      <c r="I1570" s="7"/>
    </row>
    <row r="1571" spans="5:9" ht="12.75" customHeight="1">
      <c r="E1571" s="7"/>
      <c r="F1571" s="7"/>
      <c r="G1571" s="7"/>
      <c r="H1571" s="7"/>
      <c r="I1571" s="7"/>
    </row>
    <row r="1572" spans="5:9" ht="12.75" customHeight="1">
      <c r="E1572" s="7"/>
      <c r="F1572" s="7"/>
      <c r="G1572" s="7"/>
      <c r="H1572" s="7"/>
      <c r="I1572" s="7"/>
    </row>
    <row r="1573" spans="5:9" ht="12.75" customHeight="1">
      <c r="E1573" s="7"/>
      <c r="F1573" s="7"/>
      <c r="G1573" s="7"/>
      <c r="H1573" s="7"/>
      <c r="I1573" s="7"/>
    </row>
    <row r="1574" spans="5:9" ht="12.75" customHeight="1">
      <c r="E1574" s="7"/>
      <c r="F1574" s="7"/>
      <c r="G1574" s="7"/>
      <c r="H1574" s="7"/>
      <c r="I1574" s="7"/>
    </row>
    <row r="1575" spans="5:9" ht="12.75" customHeight="1">
      <c r="E1575" s="7"/>
      <c r="F1575" s="7"/>
      <c r="G1575" s="7"/>
      <c r="H1575" s="7"/>
      <c r="I1575" s="7"/>
    </row>
    <row r="1576" spans="5:9" ht="12.75" customHeight="1">
      <c r="E1576" s="7"/>
      <c r="F1576" s="7"/>
      <c r="G1576" s="7"/>
      <c r="H1576" s="7"/>
      <c r="I1576" s="7"/>
    </row>
    <row r="1577" spans="5:9" ht="12.75" customHeight="1">
      <c r="E1577" s="7"/>
      <c r="F1577" s="7"/>
      <c r="G1577" s="7"/>
      <c r="H1577" s="7"/>
      <c r="I1577" s="7"/>
    </row>
    <row r="1578" spans="5:9" ht="12.75" customHeight="1">
      <c r="E1578" s="7"/>
      <c r="F1578" s="7"/>
      <c r="G1578" s="7"/>
      <c r="H1578" s="7"/>
      <c r="I1578" s="7"/>
    </row>
    <row r="1579" spans="5:9" ht="12.75" customHeight="1">
      <c r="E1579" s="7"/>
      <c r="F1579" s="7"/>
      <c r="G1579" s="7"/>
      <c r="H1579" s="7"/>
      <c r="I1579" s="7"/>
    </row>
    <row r="1580" spans="5:9" ht="12.75" customHeight="1">
      <c r="E1580" s="7"/>
      <c r="F1580" s="7"/>
      <c r="G1580" s="7"/>
      <c r="H1580" s="7"/>
      <c r="I1580" s="7"/>
    </row>
    <row r="1581" spans="5:9" ht="12.75" customHeight="1">
      <c r="E1581" s="7"/>
      <c r="F1581" s="7"/>
      <c r="G1581" s="7"/>
      <c r="H1581" s="7"/>
      <c r="I1581" s="7"/>
    </row>
    <row r="1582" spans="5:9" ht="12.75" customHeight="1">
      <c r="E1582" s="7"/>
      <c r="F1582" s="7"/>
      <c r="G1582" s="7"/>
      <c r="H1582" s="7"/>
      <c r="I1582" s="7"/>
    </row>
    <row r="1583" spans="5:9" ht="12.75" customHeight="1">
      <c r="E1583" s="7"/>
      <c r="F1583" s="7"/>
      <c r="G1583" s="7"/>
      <c r="H1583" s="7"/>
      <c r="I1583" s="7"/>
    </row>
    <row r="1584" spans="5:9" ht="12.75" customHeight="1">
      <c r="E1584" s="7"/>
      <c r="F1584" s="7"/>
      <c r="G1584" s="7"/>
      <c r="H1584" s="7"/>
      <c r="I1584" s="7"/>
    </row>
    <row r="1585" spans="5:9" ht="12.75" customHeight="1">
      <c r="E1585" s="7"/>
      <c r="F1585" s="7"/>
      <c r="G1585" s="7"/>
      <c r="H1585" s="7"/>
      <c r="I1585" s="7"/>
    </row>
    <row r="1586" spans="5:9" ht="12.75" customHeight="1">
      <c r="E1586" s="7"/>
      <c r="F1586" s="7"/>
      <c r="G1586" s="7"/>
      <c r="H1586" s="7"/>
      <c r="I1586" s="7"/>
    </row>
    <row r="1587" spans="5:9" ht="12.75" customHeight="1">
      <c r="E1587" s="7"/>
      <c r="F1587" s="7"/>
      <c r="G1587" s="7"/>
      <c r="H1587" s="7"/>
      <c r="I1587" s="7"/>
    </row>
    <row r="1588" spans="5:9" ht="12.75" customHeight="1">
      <c r="E1588" s="7"/>
      <c r="F1588" s="7"/>
      <c r="G1588" s="7"/>
      <c r="H1588" s="7"/>
      <c r="I1588" s="7"/>
    </row>
    <row r="1589" spans="5:9" ht="12.75" customHeight="1">
      <c r="E1589" s="7"/>
      <c r="F1589" s="7"/>
      <c r="G1589" s="7"/>
      <c r="H1589" s="7"/>
      <c r="I1589" s="7"/>
    </row>
    <row r="1590" spans="5:9" ht="12.75" customHeight="1">
      <c r="E1590" s="7"/>
      <c r="F1590" s="7"/>
      <c r="G1590" s="7"/>
      <c r="H1590" s="7"/>
      <c r="I1590" s="7"/>
    </row>
    <row r="1591" spans="5:9" ht="12.75" customHeight="1">
      <c r="E1591" s="7"/>
      <c r="F1591" s="7"/>
      <c r="G1591" s="7"/>
      <c r="H1591" s="7"/>
      <c r="I1591" s="7"/>
    </row>
    <row r="1592" spans="5:9" ht="12.75" customHeight="1">
      <c r="E1592" s="7"/>
      <c r="F1592" s="7"/>
      <c r="G1592" s="7"/>
      <c r="H1592" s="7"/>
      <c r="I1592" s="7"/>
    </row>
    <row r="1593" spans="5:9" ht="12.75" customHeight="1">
      <c r="E1593" s="7"/>
      <c r="F1593" s="7"/>
      <c r="G1593" s="7"/>
      <c r="H1593" s="7"/>
      <c r="I1593" s="7"/>
    </row>
    <row r="1594" spans="5:9" ht="12.75" customHeight="1">
      <c r="E1594" s="7"/>
      <c r="F1594" s="7"/>
      <c r="G1594" s="7"/>
      <c r="H1594" s="7"/>
      <c r="I1594" s="7"/>
    </row>
    <row r="1595" spans="5:9" ht="12.75" customHeight="1">
      <c r="E1595" s="7"/>
      <c r="F1595" s="7"/>
      <c r="G1595" s="7"/>
      <c r="H1595" s="7"/>
      <c r="I1595" s="7"/>
    </row>
    <row r="1596" spans="5:9" ht="12.75" customHeight="1">
      <c r="E1596" s="7"/>
      <c r="F1596" s="7"/>
      <c r="G1596" s="7"/>
      <c r="H1596" s="7"/>
      <c r="I1596" s="7"/>
    </row>
    <row r="1597" spans="5:9" ht="12.75" customHeight="1">
      <c r="E1597" s="7"/>
      <c r="F1597" s="7"/>
      <c r="G1597" s="7"/>
      <c r="H1597" s="7"/>
      <c r="I1597" s="7"/>
    </row>
    <row r="1598" spans="5:9" ht="12.75" customHeight="1">
      <c r="E1598" s="7"/>
      <c r="F1598" s="7"/>
      <c r="G1598" s="7"/>
      <c r="H1598" s="7"/>
      <c r="I1598" s="7"/>
    </row>
    <row r="1599" spans="5:9" ht="12.75" customHeight="1">
      <c r="E1599" s="7"/>
      <c r="F1599" s="7"/>
      <c r="G1599" s="7"/>
      <c r="H1599" s="7"/>
      <c r="I1599" s="7"/>
    </row>
    <row r="1600" spans="5:9" ht="12.75" customHeight="1">
      <c r="E1600" s="7"/>
      <c r="F1600" s="7"/>
      <c r="G1600" s="7"/>
      <c r="H1600" s="7"/>
      <c r="I1600" s="7"/>
    </row>
    <row r="1601" spans="5:9" ht="12.75" customHeight="1">
      <c r="E1601" s="7"/>
      <c r="F1601" s="7"/>
      <c r="G1601" s="7"/>
      <c r="H1601" s="7"/>
      <c r="I1601" s="7"/>
    </row>
    <row r="1602" spans="5:9" ht="12.75" customHeight="1">
      <c r="E1602" s="7"/>
      <c r="F1602" s="7"/>
      <c r="G1602" s="7"/>
      <c r="H1602" s="7"/>
      <c r="I1602" s="7"/>
    </row>
    <row r="1603" spans="5:9" ht="12.75" customHeight="1">
      <c r="E1603" s="7"/>
      <c r="F1603" s="7"/>
      <c r="G1603" s="7"/>
      <c r="H1603" s="7"/>
      <c r="I1603" s="7"/>
    </row>
    <row r="1604" spans="5:9" ht="12.75" customHeight="1">
      <c r="E1604" s="7"/>
      <c r="F1604" s="7"/>
      <c r="G1604" s="7"/>
      <c r="H1604" s="7"/>
      <c r="I1604" s="7"/>
    </row>
    <row r="1605" spans="5:9" ht="12.75" customHeight="1">
      <c r="E1605" s="7"/>
      <c r="F1605" s="7"/>
      <c r="G1605" s="7"/>
      <c r="H1605" s="7"/>
      <c r="I1605" s="7"/>
    </row>
    <row r="1606" spans="5:9" ht="12.75" customHeight="1">
      <c r="E1606" s="7"/>
      <c r="F1606" s="7"/>
      <c r="G1606" s="7"/>
      <c r="H1606" s="7"/>
      <c r="I1606" s="7"/>
    </row>
    <row r="1607" spans="5:9" ht="12.75" customHeight="1">
      <c r="E1607" s="7"/>
      <c r="F1607" s="7"/>
      <c r="G1607" s="7"/>
      <c r="H1607" s="7"/>
      <c r="I1607" s="7"/>
    </row>
    <row r="1608" spans="5:9" ht="12.75" customHeight="1">
      <c r="E1608" s="7"/>
      <c r="F1608" s="7"/>
      <c r="G1608" s="7"/>
      <c r="H1608" s="7"/>
      <c r="I1608" s="7"/>
    </row>
    <row r="1609" spans="5:9" ht="12.75" customHeight="1">
      <c r="E1609" s="7"/>
      <c r="F1609" s="7"/>
      <c r="G1609" s="7"/>
      <c r="H1609" s="7"/>
      <c r="I1609" s="7"/>
    </row>
    <row r="1610" spans="5:9" ht="12.75" customHeight="1">
      <c r="E1610" s="7"/>
      <c r="F1610" s="7"/>
      <c r="G1610" s="7"/>
      <c r="H1610" s="7"/>
      <c r="I1610" s="7"/>
    </row>
    <row r="1611" spans="5:9" ht="12.75" customHeight="1">
      <c r="E1611" s="7"/>
      <c r="F1611" s="7"/>
      <c r="G1611" s="7"/>
      <c r="H1611" s="7"/>
      <c r="I1611" s="7"/>
    </row>
    <row r="1612" spans="5:9" ht="12.75" customHeight="1">
      <c r="E1612" s="7"/>
      <c r="F1612" s="7"/>
      <c r="G1612" s="7"/>
      <c r="H1612" s="7"/>
      <c r="I1612" s="7"/>
    </row>
    <row r="1613" spans="5:9" ht="12.75" customHeight="1">
      <c r="E1613" s="7"/>
      <c r="F1613" s="7"/>
      <c r="G1613" s="7"/>
      <c r="H1613" s="7"/>
      <c r="I1613" s="7"/>
    </row>
    <row r="1614" spans="5:9" ht="12.75" customHeight="1">
      <c r="E1614" s="7"/>
      <c r="F1614" s="7"/>
      <c r="G1614" s="7"/>
      <c r="H1614" s="7"/>
      <c r="I1614" s="7"/>
    </row>
    <row r="1615" spans="5:9" ht="12.75" customHeight="1">
      <c r="E1615" s="7"/>
      <c r="F1615" s="7"/>
      <c r="G1615" s="7"/>
      <c r="H1615" s="7"/>
      <c r="I1615" s="7"/>
    </row>
    <row r="1616" spans="5:9" ht="12.75" customHeight="1">
      <c r="E1616" s="7"/>
      <c r="F1616" s="7"/>
      <c r="G1616" s="7"/>
      <c r="H1616" s="7"/>
      <c r="I1616" s="7"/>
    </row>
    <row r="1617" spans="5:9" ht="12.75" customHeight="1">
      <c r="E1617" s="7"/>
      <c r="F1617" s="7"/>
      <c r="G1617" s="7"/>
      <c r="H1617" s="7"/>
      <c r="I1617" s="7"/>
    </row>
    <row r="1618" spans="5:9" ht="12.75" customHeight="1">
      <c r="E1618" s="7"/>
      <c r="F1618" s="7"/>
      <c r="G1618" s="7"/>
      <c r="H1618" s="7"/>
      <c r="I1618" s="7"/>
    </row>
    <row r="1619" spans="5:9" ht="12.75" customHeight="1">
      <c r="E1619" s="7"/>
      <c r="F1619" s="7"/>
      <c r="G1619" s="7"/>
      <c r="H1619" s="7"/>
      <c r="I1619" s="7"/>
    </row>
    <row r="1620" spans="5:9" ht="12.75" customHeight="1">
      <c r="E1620" s="7"/>
      <c r="F1620" s="7"/>
      <c r="G1620" s="7"/>
      <c r="H1620" s="7"/>
      <c r="I1620" s="7"/>
    </row>
    <row r="1621" spans="5:9" ht="12.75" customHeight="1">
      <c r="E1621" s="7"/>
      <c r="F1621" s="7"/>
      <c r="G1621" s="7"/>
      <c r="H1621" s="7"/>
      <c r="I1621" s="7"/>
    </row>
    <row r="1622" spans="5:9" ht="12.75" customHeight="1">
      <c r="E1622" s="7"/>
      <c r="F1622" s="7"/>
      <c r="G1622" s="7"/>
      <c r="H1622" s="7"/>
      <c r="I1622" s="7"/>
    </row>
    <row r="1623" spans="5:9" ht="12.75" customHeight="1">
      <c r="E1623" s="7"/>
      <c r="F1623" s="7"/>
      <c r="G1623" s="7"/>
      <c r="H1623" s="7"/>
      <c r="I1623" s="7"/>
    </row>
    <row r="1624" spans="5:9" ht="12.75" customHeight="1">
      <c r="E1624" s="7"/>
      <c r="F1624" s="7"/>
      <c r="G1624" s="7"/>
      <c r="H1624" s="7"/>
      <c r="I1624" s="7"/>
    </row>
    <row r="1625" spans="5:9" ht="12.75" customHeight="1">
      <c r="E1625" s="7"/>
      <c r="F1625" s="7"/>
      <c r="G1625" s="7"/>
      <c r="H1625" s="7"/>
      <c r="I1625" s="7"/>
    </row>
    <row r="1626" spans="5:9" ht="12.75" customHeight="1">
      <c r="E1626" s="7"/>
      <c r="F1626" s="7"/>
      <c r="G1626" s="7"/>
      <c r="H1626" s="7"/>
      <c r="I1626" s="7"/>
    </row>
    <row r="1627" spans="5:9" ht="12.75" customHeight="1">
      <c r="E1627" s="7"/>
      <c r="F1627" s="7"/>
      <c r="G1627" s="7"/>
      <c r="H1627" s="7"/>
      <c r="I1627" s="7"/>
    </row>
    <row r="1628" spans="5:9" ht="12.75" customHeight="1">
      <c r="E1628" s="7"/>
      <c r="F1628" s="7"/>
      <c r="G1628" s="7"/>
      <c r="H1628" s="7"/>
      <c r="I1628" s="7"/>
    </row>
    <row r="1629" spans="5:9" ht="12.75" customHeight="1">
      <c r="E1629" s="7"/>
      <c r="F1629" s="7"/>
      <c r="G1629" s="7"/>
      <c r="H1629" s="7"/>
      <c r="I1629" s="7"/>
    </row>
    <row r="1630" spans="5:9" ht="12.75" customHeight="1">
      <c r="E1630" s="7"/>
      <c r="F1630" s="7"/>
      <c r="G1630" s="7"/>
      <c r="H1630" s="7"/>
      <c r="I1630" s="7"/>
    </row>
    <row r="1631" spans="5:9" ht="12.75" customHeight="1">
      <c r="E1631" s="7"/>
      <c r="F1631" s="7"/>
      <c r="G1631" s="7"/>
      <c r="H1631" s="7"/>
      <c r="I1631" s="7"/>
    </row>
    <row r="1632" spans="5:9" ht="12.75" customHeight="1">
      <c r="E1632" s="7"/>
      <c r="F1632" s="7"/>
      <c r="G1632" s="7"/>
      <c r="H1632" s="7"/>
      <c r="I1632" s="7"/>
    </row>
    <row r="1633" spans="5:9" ht="12.75" customHeight="1">
      <c r="E1633" s="7"/>
      <c r="F1633" s="7"/>
      <c r="G1633" s="7"/>
      <c r="H1633" s="7"/>
      <c r="I1633" s="7"/>
    </row>
    <row r="1634" spans="5:9" ht="12.75" customHeight="1">
      <c r="E1634" s="7"/>
      <c r="F1634" s="7"/>
      <c r="G1634" s="7"/>
      <c r="H1634" s="7"/>
      <c r="I1634" s="7"/>
    </row>
    <row r="1635" spans="5:9" ht="12.75" customHeight="1">
      <c r="E1635" s="7"/>
      <c r="F1635" s="7"/>
      <c r="G1635" s="7"/>
      <c r="H1635" s="7"/>
      <c r="I1635" s="7"/>
    </row>
    <row r="1636" spans="5:9" ht="12.75" customHeight="1">
      <c r="E1636" s="7"/>
      <c r="F1636" s="7"/>
      <c r="G1636" s="7"/>
      <c r="H1636" s="7"/>
      <c r="I1636" s="7"/>
    </row>
    <row r="1637" spans="5:9" ht="12.75" customHeight="1">
      <c r="E1637" s="7"/>
      <c r="F1637" s="7"/>
      <c r="G1637" s="7"/>
      <c r="H1637" s="7"/>
      <c r="I1637" s="7"/>
    </row>
    <row r="1638" spans="5:9" ht="12.75" customHeight="1">
      <c r="E1638" s="7"/>
      <c r="F1638" s="7"/>
      <c r="G1638" s="7"/>
      <c r="H1638" s="7"/>
      <c r="I1638" s="7"/>
    </row>
    <row r="1639" spans="5:9" ht="12.75" customHeight="1">
      <c r="E1639" s="7"/>
      <c r="F1639" s="7"/>
      <c r="G1639" s="7"/>
      <c r="H1639" s="7"/>
      <c r="I1639" s="7"/>
    </row>
    <row r="1640" spans="5:9" ht="12.75" customHeight="1">
      <c r="E1640" s="7"/>
      <c r="F1640" s="7"/>
      <c r="G1640" s="7"/>
      <c r="H1640" s="7"/>
      <c r="I1640" s="7"/>
    </row>
    <row r="1641" spans="5:9" ht="12.75" customHeight="1">
      <c r="E1641" s="7"/>
      <c r="F1641" s="7"/>
      <c r="G1641" s="7"/>
      <c r="H1641" s="7"/>
      <c r="I1641" s="7"/>
    </row>
    <row r="1642" spans="5:9" ht="12.75" customHeight="1">
      <c r="E1642" s="7"/>
      <c r="F1642" s="7"/>
      <c r="G1642" s="7"/>
      <c r="H1642" s="7"/>
      <c r="I1642" s="7"/>
    </row>
    <row r="1643" spans="5:9" ht="12.75" customHeight="1">
      <c r="E1643" s="7"/>
      <c r="F1643" s="7"/>
      <c r="G1643" s="7"/>
      <c r="H1643" s="7"/>
      <c r="I1643" s="7"/>
    </row>
    <row r="1644" spans="5:9" ht="12.75" customHeight="1">
      <c r="E1644" s="7"/>
      <c r="F1644" s="7"/>
      <c r="G1644" s="7"/>
      <c r="H1644" s="7"/>
      <c r="I1644" s="7"/>
    </row>
    <row r="1645" spans="5:9" ht="12.75" customHeight="1">
      <c r="E1645" s="7"/>
      <c r="F1645" s="7"/>
      <c r="G1645" s="7"/>
      <c r="H1645" s="7"/>
      <c r="I1645" s="7"/>
    </row>
    <row r="1646" spans="5:9" ht="12.75" customHeight="1">
      <c r="E1646" s="7"/>
      <c r="F1646" s="7"/>
      <c r="G1646" s="7"/>
      <c r="H1646" s="7"/>
      <c r="I1646" s="7"/>
    </row>
    <row r="1647" spans="5:9" ht="12.75" customHeight="1">
      <c r="E1647" s="7"/>
      <c r="F1647" s="7"/>
      <c r="G1647" s="7"/>
      <c r="H1647" s="7"/>
      <c r="I1647" s="7"/>
    </row>
    <row r="1648" spans="5:9" ht="12.75" customHeight="1">
      <c r="E1648" s="7"/>
      <c r="F1648" s="7"/>
      <c r="G1648" s="7"/>
      <c r="H1648" s="7"/>
      <c r="I1648" s="7"/>
    </row>
    <row r="1649" spans="5:9" ht="12.75" customHeight="1">
      <c r="E1649" s="7"/>
      <c r="F1649" s="7"/>
      <c r="G1649" s="7"/>
      <c r="H1649" s="7"/>
      <c r="I1649" s="7"/>
    </row>
    <row r="1650" spans="5:9" ht="12.75" customHeight="1">
      <c r="E1650" s="7"/>
      <c r="F1650" s="7"/>
      <c r="G1650" s="7"/>
      <c r="H1650" s="7"/>
      <c r="I1650" s="7"/>
    </row>
    <row r="1651" spans="5:9" ht="12.75" customHeight="1">
      <c r="E1651" s="7"/>
      <c r="F1651" s="7"/>
      <c r="G1651" s="7"/>
      <c r="H1651" s="7"/>
      <c r="I1651" s="7"/>
    </row>
    <row r="1652" spans="5:9" ht="12.75" customHeight="1">
      <c r="E1652" s="7"/>
      <c r="F1652" s="7"/>
      <c r="G1652" s="7"/>
      <c r="H1652" s="7"/>
      <c r="I1652" s="7"/>
    </row>
    <row r="1653" spans="5:9" ht="12.75" customHeight="1">
      <c r="E1653" s="7"/>
      <c r="F1653" s="7"/>
      <c r="G1653" s="7"/>
      <c r="H1653" s="7"/>
      <c r="I1653" s="7"/>
    </row>
    <row r="1654" spans="5:9" ht="12.75" customHeight="1">
      <c r="E1654" s="7"/>
      <c r="F1654" s="7"/>
      <c r="G1654" s="7"/>
      <c r="H1654" s="7"/>
      <c r="I1654" s="7"/>
    </row>
    <row r="1655" spans="5:9" ht="12.75" customHeight="1">
      <c r="E1655" s="7"/>
      <c r="F1655" s="7"/>
      <c r="G1655" s="7"/>
      <c r="H1655" s="7"/>
      <c r="I1655" s="7"/>
    </row>
    <row r="1656" spans="5:9" ht="12.75" customHeight="1">
      <c r="E1656" s="7"/>
      <c r="F1656" s="7"/>
      <c r="G1656" s="7"/>
      <c r="H1656" s="7"/>
      <c r="I1656" s="7"/>
    </row>
    <row r="1657" spans="5:9" ht="12.75" customHeight="1">
      <c r="E1657" s="7"/>
      <c r="F1657" s="7"/>
      <c r="G1657" s="7"/>
      <c r="H1657" s="7"/>
      <c r="I1657" s="7"/>
    </row>
    <row r="1658" spans="5:9" ht="12.75" customHeight="1">
      <c r="E1658" s="7"/>
      <c r="F1658" s="7"/>
      <c r="G1658" s="7"/>
      <c r="H1658" s="7"/>
      <c r="I1658" s="7"/>
    </row>
    <row r="1659" spans="5:9" ht="12.75" customHeight="1">
      <c r="E1659" s="7"/>
      <c r="F1659" s="7"/>
      <c r="G1659" s="7"/>
      <c r="H1659" s="7"/>
      <c r="I1659" s="7"/>
    </row>
    <row r="1660" spans="5:9" ht="12.75" customHeight="1">
      <c r="E1660" s="7"/>
      <c r="F1660" s="7"/>
      <c r="G1660" s="7"/>
      <c r="H1660" s="7"/>
      <c r="I1660" s="7"/>
    </row>
    <row r="1661" spans="5:9" ht="12.75" customHeight="1">
      <c r="E1661" s="7"/>
      <c r="F1661" s="7"/>
      <c r="G1661" s="7"/>
      <c r="H1661" s="7"/>
      <c r="I1661" s="7"/>
    </row>
    <row r="1662" spans="5:9" ht="12.75" customHeight="1">
      <c r="E1662" s="7"/>
      <c r="F1662" s="7"/>
      <c r="G1662" s="7"/>
      <c r="H1662" s="7"/>
      <c r="I1662" s="7"/>
    </row>
    <row r="1663" spans="5:9" ht="12.75" customHeight="1">
      <c r="E1663" s="7"/>
      <c r="F1663" s="7"/>
      <c r="G1663" s="7"/>
      <c r="H1663" s="7"/>
      <c r="I1663" s="7"/>
    </row>
    <row r="1664" spans="5:9" ht="12.75" customHeight="1">
      <c r="E1664" s="7"/>
      <c r="F1664" s="7"/>
      <c r="G1664" s="7"/>
      <c r="H1664" s="7"/>
      <c r="I1664" s="7"/>
    </row>
    <row r="1665" spans="5:9" ht="12.75" customHeight="1">
      <c r="E1665" s="7"/>
      <c r="F1665" s="7"/>
      <c r="G1665" s="7"/>
      <c r="H1665" s="7"/>
      <c r="I1665" s="7"/>
    </row>
    <row r="1666" spans="5:9" ht="12.75" customHeight="1">
      <c r="E1666" s="7"/>
      <c r="F1666" s="7"/>
      <c r="G1666" s="7"/>
      <c r="H1666" s="7"/>
      <c r="I1666" s="7"/>
    </row>
    <row r="1667" spans="5:9" ht="12.75" customHeight="1">
      <c r="E1667" s="7"/>
      <c r="F1667" s="7"/>
      <c r="G1667" s="7"/>
      <c r="H1667" s="7"/>
      <c r="I1667" s="7"/>
    </row>
    <row r="1668" spans="5:9" ht="12.75" customHeight="1">
      <c r="E1668" s="7"/>
      <c r="F1668" s="7"/>
      <c r="G1668" s="7"/>
      <c r="H1668" s="7"/>
      <c r="I1668" s="7"/>
    </row>
    <row r="1669" spans="5:9" ht="12.75" customHeight="1">
      <c r="E1669" s="7"/>
      <c r="F1669" s="7"/>
      <c r="G1669" s="7"/>
      <c r="H1669" s="7"/>
      <c r="I1669" s="7"/>
    </row>
    <row r="1670" spans="5:9" ht="12.75" customHeight="1">
      <c r="E1670" s="7"/>
      <c r="F1670" s="7"/>
      <c r="G1670" s="7"/>
      <c r="H1670" s="7"/>
      <c r="I1670" s="7"/>
    </row>
    <row r="1671" spans="5:9" ht="12.75" customHeight="1">
      <c r="E1671" s="7"/>
      <c r="F1671" s="7"/>
      <c r="G1671" s="7"/>
      <c r="H1671" s="7"/>
      <c r="I1671" s="7"/>
    </row>
    <row r="1672" spans="5:9" ht="12.75" customHeight="1">
      <c r="E1672" s="7"/>
      <c r="F1672" s="7"/>
      <c r="G1672" s="7"/>
      <c r="H1672" s="7"/>
      <c r="I1672" s="7"/>
    </row>
    <row r="1673" spans="5:9" ht="12.75" customHeight="1">
      <c r="E1673" s="7"/>
      <c r="F1673" s="7"/>
      <c r="G1673" s="7"/>
      <c r="H1673" s="7"/>
      <c r="I1673" s="7"/>
    </row>
    <row r="1674" spans="5:9" ht="12.75" customHeight="1">
      <c r="E1674" s="7"/>
      <c r="F1674" s="7"/>
      <c r="G1674" s="7"/>
      <c r="H1674" s="7"/>
      <c r="I1674" s="7"/>
    </row>
    <row r="1675" spans="5:9" ht="12.75" customHeight="1">
      <c r="E1675" s="7"/>
      <c r="F1675" s="7"/>
      <c r="G1675" s="7"/>
      <c r="H1675" s="7"/>
      <c r="I1675" s="7"/>
    </row>
    <row r="1676" spans="5:9" ht="12.75" customHeight="1">
      <c r="E1676" s="7"/>
      <c r="F1676" s="7"/>
      <c r="G1676" s="7"/>
      <c r="H1676" s="7"/>
      <c r="I1676" s="7"/>
    </row>
    <row r="1677" spans="5:9" ht="12.75" customHeight="1">
      <c r="E1677" s="7"/>
      <c r="F1677" s="7"/>
      <c r="G1677" s="7"/>
      <c r="H1677" s="7"/>
      <c r="I1677" s="7"/>
    </row>
    <row r="1678" spans="5:9" ht="12.75" customHeight="1">
      <c r="E1678" s="7"/>
      <c r="F1678" s="7"/>
      <c r="G1678" s="7"/>
      <c r="H1678" s="7"/>
      <c r="I1678" s="7"/>
    </row>
    <row r="1679" spans="5:9" ht="12.75" customHeight="1">
      <c r="E1679" s="7"/>
      <c r="F1679" s="7"/>
      <c r="G1679" s="7"/>
      <c r="H1679" s="7"/>
      <c r="I1679" s="7"/>
    </row>
    <row r="1680" spans="5:9" ht="12.75" customHeight="1">
      <c r="E1680" s="7"/>
      <c r="F1680" s="7"/>
      <c r="G1680" s="7"/>
      <c r="H1680" s="7"/>
      <c r="I1680" s="7"/>
    </row>
    <row r="1681" spans="5:9" ht="12.75" customHeight="1">
      <c r="E1681" s="7"/>
      <c r="F1681" s="7"/>
      <c r="G1681" s="7"/>
      <c r="H1681" s="7"/>
      <c r="I1681" s="7"/>
    </row>
    <row r="1682" spans="5:9" ht="12.75" customHeight="1">
      <c r="E1682" s="7"/>
      <c r="F1682" s="7"/>
      <c r="G1682" s="7"/>
      <c r="H1682" s="7"/>
      <c r="I1682" s="7"/>
    </row>
    <row r="1683" spans="5:9" ht="12.75" customHeight="1">
      <c r="E1683" s="7"/>
      <c r="F1683" s="7"/>
      <c r="G1683" s="7"/>
      <c r="H1683" s="7"/>
      <c r="I1683" s="7"/>
    </row>
    <row r="1684" spans="5:9" ht="12.75" customHeight="1">
      <c r="E1684" s="7"/>
      <c r="F1684" s="7"/>
      <c r="G1684" s="7"/>
      <c r="H1684" s="7"/>
      <c r="I1684" s="7"/>
    </row>
    <row r="1685" spans="5:9" ht="12.75" customHeight="1">
      <c r="E1685" s="7"/>
      <c r="F1685" s="7"/>
      <c r="G1685" s="7"/>
      <c r="H1685" s="7"/>
      <c r="I1685" s="7"/>
    </row>
    <row r="1686" spans="5:9" ht="12.75" customHeight="1">
      <c r="E1686" s="7"/>
      <c r="F1686" s="7"/>
      <c r="G1686" s="7"/>
      <c r="H1686" s="7"/>
      <c r="I1686" s="7"/>
    </row>
    <row r="1687" spans="5:9" ht="12.75" customHeight="1">
      <c r="E1687" s="7"/>
      <c r="F1687" s="7"/>
      <c r="G1687" s="7"/>
      <c r="H1687" s="7"/>
      <c r="I1687" s="7"/>
    </row>
    <row r="1688" spans="5:9" ht="12.75" customHeight="1">
      <c r="E1688" s="7"/>
      <c r="F1688" s="7"/>
      <c r="G1688" s="7"/>
      <c r="H1688" s="7"/>
      <c r="I1688" s="7"/>
    </row>
    <row r="1689" spans="5:9" ht="12.75" customHeight="1">
      <c r="E1689" s="7"/>
      <c r="F1689" s="7"/>
      <c r="G1689" s="7"/>
      <c r="H1689" s="7"/>
      <c r="I1689" s="7"/>
    </row>
    <row r="1690" spans="5:9" ht="12.75" customHeight="1">
      <c r="E1690" s="7"/>
      <c r="F1690" s="7"/>
      <c r="G1690" s="7"/>
      <c r="H1690" s="7"/>
      <c r="I1690" s="7"/>
    </row>
    <row r="1691" spans="5:9" ht="12.75" customHeight="1">
      <c r="E1691" s="7"/>
      <c r="F1691" s="7"/>
      <c r="G1691" s="7"/>
      <c r="H1691" s="7"/>
      <c r="I1691" s="7"/>
    </row>
    <row r="1692" spans="5:9" ht="12.75" customHeight="1">
      <c r="E1692" s="7"/>
      <c r="F1692" s="7"/>
      <c r="G1692" s="7"/>
      <c r="H1692" s="7"/>
      <c r="I1692" s="7"/>
    </row>
    <row r="1693" spans="5:9" ht="12.75" customHeight="1">
      <c r="E1693" s="7"/>
      <c r="F1693" s="7"/>
      <c r="G1693" s="7"/>
      <c r="H1693" s="7"/>
      <c r="I1693" s="7"/>
    </row>
    <row r="1694" spans="5:9" ht="12.75" customHeight="1">
      <c r="E1694" s="7"/>
      <c r="F1694" s="7"/>
      <c r="G1694" s="7"/>
      <c r="H1694" s="7"/>
      <c r="I1694" s="7"/>
    </row>
    <row r="1695" spans="5:9" ht="12.75" customHeight="1">
      <c r="E1695" s="7"/>
      <c r="F1695" s="7"/>
      <c r="G1695" s="7"/>
      <c r="H1695" s="7"/>
      <c r="I1695" s="7"/>
    </row>
    <row r="1696" spans="5:9" ht="12.75" customHeight="1">
      <c r="E1696" s="7"/>
      <c r="F1696" s="7"/>
      <c r="G1696" s="7"/>
      <c r="H1696" s="7"/>
      <c r="I1696" s="7"/>
    </row>
    <row r="1697" spans="5:9" ht="12.75" customHeight="1">
      <c r="E1697" s="7"/>
      <c r="F1697" s="7"/>
      <c r="G1697" s="7"/>
      <c r="H1697" s="7"/>
      <c r="I1697" s="7"/>
    </row>
    <row r="1698" spans="5:9" ht="12.75" customHeight="1">
      <c r="E1698" s="7"/>
      <c r="F1698" s="7"/>
      <c r="G1698" s="7"/>
      <c r="H1698" s="7"/>
      <c r="I1698" s="7"/>
    </row>
    <row r="1699" spans="5:9" ht="12.75" customHeight="1">
      <c r="E1699" s="7"/>
      <c r="F1699" s="7"/>
      <c r="G1699" s="7"/>
      <c r="H1699" s="7"/>
      <c r="I1699" s="7"/>
    </row>
    <row r="1700" spans="5:9" ht="12.75" customHeight="1">
      <c r="E1700" s="7"/>
      <c r="F1700" s="7"/>
      <c r="G1700" s="7"/>
      <c r="H1700" s="7"/>
      <c r="I1700" s="7"/>
    </row>
    <row r="1701" spans="5:9" ht="12.75" customHeight="1">
      <c r="E1701" s="7"/>
      <c r="F1701" s="7"/>
      <c r="G1701" s="7"/>
      <c r="H1701" s="7"/>
      <c r="I1701" s="7"/>
    </row>
    <row r="1702" spans="5:9" ht="12.75" customHeight="1">
      <c r="E1702" s="7"/>
      <c r="F1702" s="7"/>
      <c r="G1702" s="7"/>
      <c r="H1702" s="7"/>
      <c r="I1702" s="7"/>
    </row>
    <row r="1703" spans="5:9" ht="12.75" customHeight="1">
      <c r="E1703" s="7"/>
      <c r="F1703" s="7"/>
      <c r="G1703" s="7"/>
      <c r="H1703" s="7"/>
      <c r="I1703" s="7"/>
    </row>
    <row r="1704" spans="5:9" ht="12.75" customHeight="1">
      <c r="E1704" s="7"/>
      <c r="F1704" s="7"/>
      <c r="G1704" s="7"/>
      <c r="H1704" s="7"/>
      <c r="I1704" s="7"/>
    </row>
    <row r="1705" spans="5:9" ht="12.75" customHeight="1">
      <c r="E1705" s="7"/>
      <c r="F1705" s="7"/>
      <c r="G1705" s="7"/>
      <c r="H1705" s="7"/>
      <c r="I1705" s="7"/>
    </row>
    <row r="1706" spans="5:9" ht="12.75" customHeight="1">
      <c r="E1706" s="7"/>
      <c r="F1706" s="7"/>
      <c r="G1706" s="7"/>
      <c r="H1706" s="7"/>
      <c r="I1706" s="7"/>
    </row>
    <row r="1707" spans="5:9" ht="12.75" customHeight="1">
      <c r="E1707" s="7"/>
      <c r="F1707" s="7"/>
      <c r="G1707" s="7"/>
      <c r="H1707" s="7"/>
      <c r="I1707" s="7"/>
    </row>
    <row r="1708" spans="5:9" ht="12.75" customHeight="1">
      <c r="E1708" s="7"/>
      <c r="F1708" s="7"/>
      <c r="G1708" s="7"/>
      <c r="H1708" s="7"/>
      <c r="I1708" s="7"/>
    </row>
    <row r="1709" spans="5:9" ht="12.75" customHeight="1">
      <c r="E1709" s="7"/>
      <c r="F1709" s="7"/>
      <c r="G1709" s="7"/>
      <c r="H1709" s="7"/>
      <c r="I1709" s="7"/>
    </row>
    <row r="1710" spans="5:9" ht="12.75" customHeight="1">
      <c r="E1710" s="7"/>
      <c r="F1710" s="7"/>
      <c r="G1710" s="7"/>
      <c r="H1710" s="7"/>
      <c r="I1710" s="7"/>
    </row>
    <row r="1711" spans="5:9" ht="12.75" customHeight="1">
      <c r="E1711" s="7"/>
      <c r="F1711" s="7"/>
      <c r="G1711" s="7"/>
      <c r="H1711" s="7"/>
      <c r="I1711" s="7"/>
    </row>
    <row r="1712" spans="5:9" ht="12.75" customHeight="1">
      <c r="E1712" s="7"/>
      <c r="F1712" s="7"/>
      <c r="G1712" s="7"/>
      <c r="H1712" s="7"/>
      <c r="I1712" s="7"/>
    </row>
    <row r="1713" spans="5:9" ht="12.75" customHeight="1">
      <c r="E1713" s="7"/>
      <c r="F1713" s="7"/>
      <c r="G1713" s="7"/>
      <c r="H1713" s="7"/>
      <c r="I1713" s="7"/>
    </row>
    <row r="1714" spans="5:9" ht="12.75" customHeight="1">
      <c r="E1714" s="7"/>
      <c r="F1714" s="7"/>
      <c r="G1714" s="7"/>
      <c r="H1714" s="7"/>
      <c r="I1714" s="7"/>
    </row>
    <row r="1715" spans="5:9" ht="12.75" customHeight="1">
      <c r="E1715" s="7"/>
      <c r="F1715" s="7"/>
      <c r="G1715" s="7"/>
      <c r="H1715" s="7"/>
      <c r="I1715" s="7"/>
    </row>
    <row r="1716" spans="5:9" ht="12.75" customHeight="1">
      <c r="E1716" s="7"/>
      <c r="F1716" s="7"/>
      <c r="G1716" s="7"/>
      <c r="H1716" s="7"/>
      <c r="I1716" s="7"/>
    </row>
    <row r="1717" spans="5:9" ht="12.75" customHeight="1">
      <c r="E1717" s="7"/>
      <c r="F1717" s="7"/>
      <c r="G1717" s="7"/>
      <c r="H1717" s="7"/>
      <c r="I1717" s="7"/>
    </row>
    <row r="1718" spans="5:9" ht="12.75" customHeight="1">
      <c r="E1718" s="7"/>
      <c r="F1718" s="7"/>
      <c r="G1718" s="7"/>
      <c r="H1718" s="7"/>
      <c r="I1718" s="7"/>
    </row>
    <row r="1719" spans="5:9" ht="12.75" customHeight="1">
      <c r="E1719" s="7"/>
      <c r="F1719" s="7"/>
      <c r="G1719" s="7"/>
      <c r="H1719" s="7"/>
      <c r="I1719" s="7"/>
    </row>
    <row r="1720" spans="5:9" ht="12.75" customHeight="1">
      <c r="E1720" s="7"/>
      <c r="F1720" s="7"/>
      <c r="G1720" s="7"/>
      <c r="H1720" s="7"/>
      <c r="I1720" s="7"/>
    </row>
    <row r="1721" spans="5:9" ht="12.75" customHeight="1">
      <c r="E1721" s="7"/>
      <c r="F1721" s="7"/>
      <c r="G1721" s="7"/>
      <c r="H1721" s="7"/>
      <c r="I1721" s="7"/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C26"/>
  <sheetViews>
    <sheetView zoomScaleNormal="100" workbookViewId="0">
      <selection activeCell="T29" sqref="T29"/>
    </sheetView>
  </sheetViews>
  <sheetFormatPr defaultColWidth="9.140625" defaultRowHeight="12.95"/>
  <cols>
    <col min="1" max="1" width="13.140625" style="2" customWidth="1"/>
    <col min="2" max="2" width="11.7109375" style="2" customWidth="1"/>
    <col min="3" max="3" width="15.85546875" style="2" customWidth="1"/>
    <col min="4" max="16384" width="9.140625" style="2"/>
  </cols>
  <sheetData>
    <row r="3" spans="1:3" ht="13.5" customHeight="1">
      <c r="A3" s="38"/>
      <c r="B3" s="39" t="s">
        <v>0</v>
      </c>
      <c r="C3" s="40"/>
    </row>
    <row r="4" spans="1:3" ht="13.5" customHeight="1">
      <c r="A4" s="41" t="s">
        <v>61</v>
      </c>
      <c r="B4" s="42" t="s">
        <v>69</v>
      </c>
      <c r="C4" s="43" t="s">
        <v>70</v>
      </c>
    </row>
    <row r="5" spans="1:3" ht="13.5" customHeight="1">
      <c r="A5" s="44" t="s">
        <v>68</v>
      </c>
      <c r="B5" s="45">
        <v>203</v>
      </c>
      <c r="C5" s="46">
        <v>203</v>
      </c>
    </row>
    <row r="6" spans="1:3" ht="13.5" customHeight="1">
      <c r="A6" s="47" t="s">
        <v>67</v>
      </c>
      <c r="B6" s="48">
        <v>161</v>
      </c>
      <c r="C6" s="49">
        <v>161</v>
      </c>
    </row>
    <row r="7" spans="1:3" ht="13.5" customHeight="1">
      <c r="A7" s="47" t="s">
        <v>66</v>
      </c>
      <c r="B7" s="48">
        <v>195</v>
      </c>
      <c r="C7" s="49">
        <v>195</v>
      </c>
    </row>
    <row r="8" spans="1:3" ht="13.5" customHeight="1">
      <c r="A8" s="47" t="s">
        <v>65</v>
      </c>
      <c r="B8" s="48">
        <v>89</v>
      </c>
      <c r="C8" s="49">
        <v>89</v>
      </c>
    </row>
    <row r="9" spans="1:3" ht="13.5" customHeight="1">
      <c r="A9" s="47" t="s">
        <v>64</v>
      </c>
      <c r="B9" s="48">
        <v>46</v>
      </c>
      <c r="C9" s="49">
        <v>46</v>
      </c>
    </row>
    <row r="10" spans="1:3" ht="13.5" customHeight="1">
      <c r="A10" s="47" t="s">
        <v>63</v>
      </c>
      <c r="B10" s="48">
        <v>13</v>
      </c>
      <c r="C10" s="49">
        <v>13</v>
      </c>
    </row>
    <row r="11" spans="1:3" ht="13.5" customHeight="1">
      <c r="A11" s="47" t="s">
        <v>62</v>
      </c>
      <c r="B11" s="50">
        <v>13</v>
      </c>
      <c r="C11" s="51">
        <v>13</v>
      </c>
    </row>
    <row r="12" spans="1:3" ht="13.5" customHeight="1">
      <c r="A12" s="52" t="s">
        <v>71</v>
      </c>
      <c r="B12" s="53">
        <v>720</v>
      </c>
      <c r="C12" s="54">
        <v>720</v>
      </c>
    </row>
    <row r="13" spans="1:3" ht="13.5" customHeight="1">
      <c r="A13"/>
      <c r="B13"/>
    </row>
    <row r="14" spans="1:3" ht="13.5" customHeight="1">
      <c r="A14"/>
      <c r="B14"/>
    </row>
    <row r="15" spans="1:3" ht="13.5" customHeight="1">
      <c r="A15"/>
      <c r="B15"/>
    </row>
    <row r="16" spans="1:3" ht="13.5" customHeight="1">
      <c r="A16"/>
      <c r="B16"/>
    </row>
    <row r="17" spans="1:2" ht="13.5" customHeight="1">
      <c r="A17"/>
      <c r="B17"/>
    </row>
    <row r="18" spans="1:2" ht="13.5" customHeight="1">
      <c r="A18"/>
      <c r="B18"/>
    </row>
    <row r="19" spans="1:2" ht="13.5" customHeight="1">
      <c r="A19"/>
      <c r="B19"/>
    </row>
    <row r="20" spans="1:2" ht="13.5" customHeight="1">
      <c r="A20"/>
      <c r="B20"/>
    </row>
    <row r="21" spans="1:2" ht="13.5" customHeight="1">
      <c r="A21"/>
      <c r="B21"/>
    </row>
    <row r="22" spans="1:2" ht="13.5" customHeight="1">
      <c r="A22"/>
      <c r="B22"/>
    </row>
    <row r="23" spans="1:2" ht="13.5" customHeight="1">
      <c r="A23"/>
      <c r="B23"/>
    </row>
    <row r="24" spans="1:2" ht="13.5" customHeight="1">
      <c r="A24"/>
      <c r="B24"/>
    </row>
    <row r="25" spans="1:2" ht="13.5" customHeight="1">
      <c r="A25"/>
      <c r="B25"/>
    </row>
    <row r="26" spans="1:2" ht="13.5" customHeight="1">
      <c r="A26"/>
      <c r="B26"/>
    </row>
  </sheetData>
  <pageMargins left="0.7" right="0.7" top="0.75" bottom="0.75" header="0.511811023622047" footer="0.511811023622047"/>
  <pageSetup orientation="landscape" horizontalDpi="300" verticalDpi="30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301"/>
  <sheetViews>
    <sheetView topLeftCell="A253" zoomScale="85" zoomScaleNormal="85" workbookViewId="0">
      <selection activeCell="O11" sqref="O11"/>
    </sheetView>
  </sheetViews>
  <sheetFormatPr defaultColWidth="9.140625" defaultRowHeight="14.45"/>
  <cols>
    <col min="1" max="1" width="16.140625" style="55" customWidth="1"/>
    <col min="3" max="3" width="19" customWidth="1"/>
    <col min="4" max="4" width="20.28515625" customWidth="1"/>
    <col min="5" max="5" width="23.85546875" customWidth="1"/>
    <col min="6" max="9" width="11.5703125" customWidth="1"/>
    <col min="10" max="10" width="10.7109375" customWidth="1"/>
    <col min="17" max="19" width="11.7109375" customWidth="1"/>
  </cols>
  <sheetData>
    <row r="1" spans="1:19" ht="66" customHeight="1">
      <c r="A1" s="56" t="s">
        <v>0</v>
      </c>
      <c r="B1" s="57" t="s">
        <v>1</v>
      </c>
      <c r="C1" s="58" t="s">
        <v>2</v>
      </c>
      <c r="D1" s="58" t="s">
        <v>3</v>
      </c>
      <c r="E1" s="58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61</v>
      </c>
      <c r="N1" s="59"/>
      <c r="O1" s="59"/>
      <c r="P1" s="59"/>
      <c r="Q1" s="58"/>
      <c r="R1" s="58"/>
      <c r="S1" s="58"/>
    </row>
    <row r="2" spans="1:19" ht="15" customHeight="1">
      <c r="A2" s="55">
        <v>46201</v>
      </c>
      <c r="B2">
        <v>9</v>
      </c>
      <c r="C2" s="60">
        <v>-2.4931662345972501</v>
      </c>
      <c r="D2" s="60">
        <v>-1.4557500000000001</v>
      </c>
      <c r="E2" s="60">
        <v>-0.15494977199724899</v>
      </c>
      <c r="F2" s="60">
        <f t="shared" ref="F2:F65" si="0">ABS(C2)</f>
        <v>2.4931662345972501</v>
      </c>
      <c r="G2" s="60">
        <f t="shared" ref="G2:G65" si="1">ABS(D2)</f>
        <v>1.4557500000000001</v>
      </c>
      <c r="H2" s="60">
        <f t="shared" ref="H2:H65" si="2">ABS(G2-F2)</f>
        <v>1.03741623459725</v>
      </c>
      <c r="I2" s="61">
        <v>0.71263351165876598</v>
      </c>
      <c r="J2" t="s">
        <v>62</v>
      </c>
      <c r="Q2" s="62"/>
      <c r="R2" s="62"/>
      <c r="S2" s="62"/>
    </row>
    <row r="3" spans="1:19" ht="15" customHeight="1">
      <c r="A3" s="55">
        <v>46194</v>
      </c>
      <c r="B3">
        <v>17</v>
      </c>
      <c r="C3" s="60">
        <v>-3.6453123831224001</v>
      </c>
      <c r="D3" s="60">
        <v>-2.1758609999999998</v>
      </c>
      <c r="E3" s="60">
        <v>-0.961972015922399</v>
      </c>
      <c r="F3" s="60">
        <f t="shared" si="0"/>
        <v>3.6453123831224001</v>
      </c>
      <c r="G3" s="60">
        <f t="shared" si="1"/>
        <v>2.1758609999999998</v>
      </c>
      <c r="H3" s="60">
        <f t="shared" si="2"/>
        <v>1.4694513831224003</v>
      </c>
      <c r="I3" s="61">
        <v>0.67534248884574799</v>
      </c>
      <c r="J3" t="s">
        <v>62</v>
      </c>
      <c r="Q3" s="62"/>
      <c r="R3" s="62"/>
      <c r="S3" s="62"/>
    </row>
    <row r="4" spans="1:19" ht="15" customHeight="1">
      <c r="A4" s="55">
        <v>46203</v>
      </c>
      <c r="B4">
        <v>17</v>
      </c>
      <c r="C4" s="60">
        <v>-7.7917168150490799</v>
      </c>
      <c r="D4" s="60">
        <v>-4.6926909999999999</v>
      </c>
      <c r="E4" s="60">
        <v>-3.0683308410490802</v>
      </c>
      <c r="F4" s="60">
        <f t="shared" si="0"/>
        <v>7.7917168150490799</v>
      </c>
      <c r="G4" s="60">
        <f t="shared" si="1"/>
        <v>4.6926909999999999</v>
      </c>
      <c r="H4" s="60">
        <f t="shared" si="2"/>
        <v>3.0990258150490799</v>
      </c>
      <c r="I4" s="61">
        <v>0.66039417789261601</v>
      </c>
      <c r="J4" t="s">
        <v>62</v>
      </c>
      <c r="Q4" s="62"/>
      <c r="R4" s="62"/>
      <c r="S4" s="62"/>
    </row>
    <row r="5" spans="1:19" ht="15" customHeight="1">
      <c r="A5" s="55">
        <v>46197</v>
      </c>
      <c r="B5">
        <v>14</v>
      </c>
      <c r="C5" s="60">
        <v>-5.5930760024595401</v>
      </c>
      <c r="D5" s="60">
        <v>-3.3896329999999999</v>
      </c>
      <c r="E5" s="60">
        <v>-1.76757721845954</v>
      </c>
      <c r="F5" s="60">
        <f t="shared" si="0"/>
        <v>5.5930760024595401</v>
      </c>
      <c r="G5" s="60">
        <f t="shared" si="1"/>
        <v>3.3896329999999999</v>
      </c>
      <c r="H5" s="60">
        <f t="shared" si="2"/>
        <v>2.2034430024595402</v>
      </c>
      <c r="I5" s="61">
        <v>0.65005356109630297</v>
      </c>
      <c r="J5" t="s">
        <v>62</v>
      </c>
      <c r="Q5" s="62"/>
      <c r="R5" s="62"/>
      <c r="S5" s="62"/>
    </row>
    <row r="6" spans="1:19" ht="15" customHeight="1">
      <c r="A6" s="55">
        <v>46203</v>
      </c>
      <c r="B6">
        <v>16</v>
      </c>
      <c r="C6" s="60">
        <v>-6.8153428434401899</v>
      </c>
      <c r="D6" s="60">
        <v>-4.1886780000000003</v>
      </c>
      <c r="E6" s="60">
        <v>-2.42336126844019</v>
      </c>
      <c r="F6" s="60">
        <f t="shared" si="0"/>
        <v>6.8153428434401899</v>
      </c>
      <c r="G6" s="60">
        <f t="shared" si="1"/>
        <v>4.1886780000000003</v>
      </c>
      <c r="H6" s="60">
        <f t="shared" si="2"/>
        <v>2.6266648434401896</v>
      </c>
      <c r="I6" s="61">
        <v>0.62708683824352096</v>
      </c>
      <c r="J6" t="s">
        <v>62</v>
      </c>
      <c r="Q6" s="62"/>
      <c r="R6" s="62"/>
      <c r="S6" s="62"/>
    </row>
    <row r="7" spans="1:19" ht="15" customHeight="1">
      <c r="A7" s="55">
        <v>46203</v>
      </c>
      <c r="B7">
        <v>15</v>
      </c>
      <c r="C7" s="60">
        <v>-6.6662500680353398</v>
      </c>
      <c r="D7" s="60">
        <v>-4.2184400000000002</v>
      </c>
      <c r="E7" s="60">
        <v>-2.1171393670353398</v>
      </c>
      <c r="F7" s="60">
        <f t="shared" si="0"/>
        <v>6.6662500680353398</v>
      </c>
      <c r="G7" s="60">
        <f t="shared" si="1"/>
        <v>4.2184400000000002</v>
      </c>
      <c r="H7" s="60">
        <f t="shared" si="2"/>
        <v>2.4478100680353396</v>
      </c>
      <c r="I7" s="61">
        <v>0.58026428443579603</v>
      </c>
      <c r="J7" t="s">
        <v>62</v>
      </c>
      <c r="Q7" s="62"/>
      <c r="R7" s="62"/>
      <c r="S7" s="62"/>
    </row>
    <row r="8" spans="1:19" ht="15" customHeight="1">
      <c r="A8" s="55">
        <v>46195</v>
      </c>
      <c r="B8">
        <v>13</v>
      </c>
      <c r="C8" s="60">
        <v>-5.2899335585380296</v>
      </c>
      <c r="D8" s="60">
        <v>-3.356636</v>
      </c>
      <c r="E8" s="60">
        <v>-1.5987675025380299</v>
      </c>
      <c r="F8" s="60">
        <f t="shared" si="0"/>
        <v>5.2899335585380296</v>
      </c>
      <c r="G8" s="60">
        <f t="shared" si="1"/>
        <v>3.356636</v>
      </c>
      <c r="H8" s="60">
        <f t="shared" si="2"/>
        <v>1.9332975585380296</v>
      </c>
      <c r="I8" s="61">
        <v>0.57596282663298404</v>
      </c>
      <c r="J8" t="s">
        <v>62</v>
      </c>
      <c r="Q8" s="62"/>
      <c r="R8" s="62"/>
      <c r="S8" s="62"/>
    </row>
    <row r="9" spans="1:19" ht="15" customHeight="1">
      <c r="A9" s="55">
        <v>46195</v>
      </c>
      <c r="B9">
        <v>12</v>
      </c>
      <c r="C9" s="60">
        <v>-5.1463878075234097</v>
      </c>
      <c r="D9" s="60">
        <v>-3.2718790000000002</v>
      </c>
      <c r="E9" s="60">
        <v>-1.4410129845234101</v>
      </c>
      <c r="F9" s="60">
        <f t="shared" si="0"/>
        <v>5.1463878075234097</v>
      </c>
      <c r="G9" s="60">
        <f t="shared" si="1"/>
        <v>3.2718790000000002</v>
      </c>
      <c r="H9" s="60">
        <f t="shared" si="2"/>
        <v>1.8745088075234095</v>
      </c>
      <c r="I9" s="61">
        <v>0.57291507648156004</v>
      </c>
      <c r="J9" t="s">
        <v>62</v>
      </c>
      <c r="Q9" s="62"/>
      <c r="R9" s="62"/>
      <c r="S9" s="62"/>
    </row>
    <row r="10" spans="1:19" ht="15" customHeight="1">
      <c r="A10" s="55">
        <v>46194</v>
      </c>
      <c r="B10">
        <v>9</v>
      </c>
      <c r="C10" s="60">
        <v>-2.2497987317130499</v>
      </c>
      <c r="D10" s="60">
        <v>-1.4337519999999999</v>
      </c>
      <c r="E10" s="60">
        <v>0.115685804686951</v>
      </c>
      <c r="F10" s="60">
        <f t="shared" si="0"/>
        <v>2.2497987317130499</v>
      </c>
      <c r="G10" s="60">
        <f t="shared" si="1"/>
        <v>1.4337519999999999</v>
      </c>
      <c r="H10" s="60">
        <f t="shared" si="2"/>
        <v>0.81604673171304998</v>
      </c>
      <c r="I10" s="61">
        <v>0.56916867890196399</v>
      </c>
      <c r="J10" t="s">
        <v>62</v>
      </c>
      <c r="Q10" s="62"/>
      <c r="R10" s="62"/>
      <c r="S10" s="62"/>
    </row>
    <row r="11" spans="1:19" ht="15" customHeight="1">
      <c r="A11" s="55">
        <v>46177</v>
      </c>
      <c r="B11">
        <v>8</v>
      </c>
      <c r="C11" s="60">
        <v>-4.2691853589403301</v>
      </c>
      <c r="D11" s="60">
        <v>-2.799569</v>
      </c>
      <c r="E11" s="60">
        <v>-1.44185100094033</v>
      </c>
      <c r="F11" s="60">
        <f t="shared" si="0"/>
        <v>4.2691853589403301</v>
      </c>
      <c r="G11" s="60">
        <f t="shared" si="1"/>
        <v>2.799569</v>
      </c>
      <c r="H11" s="60">
        <f t="shared" si="2"/>
        <v>1.4696163589403302</v>
      </c>
      <c r="I11" s="61">
        <v>0.52494378918338103</v>
      </c>
      <c r="J11" t="s">
        <v>62</v>
      </c>
      <c r="Q11" s="62"/>
      <c r="R11" s="62"/>
      <c r="S11" s="62"/>
    </row>
    <row r="12" spans="1:19" ht="15" customHeight="1">
      <c r="A12" s="55">
        <v>46203</v>
      </c>
      <c r="B12">
        <v>14</v>
      </c>
      <c r="C12" s="60">
        <v>-6.3207941269044401</v>
      </c>
      <c r="D12" s="60">
        <v>-4.189972</v>
      </c>
      <c r="E12" s="60">
        <v>-1.8076398039044399</v>
      </c>
      <c r="F12" s="60">
        <f t="shared" si="0"/>
        <v>6.3207941269044401</v>
      </c>
      <c r="G12" s="60">
        <f t="shared" si="1"/>
        <v>4.189972</v>
      </c>
      <c r="H12" s="60">
        <f t="shared" si="2"/>
        <v>2.1308221269044401</v>
      </c>
      <c r="I12" s="61">
        <v>0.50855283207249102</v>
      </c>
      <c r="J12" t="s">
        <v>62</v>
      </c>
      <c r="Q12" s="62"/>
      <c r="R12" s="62"/>
      <c r="S12" s="62"/>
    </row>
    <row r="13" spans="1:19" ht="15" customHeight="1">
      <c r="A13" s="55">
        <v>46175</v>
      </c>
      <c r="B13">
        <v>15</v>
      </c>
      <c r="C13" s="60">
        <v>-4.1689445616990604</v>
      </c>
      <c r="D13" s="60">
        <v>-2.8526229999999999</v>
      </c>
      <c r="E13" s="60">
        <v>-0.71575739869905897</v>
      </c>
      <c r="F13" s="60">
        <f t="shared" si="0"/>
        <v>4.1689445616990604</v>
      </c>
      <c r="G13" s="60">
        <f t="shared" si="1"/>
        <v>2.8526229999999999</v>
      </c>
      <c r="H13" s="60">
        <f t="shared" si="2"/>
        <v>1.3163215616990604</v>
      </c>
      <c r="I13" s="61">
        <v>0.461442525598041</v>
      </c>
      <c r="J13" t="s">
        <v>63</v>
      </c>
      <c r="Q13" s="62"/>
      <c r="R13" s="62"/>
      <c r="S13" s="62"/>
    </row>
    <row r="14" spans="1:19" ht="15" customHeight="1">
      <c r="A14" s="55">
        <v>46176</v>
      </c>
      <c r="B14">
        <v>17</v>
      </c>
      <c r="C14" s="60">
        <v>-4.5079064327360996</v>
      </c>
      <c r="D14" s="60">
        <v>-3.0868370000000001</v>
      </c>
      <c r="E14" s="60">
        <v>-1.2394112427360999</v>
      </c>
      <c r="F14" s="60">
        <f t="shared" si="0"/>
        <v>4.5079064327360996</v>
      </c>
      <c r="G14" s="60">
        <f t="shared" si="1"/>
        <v>3.0868370000000001</v>
      </c>
      <c r="H14" s="60">
        <f t="shared" si="2"/>
        <v>1.4210694327360995</v>
      </c>
      <c r="I14" s="61">
        <v>0.46036426048285001</v>
      </c>
      <c r="J14" t="s">
        <v>63</v>
      </c>
      <c r="Q14" s="62"/>
      <c r="R14" s="62"/>
      <c r="S14" s="62"/>
    </row>
    <row r="15" spans="1:19" ht="15" customHeight="1">
      <c r="A15" s="55">
        <v>46195</v>
      </c>
      <c r="B15">
        <v>15</v>
      </c>
      <c r="C15" s="60">
        <v>-5.4955724361291498</v>
      </c>
      <c r="D15" s="60">
        <v>-3.7991839999999999</v>
      </c>
      <c r="E15" s="60">
        <v>-1.30358050212915</v>
      </c>
      <c r="F15" s="60">
        <f t="shared" si="0"/>
        <v>5.4955724361291498</v>
      </c>
      <c r="G15" s="60">
        <f t="shared" si="1"/>
        <v>3.7991839999999999</v>
      </c>
      <c r="H15" s="60">
        <f t="shared" si="2"/>
        <v>1.6963884361291499</v>
      </c>
      <c r="I15" s="61">
        <v>0.44651389249090201</v>
      </c>
      <c r="J15" t="s">
        <v>63</v>
      </c>
      <c r="Q15" s="62"/>
      <c r="R15" s="62"/>
      <c r="S15" s="62"/>
    </row>
    <row r="16" spans="1:19" ht="15" customHeight="1">
      <c r="A16" s="55">
        <v>46197</v>
      </c>
      <c r="B16">
        <v>11</v>
      </c>
      <c r="C16" s="60">
        <v>-4.4085074952771404</v>
      </c>
      <c r="D16" s="60">
        <v>-3.0557810000000001</v>
      </c>
      <c r="E16" s="60">
        <v>-0.57436867327713503</v>
      </c>
      <c r="F16" s="60">
        <f t="shared" si="0"/>
        <v>4.4085074952771404</v>
      </c>
      <c r="G16" s="60">
        <f t="shared" si="1"/>
        <v>3.0557810000000001</v>
      </c>
      <c r="H16" s="60">
        <f t="shared" si="2"/>
        <v>1.3527264952771403</v>
      </c>
      <c r="I16" s="61">
        <v>0.44267782778842302</v>
      </c>
      <c r="J16" t="s">
        <v>63</v>
      </c>
      <c r="Q16" s="62"/>
      <c r="R16" s="62"/>
      <c r="S16" s="62"/>
    </row>
    <row r="17" spans="1:19" ht="15" customHeight="1">
      <c r="A17" s="55">
        <v>46195</v>
      </c>
      <c r="B17">
        <v>14</v>
      </c>
      <c r="C17" s="60">
        <v>-5.1054963569037</v>
      </c>
      <c r="D17" s="60">
        <v>-3.5397370000000001</v>
      </c>
      <c r="E17" s="60">
        <v>-0.99407986190369402</v>
      </c>
      <c r="F17" s="60">
        <f t="shared" si="0"/>
        <v>5.1054963569037</v>
      </c>
      <c r="G17" s="60">
        <f t="shared" si="1"/>
        <v>3.5397370000000001</v>
      </c>
      <c r="H17" s="60">
        <f t="shared" si="2"/>
        <v>1.5657593569036998</v>
      </c>
      <c r="I17" s="61">
        <v>0.44233776602716401</v>
      </c>
      <c r="J17" t="s">
        <v>63</v>
      </c>
      <c r="Q17" s="62"/>
      <c r="R17" s="62"/>
      <c r="S17" s="62"/>
    </row>
    <row r="18" spans="1:19" ht="15" customHeight="1">
      <c r="A18" s="55">
        <v>46197</v>
      </c>
      <c r="B18">
        <v>15</v>
      </c>
      <c r="C18" s="60">
        <v>-5.58878815050074</v>
      </c>
      <c r="D18" s="60">
        <v>-3.898822</v>
      </c>
      <c r="E18" s="60">
        <v>-1.4701550175007401</v>
      </c>
      <c r="F18" s="60">
        <f t="shared" si="0"/>
        <v>5.58878815050074</v>
      </c>
      <c r="G18" s="60">
        <f t="shared" si="1"/>
        <v>3.898822</v>
      </c>
      <c r="H18" s="60">
        <f t="shared" si="2"/>
        <v>1.6899661505007399</v>
      </c>
      <c r="I18" s="61">
        <v>0.43345557978813598</v>
      </c>
      <c r="J18" t="s">
        <v>63</v>
      </c>
      <c r="Q18" s="62"/>
      <c r="R18" s="62"/>
      <c r="S18" s="62"/>
    </row>
    <row r="19" spans="1:19" ht="15" customHeight="1">
      <c r="A19" s="55">
        <v>46198</v>
      </c>
      <c r="B19">
        <v>13</v>
      </c>
      <c r="C19" s="60">
        <v>-5.08310838229621</v>
      </c>
      <c r="D19" s="60">
        <v>-3.5462069999999999</v>
      </c>
      <c r="E19" s="60">
        <v>-0.86245486589620601</v>
      </c>
      <c r="F19" s="60">
        <f t="shared" si="0"/>
        <v>5.08310838229621</v>
      </c>
      <c r="G19" s="60">
        <f t="shared" si="1"/>
        <v>3.5462069999999999</v>
      </c>
      <c r="H19" s="60">
        <f t="shared" si="2"/>
        <v>1.5369013822962101</v>
      </c>
      <c r="I19" s="61">
        <v>0.43339302592776002</v>
      </c>
      <c r="J19" t="s">
        <v>63</v>
      </c>
      <c r="Q19" s="62"/>
      <c r="R19" s="62"/>
      <c r="S19" s="62"/>
    </row>
    <row r="20" spans="1:19" ht="15" customHeight="1">
      <c r="A20" s="55">
        <v>46187</v>
      </c>
      <c r="B20">
        <v>8</v>
      </c>
      <c r="C20" s="60">
        <v>-2.0954641893155501</v>
      </c>
      <c r="D20" s="60">
        <v>-3.6244939999999999</v>
      </c>
      <c r="E20" s="60">
        <v>2.1112978488844498</v>
      </c>
      <c r="F20" s="60">
        <f t="shared" si="0"/>
        <v>2.0954641893155501</v>
      </c>
      <c r="G20" s="60">
        <f t="shared" si="1"/>
        <v>3.6244939999999999</v>
      </c>
      <c r="H20" s="60">
        <f t="shared" si="2"/>
        <v>1.5290298106844498</v>
      </c>
      <c r="I20" s="61">
        <v>0.421860212952332</v>
      </c>
      <c r="J20" t="s">
        <v>63</v>
      </c>
      <c r="Q20" s="62"/>
      <c r="R20" s="62"/>
      <c r="S20" s="62"/>
    </row>
    <row r="21" spans="1:19" ht="15" customHeight="1">
      <c r="A21" s="55">
        <v>46199</v>
      </c>
      <c r="B21">
        <v>14</v>
      </c>
      <c r="C21" s="60">
        <v>-5.1772871800807501</v>
      </c>
      <c r="D21" s="60">
        <v>-3.6756069999999998</v>
      </c>
      <c r="E21" s="60">
        <v>-0.68728187008074904</v>
      </c>
      <c r="F21" s="60">
        <f t="shared" si="0"/>
        <v>5.1772871800807501</v>
      </c>
      <c r="G21" s="60">
        <f t="shared" si="1"/>
        <v>3.6756069999999998</v>
      </c>
      <c r="H21" s="60">
        <f t="shared" si="2"/>
        <v>1.5016801800807502</v>
      </c>
      <c r="I21" s="61">
        <v>0.40855297644191801</v>
      </c>
      <c r="J21" t="s">
        <v>63</v>
      </c>
      <c r="Q21" s="62"/>
      <c r="R21" s="62"/>
      <c r="S21" s="62"/>
    </row>
    <row r="22" spans="1:19" ht="15" customHeight="1">
      <c r="A22" s="55">
        <v>46195</v>
      </c>
      <c r="B22">
        <v>11</v>
      </c>
      <c r="C22" s="60">
        <v>-4.5086478405766099</v>
      </c>
      <c r="D22" s="60">
        <v>-3.2026500000000002</v>
      </c>
      <c r="E22" s="60">
        <v>-0.56269124357660405</v>
      </c>
      <c r="F22" s="60">
        <f t="shared" si="0"/>
        <v>4.5086478405766099</v>
      </c>
      <c r="G22" s="60">
        <f t="shared" si="1"/>
        <v>3.2026500000000002</v>
      </c>
      <c r="H22" s="60">
        <f t="shared" si="2"/>
        <v>1.3059978405766097</v>
      </c>
      <c r="I22" s="61">
        <v>0.40778662687980399</v>
      </c>
      <c r="J22" t="s">
        <v>63</v>
      </c>
      <c r="Q22" s="62"/>
      <c r="R22" s="62"/>
      <c r="S22" s="62"/>
    </row>
    <row r="23" spans="1:19" ht="15" customHeight="1">
      <c r="A23" s="55">
        <v>46175</v>
      </c>
      <c r="B23">
        <v>14</v>
      </c>
      <c r="C23" s="60">
        <v>-3.9052555039678598</v>
      </c>
      <c r="D23" s="60">
        <v>-2.777571</v>
      </c>
      <c r="E23" s="60">
        <v>-0.56219032896785803</v>
      </c>
      <c r="F23" s="60">
        <f t="shared" si="0"/>
        <v>3.9052555039678598</v>
      </c>
      <c r="G23" s="60">
        <f t="shared" si="1"/>
        <v>2.777571</v>
      </c>
      <c r="H23" s="60">
        <f t="shared" si="2"/>
        <v>1.1276845039678598</v>
      </c>
      <c r="I23" s="61">
        <v>0.40599664381859502</v>
      </c>
      <c r="J23" t="s">
        <v>63</v>
      </c>
    </row>
    <row r="24" spans="1:19" ht="15" customHeight="1">
      <c r="A24" s="55">
        <v>46175</v>
      </c>
      <c r="B24">
        <v>13</v>
      </c>
      <c r="C24" s="60">
        <v>-3.7952426095609999</v>
      </c>
      <c r="D24" s="60">
        <v>-2.7025190000000001</v>
      </c>
      <c r="E24" s="60">
        <v>-0.50673441556100096</v>
      </c>
      <c r="F24" s="60">
        <f t="shared" si="0"/>
        <v>3.7952426095609999</v>
      </c>
      <c r="G24" s="60">
        <f t="shared" si="1"/>
        <v>2.7025190000000001</v>
      </c>
      <c r="H24" s="60">
        <f t="shared" si="2"/>
        <v>1.0927236095609998</v>
      </c>
      <c r="I24" s="61">
        <v>0.40433521820235202</v>
      </c>
      <c r="J24" t="s">
        <v>63</v>
      </c>
    </row>
    <row r="25" spans="1:19" ht="15" customHeight="1">
      <c r="A25" s="55">
        <v>46187</v>
      </c>
      <c r="B25">
        <v>9</v>
      </c>
      <c r="C25" s="60">
        <v>-2.1920957095812601</v>
      </c>
      <c r="D25" s="60">
        <v>-3.5940850000000002</v>
      </c>
      <c r="E25" s="60">
        <v>2.25121509281874</v>
      </c>
      <c r="F25" s="60">
        <f t="shared" si="0"/>
        <v>2.1920957095812601</v>
      </c>
      <c r="G25" s="60">
        <f t="shared" si="1"/>
        <v>3.5940850000000002</v>
      </c>
      <c r="H25" s="60">
        <f t="shared" si="2"/>
        <v>1.4019892904187401</v>
      </c>
      <c r="I25" s="61">
        <v>0.39008239660963601</v>
      </c>
      <c r="J25" t="s">
        <v>64</v>
      </c>
    </row>
    <row r="26" spans="1:19" ht="15" customHeight="1">
      <c r="A26" s="55">
        <v>46199</v>
      </c>
      <c r="B26">
        <v>13</v>
      </c>
      <c r="C26" s="60">
        <v>-5.0926242328910396</v>
      </c>
      <c r="D26" s="60">
        <v>-3.673019</v>
      </c>
      <c r="E26" s="60">
        <v>-0.75419031889104404</v>
      </c>
      <c r="F26" s="60">
        <f t="shared" si="0"/>
        <v>5.0926242328910396</v>
      </c>
      <c r="G26" s="60">
        <f t="shared" si="1"/>
        <v>3.673019</v>
      </c>
      <c r="H26" s="60">
        <f t="shared" si="2"/>
        <v>1.4196052328910396</v>
      </c>
      <c r="I26" s="61">
        <v>0.386495477668655</v>
      </c>
      <c r="J26" t="s">
        <v>64</v>
      </c>
    </row>
    <row r="27" spans="1:19" ht="15" customHeight="1">
      <c r="A27" s="55">
        <v>46194</v>
      </c>
      <c r="B27">
        <v>8</v>
      </c>
      <c r="C27" s="60">
        <v>-2.2118811775095102</v>
      </c>
      <c r="D27" s="60">
        <v>-1.595502</v>
      </c>
      <c r="E27" s="60">
        <v>7.8860754290490803E-2</v>
      </c>
      <c r="F27" s="60">
        <f t="shared" si="0"/>
        <v>2.2118811775095102</v>
      </c>
      <c r="G27" s="60">
        <f t="shared" si="1"/>
        <v>1.595502</v>
      </c>
      <c r="H27" s="60">
        <f t="shared" si="2"/>
        <v>0.61637917750951021</v>
      </c>
      <c r="I27" s="61">
        <v>0.38632303658002898</v>
      </c>
      <c r="J27" t="s">
        <v>64</v>
      </c>
    </row>
    <row r="28" spans="1:19" ht="15" customHeight="1">
      <c r="A28" s="55">
        <v>46185</v>
      </c>
      <c r="B28">
        <v>8</v>
      </c>
      <c r="C28" s="60">
        <v>-4.7752894213639401</v>
      </c>
      <c r="D28" s="60">
        <v>-3.4614500000000001</v>
      </c>
      <c r="E28" s="60">
        <v>-1.31331017536394</v>
      </c>
      <c r="F28" s="60">
        <f t="shared" si="0"/>
        <v>4.7752894213639401</v>
      </c>
      <c r="G28" s="60">
        <f t="shared" si="1"/>
        <v>3.4614500000000001</v>
      </c>
      <c r="H28" s="60">
        <f t="shared" si="2"/>
        <v>1.3138394213639399</v>
      </c>
      <c r="I28" s="61">
        <v>0.37956331056752002</v>
      </c>
      <c r="J28" t="s">
        <v>64</v>
      </c>
    </row>
    <row r="29" spans="1:19" ht="15" customHeight="1">
      <c r="A29" s="55">
        <v>46201</v>
      </c>
      <c r="B29">
        <v>8</v>
      </c>
      <c r="C29" s="60">
        <v>-2.2437723531479499</v>
      </c>
      <c r="D29" s="60">
        <v>-3.596673</v>
      </c>
      <c r="E29" s="60">
        <v>1.9422288784520501</v>
      </c>
      <c r="F29" s="60">
        <f t="shared" si="0"/>
        <v>2.2437723531479499</v>
      </c>
      <c r="G29" s="60">
        <f t="shared" si="1"/>
        <v>3.596673</v>
      </c>
      <c r="H29" s="60">
        <f t="shared" si="2"/>
        <v>1.3529006468520501</v>
      </c>
      <c r="I29" s="61">
        <v>0.37615336363690899</v>
      </c>
      <c r="J29" t="s">
        <v>64</v>
      </c>
    </row>
    <row r="30" spans="1:19" ht="15" customHeight="1">
      <c r="A30" s="55">
        <v>46197</v>
      </c>
      <c r="B30">
        <v>13</v>
      </c>
      <c r="C30" s="60">
        <v>-4.9135463574929199</v>
      </c>
      <c r="D30" s="60">
        <v>-3.5759690000000002</v>
      </c>
      <c r="E30" s="60">
        <v>-0.69080768949292204</v>
      </c>
      <c r="F30" s="60">
        <f t="shared" si="0"/>
        <v>4.9135463574929199</v>
      </c>
      <c r="G30" s="60">
        <f t="shared" si="1"/>
        <v>3.5759690000000002</v>
      </c>
      <c r="H30" s="60">
        <f t="shared" si="2"/>
        <v>1.3375773574929197</v>
      </c>
      <c r="I30" s="61">
        <v>0.37404612777485602</v>
      </c>
      <c r="J30" t="s">
        <v>64</v>
      </c>
    </row>
    <row r="31" spans="1:19" ht="15" customHeight="1">
      <c r="A31" s="55">
        <v>46198</v>
      </c>
      <c r="B31">
        <v>12</v>
      </c>
      <c r="C31" s="60">
        <v>-4.8637563889209803</v>
      </c>
      <c r="D31" s="60">
        <v>-3.5462069999999999</v>
      </c>
      <c r="E31" s="60">
        <v>-0.642484858120979</v>
      </c>
      <c r="F31" s="60">
        <f t="shared" si="0"/>
        <v>4.8637563889209803</v>
      </c>
      <c r="G31" s="60">
        <f t="shared" si="1"/>
        <v>3.5462069999999999</v>
      </c>
      <c r="H31" s="60">
        <f t="shared" si="2"/>
        <v>1.3175493889209804</v>
      </c>
      <c r="I31" s="61">
        <v>0.37153764259136002</v>
      </c>
      <c r="J31" t="s">
        <v>64</v>
      </c>
    </row>
    <row r="32" spans="1:19" ht="15" customHeight="1">
      <c r="A32" s="55">
        <v>46182</v>
      </c>
      <c r="B32">
        <v>17</v>
      </c>
      <c r="C32" s="60">
        <v>-4.8323795559630502</v>
      </c>
      <c r="D32" s="60">
        <v>-3.5332669999999999</v>
      </c>
      <c r="E32" s="60">
        <v>-0.99091539996304701</v>
      </c>
      <c r="F32" s="60">
        <f t="shared" si="0"/>
        <v>4.8323795559630502</v>
      </c>
      <c r="G32" s="60">
        <f t="shared" si="1"/>
        <v>3.5332669999999999</v>
      </c>
      <c r="H32" s="60">
        <f t="shared" si="2"/>
        <v>1.2991125559630503</v>
      </c>
      <c r="I32" s="61">
        <v>0.36768026757192301</v>
      </c>
      <c r="J32" t="s">
        <v>64</v>
      </c>
    </row>
    <row r="33" spans="1:10" ht="15" customHeight="1">
      <c r="A33" s="55">
        <v>46198</v>
      </c>
      <c r="B33">
        <v>11</v>
      </c>
      <c r="C33" s="60">
        <v>-4.8512185717843197</v>
      </c>
      <c r="D33" s="60">
        <v>-3.5487950000000001</v>
      </c>
      <c r="E33" s="60">
        <v>-0.70469326878431904</v>
      </c>
      <c r="F33" s="60">
        <f t="shared" si="0"/>
        <v>4.8512185717843197</v>
      </c>
      <c r="G33" s="60">
        <f t="shared" si="1"/>
        <v>3.5487950000000001</v>
      </c>
      <c r="H33" s="60">
        <f t="shared" si="2"/>
        <v>1.3024235717843196</v>
      </c>
      <c r="I33" s="61">
        <v>0.36700445412719501</v>
      </c>
      <c r="J33" t="s">
        <v>64</v>
      </c>
    </row>
    <row r="34" spans="1:10" ht="15" customHeight="1">
      <c r="A34" s="55">
        <v>46199</v>
      </c>
      <c r="B34">
        <v>12</v>
      </c>
      <c r="C34" s="60">
        <v>-4.9852287513059403</v>
      </c>
      <c r="D34" s="60">
        <v>-3.6555499999999999</v>
      </c>
      <c r="E34" s="60">
        <v>-0.728476646305939</v>
      </c>
      <c r="F34" s="60">
        <f t="shared" si="0"/>
        <v>4.9852287513059403</v>
      </c>
      <c r="G34" s="60">
        <f t="shared" si="1"/>
        <v>3.6555499999999999</v>
      </c>
      <c r="H34" s="60">
        <f t="shared" si="2"/>
        <v>1.3296787513059405</v>
      </c>
      <c r="I34" s="61">
        <v>0.36374246045217301</v>
      </c>
      <c r="J34" t="s">
        <v>64</v>
      </c>
    </row>
    <row r="35" spans="1:10" ht="15" customHeight="1">
      <c r="A35" s="55">
        <v>46185</v>
      </c>
      <c r="B35">
        <v>9</v>
      </c>
      <c r="C35" s="60">
        <v>-5.4746899126283299</v>
      </c>
      <c r="D35" s="60">
        <v>-4.0275749999999997</v>
      </c>
      <c r="E35" s="60">
        <v>-1.4398510436283301</v>
      </c>
      <c r="F35" s="60">
        <f t="shared" si="0"/>
        <v>5.4746899126283299</v>
      </c>
      <c r="G35" s="60">
        <f t="shared" si="1"/>
        <v>4.0275749999999997</v>
      </c>
      <c r="H35" s="60">
        <f t="shared" si="2"/>
        <v>1.4471149126283303</v>
      </c>
      <c r="I35" s="61">
        <v>0.35930179143239599</v>
      </c>
      <c r="J35" t="s">
        <v>64</v>
      </c>
    </row>
    <row r="36" spans="1:10" ht="15" customHeight="1">
      <c r="A36" s="55">
        <v>46200</v>
      </c>
      <c r="B36">
        <v>9</v>
      </c>
      <c r="C36" s="60">
        <v>-3.3882123025247801</v>
      </c>
      <c r="D36" s="60">
        <v>-2.4941849999999999</v>
      </c>
      <c r="E36" s="60">
        <v>-0.13072646452477599</v>
      </c>
      <c r="F36" s="60">
        <f t="shared" si="0"/>
        <v>3.3882123025247801</v>
      </c>
      <c r="G36" s="60">
        <f t="shared" si="1"/>
        <v>2.4941849999999999</v>
      </c>
      <c r="H36" s="60">
        <f t="shared" si="2"/>
        <v>0.89402730252478024</v>
      </c>
      <c r="I36" s="61">
        <v>0.35844466329673902</v>
      </c>
      <c r="J36" t="s">
        <v>64</v>
      </c>
    </row>
    <row r="37" spans="1:10" ht="15" customHeight="1">
      <c r="A37" s="55">
        <v>46181</v>
      </c>
      <c r="B37">
        <v>16</v>
      </c>
      <c r="C37" s="60">
        <v>-4.5744112459340904</v>
      </c>
      <c r="D37" s="60">
        <v>-3.37087</v>
      </c>
      <c r="E37" s="60">
        <v>-0.83308586793409201</v>
      </c>
      <c r="F37" s="60">
        <f t="shared" si="0"/>
        <v>4.5744112459340904</v>
      </c>
      <c r="G37" s="60">
        <f t="shared" si="1"/>
        <v>3.37087</v>
      </c>
      <c r="H37" s="60">
        <f t="shared" si="2"/>
        <v>1.2035412459340904</v>
      </c>
      <c r="I37" s="61">
        <v>0.35704172689367802</v>
      </c>
      <c r="J37" t="s">
        <v>64</v>
      </c>
    </row>
    <row r="38" spans="1:10" ht="15" customHeight="1">
      <c r="A38" s="55">
        <v>46180</v>
      </c>
      <c r="B38">
        <v>8</v>
      </c>
      <c r="C38" s="60">
        <v>-2.2917667274231102</v>
      </c>
      <c r="D38" s="60">
        <v>-3.5507360000000001</v>
      </c>
      <c r="E38" s="60">
        <v>1.80095496137689</v>
      </c>
      <c r="F38" s="60">
        <f t="shared" si="0"/>
        <v>2.2917667274231102</v>
      </c>
      <c r="G38" s="60">
        <f t="shared" si="1"/>
        <v>3.5507360000000001</v>
      </c>
      <c r="H38" s="60">
        <f t="shared" si="2"/>
        <v>1.25896927257689</v>
      </c>
      <c r="I38" s="61">
        <v>0.35456572174807999</v>
      </c>
      <c r="J38" t="s">
        <v>64</v>
      </c>
    </row>
    <row r="39" spans="1:10" ht="15" customHeight="1">
      <c r="A39" s="55">
        <v>46202</v>
      </c>
      <c r="B39">
        <v>17</v>
      </c>
      <c r="C39" s="60">
        <v>-5.9870447640174698</v>
      </c>
      <c r="D39" s="60">
        <v>-4.4429489999999996</v>
      </c>
      <c r="E39" s="60">
        <v>-1.2536335250174699</v>
      </c>
      <c r="F39" s="60">
        <f t="shared" si="0"/>
        <v>5.9870447640174698</v>
      </c>
      <c r="G39" s="60">
        <f t="shared" si="1"/>
        <v>4.4429489999999996</v>
      </c>
      <c r="H39" s="60">
        <f t="shared" si="2"/>
        <v>1.5440957640174702</v>
      </c>
      <c r="I39" s="61">
        <v>0.34753848491564299</v>
      </c>
      <c r="J39" t="s">
        <v>64</v>
      </c>
    </row>
    <row r="40" spans="1:10" ht="15" customHeight="1">
      <c r="A40" s="55">
        <v>46196</v>
      </c>
      <c r="B40">
        <v>13</v>
      </c>
      <c r="C40" s="60">
        <v>-4.7488712046402703</v>
      </c>
      <c r="D40" s="60">
        <v>-3.5397370000000001</v>
      </c>
      <c r="E40" s="60">
        <v>-0.68433930584027003</v>
      </c>
      <c r="F40" s="60">
        <f t="shared" si="0"/>
        <v>4.7488712046402703</v>
      </c>
      <c r="G40" s="60">
        <f t="shared" si="1"/>
        <v>3.5397370000000001</v>
      </c>
      <c r="H40" s="60">
        <f t="shared" si="2"/>
        <v>1.2091342046402702</v>
      </c>
      <c r="I40" s="61">
        <v>0.34158871256262002</v>
      </c>
      <c r="J40" t="s">
        <v>64</v>
      </c>
    </row>
    <row r="41" spans="1:10" ht="15" customHeight="1">
      <c r="A41" s="55">
        <v>46181</v>
      </c>
      <c r="B41">
        <v>11</v>
      </c>
      <c r="C41" s="60">
        <v>-4.2264795395522698</v>
      </c>
      <c r="D41" s="60">
        <v>-3.1547719999999999</v>
      </c>
      <c r="E41" s="60">
        <v>-0.53872964355226904</v>
      </c>
      <c r="F41" s="60">
        <f t="shared" si="0"/>
        <v>4.2264795395522698</v>
      </c>
      <c r="G41" s="60">
        <f t="shared" si="1"/>
        <v>3.1547719999999999</v>
      </c>
      <c r="H41" s="60">
        <f t="shared" si="2"/>
        <v>1.0717075395522699</v>
      </c>
      <c r="I41" s="61">
        <v>0.33970998206915398</v>
      </c>
      <c r="J41" t="s">
        <v>64</v>
      </c>
    </row>
    <row r="42" spans="1:10" ht="15" customHeight="1">
      <c r="A42" s="55">
        <v>46191</v>
      </c>
      <c r="B42">
        <v>12</v>
      </c>
      <c r="C42" s="60">
        <v>-5.0342773935313501</v>
      </c>
      <c r="D42" s="60">
        <v>-3.7590699999999999</v>
      </c>
      <c r="E42" s="60">
        <v>-0.90351624553134602</v>
      </c>
      <c r="F42" s="60">
        <f t="shared" si="0"/>
        <v>5.0342773935313501</v>
      </c>
      <c r="G42" s="60">
        <f t="shared" si="1"/>
        <v>3.7590699999999999</v>
      </c>
      <c r="H42" s="60">
        <f t="shared" si="2"/>
        <v>1.2752073935313502</v>
      </c>
      <c r="I42" s="61">
        <v>0.33923480901695002</v>
      </c>
      <c r="J42" t="s">
        <v>64</v>
      </c>
    </row>
    <row r="43" spans="1:10" ht="15" customHeight="1">
      <c r="A43" s="55">
        <v>46196</v>
      </c>
      <c r="B43">
        <v>11</v>
      </c>
      <c r="C43" s="60">
        <v>-4.7050927685891999</v>
      </c>
      <c r="D43" s="60">
        <v>-3.5157980000000002</v>
      </c>
      <c r="E43" s="60">
        <v>-0.61538118258919505</v>
      </c>
      <c r="F43" s="60">
        <f t="shared" si="0"/>
        <v>4.7050927685891999</v>
      </c>
      <c r="G43" s="60">
        <f t="shared" si="1"/>
        <v>3.5157980000000002</v>
      </c>
      <c r="H43" s="60">
        <f t="shared" si="2"/>
        <v>1.1892947685891997</v>
      </c>
      <c r="I43" s="61">
        <v>0.338271643760306</v>
      </c>
      <c r="J43" t="s">
        <v>64</v>
      </c>
    </row>
    <row r="44" spans="1:10" ht="15" customHeight="1">
      <c r="A44" s="55">
        <v>46203</v>
      </c>
      <c r="B44">
        <v>13</v>
      </c>
      <c r="C44" s="60">
        <v>-5.5159281487931304</v>
      </c>
      <c r="D44" s="60">
        <v>-4.1285069999999999</v>
      </c>
      <c r="E44" s="60">
        <v>-0.88091629299312502</v>
      </c>
      <c r="F44" s="60">
        <f t="shared" si="0"/>
        <v>5.5159281487931304</v>
      </c>
      <c r="G44" s="60">
        <f t="shared" si="1"/>
        <v>4.1285069999999999</v>
      </c>
      <c r="H44" s="60">
        <f t="shared" si="2"/>
        <v>1.3874211487931305</v>
      </c>
      <c r="I44" s="61">
        <v>0.33605880982958802</v>
      </c>
      <c r="J44" t="s">
        <v>64</v>
      </c>
    </row>
    <row r="45" spans="1:10" ht="15" customHeight="1">
      <c r="A45" s="55">
        <v>46191</v>
      </c>
      <c r="B45">
        <v>14</v>
      </c>
      <c r="C45" s="60">
        <v>-5.0133318635548703</v>
      </c>
      <c r="D45" s="60">
        <v>-3.7674810000000001</v>
      </c>
      <c r="E45" s="60">
        <v>-0.92004948455486601</v>
      </c>
      <c r="F45" s="60">
        <f t="shared" si="0"/>
        <v>5.0133318635548703</v>
      </c>
      <c r="G45" s="60">
        <f t="shared" si="1"/>
        <v>3.7674810000000001</v>
      </c>
      <c r="H45" s="60">
        <f t="shared" si="2"/>
        <v>1.2458508635548702</v>
      </c>
      <c r="I45" s="61">
        <v>0.33068537400848602</v>
      </c>
      <c r="J45" t="s">
        <v>64</v>
      </c>
    </row>
    <row r="46" spans="1:10" ht="15" customHeight="1">
      <c r="A46" s="55">
        <v>46187</v>
      </c>
      <c r="B46">
        <v>10</v>
      </c>
      <c r="C46" s="60">
        <v>-2.4060517533618202</v>
      </c>
      <c r="D46" s="60">
        <v>-3.5798510000000001</v>
      </c>
      <c r="E46" s="60">
        <v>2.11046179363818</v>
      </c>
      <c r="F46" s="60">
        <f t="shared" si="0"/>
        <v>2.4060517533618202</v>
      </c>
      <c r="G46" s="60">
        <f t="shared" si="1"/>
        <v>3.5798510000000001</v>
      </c>
      <c r="H46" s="60">
        <f t="shared" si="2"/>
        <v>1.1737992466381799</v>
      </c>
      <c r="I46" s="61">
        <v>0.32789053137635699</v>
      </c>
      <c r="J46" t="s">
        <v>64</v>
      </c>
    </row>
    <row r="47" spans="1:10" ht="15" customHeight="1">
      <c r="A47" s="55">
        <v>46175</v>
      </c>
      <c r="B47">
        <v>16</v>
      </c>
      <c r="C47" s="60">
        <v>-3.9189815499387901</v>
      </c>
      <c r="D47" s="60">
        <v>-2.9535550000000002</v>
      </c>
      <c r="E47" s="60">
        <v>-0.50089090193878705</v>
      </c>
      <c r="F47" s="60">
        <f t="shared" si="0"/>
        <v>3.9189815499387901</v>
      </c>
      <c r="G47" s="60">
        <f t="shared" si="1"/>
        <v>2.9535550000000002</v>
      </c>
      <c r="H47" s="60">
        <f t="shared" si="2"/>
        <v>0.96542654993878996</v>
      </c>
      <c r="I47" s="61">
        <v>0.32686933202150897</v>
      </c>
      <c r="J47" t="s">
        <v>64</v>
      </c>
    </row>
    <row r="48" spans="1:10" ht="15" customHeight="1">
      <c r="A48" s="55">
        <v>46197</v>
      </c>
      <c r="B48">
        <v>12</v>
      </c>
      <c r="C48" s="60">
        <v>-4.7142699305430904</v>
      </c>
      <c r="D48" s="60">
        <v>-3.5559120000000002</v>
      </c>
      <c r="E48" s="60">
        <v>-0.47459150854308602</v>
      </c>
      <c r="F48" s="60">
        <f t="shared" si="0"/>
        <v>4.7142699305430904</v>
      </c>
      <c r="G48" s="60">
        <f t="shared" si="1"/>
        <v>3.5559120000000002</v>
      </c>
      <c r="H48" s="60">
        <f t="shared" si="2"/>
        <v>1.1583579305430902</v>
      </c>
      <c r="I48" s="61">
        <v>0.325755510975268</v>
      </c>
      <c r="J48" t="s">
        <v>64</v>
      </c>
    </row>
    <row r="49" spans="1:10" ht="15" customHeight="1">
      <c r="A49" s="55">
        <v>46193</v>
      </c>
      <c r="B49">
        <v>13</v>
      </c>
      <c r="C49" s="60">
        <v>-3.7121335311151902</v>
      </c>
      <c r="D49" s="60">
        <v>-2.8002159999999998</v>
      </c>
      <c r="E49" s="60">
        <v>-0.10698418411518699</v>
      </c>
      <c r="F49" s="60">
        <f t="shared" si="0"/>
        <v>3.7121335311151902</v>
      </c>
      <c r="G49" s="60">
        <f t="shared" si="1"/>
        <v>2.8002159999999998</v>
      </c>
      <c r="H49" s="60">
        <f t="shared" si="2"/>
        <v>0.91191753111519036</v>
      </c>
      <c r="I49" s="61">
        <v>0.325659710220635</v>
      </c>
      <c r="J49" t="s">
        <v>64</v>
      </c>
    </row>
    <row r="50" spans="1:10" ht="15" customHeight="1">
      <c r="A50" s="55">
        <v>46180</v>
      </c>
      <c r="B50">
        <v>9</v>
      </c>
      <c r="C50" s="60">
        <v>-2.4138495045789501</v>
      </c>
      <c r="D50" s="60">
        <v>-3.5649700000000002</v>
      </c>
      <c r="E50" s="60">
        <v>1.9220897068210501</v>
      </c>
      <c r="F50" s="60">
        <f t="shared" si="0"/>
        <v>2.4138495045789501</v>
      </c>
      <c r="G50" s="60">
        <f t="shared" si="1"/>
        <v>3.5649700000000002</v>
      </c>
      <c r="H50" s="60">
        <f t="shared" si="2"/>
        <v>1.1511204954210501</v>
      </c>
      <c r="I50" s="61">
        <v>0.32289766685864102</v>
      </c>
      <c r="J50" t="s">
        <v>64</v>
      </c>
    </row>
    <row r="51" spans="1:10" ht="15" customHeight="1">
      <c r="A51" s="55">
        <v>46198</v>
      </c>
      <c r="B51">
        <v>14</v>
      </c>
      <c r="C51" s="60">
        <v>-5.2016197871819996</v>
      </c>
      <c r="D51" s="60">
        <v>-3.9337599999999999</v>
      </c>
      <c r="E51" s="60">
        <v>-0.57394128818199996</v>
      </c>
      <c r="F51" s="60">
        <f t="shared" si="0"/>
        <v>5.2016197871819996</v>
      </c>
      <c r="G51" s="60">
        <f t="shared" si="1"/>
        <v>3.9337599999999999</v>
      </c>
      <c r="H51" s="60">
        <f t="shared" si="2"/>
        <v>1.2678597871819997</v>
      </c>
      <c r="I51" s="61">
        <v>0.32230227242688902</v>
      </c>
      <c r="J51" t="s">
        <v>64</v>
      </c>
    </row>
    <row r="52" spans="1:10" ht="15" customHeight="1">
      <c r="A52" s="55">
        <v>46200</v>
      </c>
      <c r="B52">
        <v>8</v>
      </c>
      <c r="C52" s="60">
        <v>-2.97008797415155</v>
      </c>
      <c r="D52" s="60">
        <v>-2.249619</v>
      </c>
      <c r="E52" s="60">
        <v>-0.210931888151553</v>
      </c>
      <c r="F52" s="60">
        <f t="shared" si="0"/>
        <v>2.97008797415155</v>
      </c>
      <c r="G52" s="60">
        <f t="shared" si="1"/>
        <v>2.249619</v>
      </c>
      <c r="H52" s="60">
        <f t="shared" si="2"/>
        <v>0.72046897415154998</v>
      </c>
      <c r="I52" s="61">
        <v>0.32026266410069998</v>
      </c>
      <c r="J52" t="s">
        <v>64</v>
      </c>
    </row>
    <row r="53" spans="1:10" ht="15" customHeight="1">
      <c r="A53" s="55">
        <v>46203</v>
      </c>
      <c r="B53">
        <v>12</v>
      </c>
      <c r="C53" s="60">
        <v>-5.2307958174414502</v>
      </c>
      <c r="D53" s="60">
        <v>-3.9648159999999999</v>
      </c>
      <c r="E53" s="60">
        <v>-0.61019963924145304</v>
      </c>
      <c r="F53" s="60">
        <f t="shared" si="0"/>
        <v>5.2307958174414502</v>
      </c>
      <c r="G53" s="60">
        <f t="shared" si="1"/>
        <v>3.9648159999999999</v>
      </c>
      <c r="H53" s="60">
        <f t="shared" si="2"/>
        <v>1.2659798174414503</v>
      </c>
      <c r="I53" s="61">
        <v>0.31930354837184199</v>
      </c>
      <c r="J53" t="s">
        <v>64</v>
      </c>
    </row>
    <row r="54" spans="1:10" ht="15" customHeight="1">
      <c r="A54" s="55">
        <v>46196</v>
      </c>
      <c r="B54">
        <v>14</v>
      </c>
      <c r="C54" s="60">
        <v>-4.6936419995990697</v>
      </c>
      <c r="D54" s="60">
        <v>-3.5585</v>
      </c>
      <c r="E54" s="60">
        <v>-0.61688128319906799</v>
      </c>
      <c r="F54" s="60">
        <f t="shared" si="0"/>
        <v>4.6936419995990697</v>
      </c>
      <c r="G54" s="60">
        <f t="shared" si="1"/>
        <v>3.5585</v>
      </c>
      <c r="H54" s="60">
        <f t="shared" si="2"/>
        <v>1.1351419995990697</v>
      </c>
      <c r="I54" s="61">
        <v>0.31899452005032097</v>
      </c>
      <c r="J54" t="s">
        <v>64</v>
      </c>
    </row>
    <row r="55" spans="1:10" ht="15" customHeight="1">
      <c r="A55" s="55">
        <v>46203</v>
      </c>
      <c r="B55">
        <v>11</v>
      </c>
      <c r="C55" s="60">
        <v>-5.0634605709267104</v>
      </c>
      <c r="D55" s="60">
        <v>-3.8412389999999998</v>
      </c>
      <c r="E55" s="60">
        <v>-0.64842250392670897</v>
      </c>
      <c r="F55" s="60">
        <f t="shared" si="0"/>
        <v>5.0634605709267104</v>
      </c>
      <c r="G55" s="60">
        <f t="shared" si="1"/>
        <v>3.8412389999999998</v>
      </c>
      <c r="H55" s="60">
        <f t="shared" si="2"/>
        <v>1.2222215709267106</v>
      </c>
      <c r="I55" s="61">
        <v>0.31818420330698199</v>
      </c>
      <c r="J55" t="s">
        <v>64</v>
      </c>
    </row>
    <row r="56" spans="1:10" ht="15" customHeight="1">
      <c r="A56" s="55">
        <v>46199</v>
      </c>
      <c r="B56">
        <v>11</v>
      </c>
      <c r="C56" s="60">
        <v>-4.7716111198562103</v>
      </c>
      <c r="D56" s="60">
        <v>-3.6212589999999998</v>
      </c>
      <c r="E56" s="60">
        <v>-0.39863711085621001</v>
      </c>
      <c r="F56" s="60">
        <f t="shared" si="0"/>
        <v>4.7716111198562103</v>
      </c>
      <c r="G56" s="60">
        <f t="shared" si="1"/>
        <v>3.6212589999999998</v>
      </c>
      <c r="H56" s="60">
        <f t="shared" si="2"/>
        <v>1.1503521198562106</v>
      </c>
      <c r="I56" s="61">
        <v>0.31766634749301498</v>
      </c>
      <c r="J56" t="s">
        <v>64</v>
      </c>
    </row>
    <row r="57" spans="1:10" ht="15" customHeight="1">
      <c r="A57" s="55">
        <v>46183</v>
      </c>
      <c r="B57">
        <v>12</v>
      </c>
      <c r="C57" s="60">
        <v>-4.3445038631503197</v>
      </c>
      <c r="D57" s="60">
        <v>-3.2984059999999999</v>
      </c>
      <c r="E57" s="60">
        <v>-0.43046144695032401</v>
      </c>
      <c r="F57" s="60">
        <f t="shared" si="0"/>
        <v>4.3445038631503197</v>
      </c>
      <c r="G57" s="60">
        <f t="shared" si="1"/>
        <v>3.2984059999999999</v>
      </c>
      <c r="H57" s="60">
        <f t="shared" si="2"/>
        <v>1.0460978631503197</v>
      </c>
      <c r="I57" s="61">
        <v>0.31715254676056398</v>
      </c>
      <c r="J57" t="s">
        <v>64</v>
      </c>
    </row>
    <row r="58" spans="1:10" ht="15" customHeight="1">
      <c r="A58" s="55">
        <v>46199</v>
      </c>
      <c r="B58">
        <v>15</v>
      </c>
      <c r="C58" s="60">
        <v>-5.1709729662176898</v>
      </c>
      <c r="D58" s="60">
        <v>-3.9324659999999998</v>
      </c>
      <c r="E58" s="60">
        <v>-0.46375358121768501</v>
      </c>
      <c r="F58" s="60">
        <f t="shared" si="0"/>
        <v>5.1709729662176898</v>
      </c>
      <c r="G58" s="60">
        <f t="shared" si="1"/>
        <v>3.9324659999999998</v>
      </c>
      <c r="H58" s="60">
        <f t="shared" si="2"/>
        <v>1.23850696621769</v>
      </c>
      <c r="I58" s="61">
        <v>0.314944100271353</v>
      </c>
      <c r="J58" t="s">
        <v>64</v>
      </c>
    </row>
    <row r="59" spans="1:10" ht="15" customHeight="1">
      <c r="A59" s="55">
        <v>46175</v>
      </c>
      <c r="B59">
        <v>11</v>
      </c>
      <c r="C59" s="60">
        <v>-3.70222867724629</v>
      </c>
      <c r="D59" s="60">
        <v>-2.826743</v>
      </c>
      <c r="E59" s="60">
        <v>-0.22170641124629401</v>
      </c>
      <c r="F59" s="60">
        <f t="shared" si="0"/>
        <v>3.70222867724629</v>
      </c>
      <c r="G59" s="60">
        <f t="shared" si="1"/>
        <v>2.826743</v>
      </c>
      <c r="H59" s="60">
        <f t="shared" si="2"/>
        <v>0.87548567724629001</v>
      </c>
      <c r="I59" s="61">
        <v>0.30971534279780399</v>
      </c>
      <c r="J59" t="s">
        <v>64</v>
      </c>
    </row>
    <row r="60" spans="1:10" ht="15" customHeight="1">
      <c r="A60" s="55">
        <v>46177</v>
      </c>
      <c r="B60">
        <v>9</v>
      </c>
      <c r="C60" s="60">
        <v>-4.6664408088615303</v>
      </c>
      <c r="D60" s="60">
        <v>-3.5707930000000001</v>
      </c>
      <c r="E60" s="60">
        <v>-1.0568543358615301</v>
      </c>
      <c r="F60" s="60">
        <f t="shared" si="0"/>
        <v>4.6664408088615303</v>
      </c>
      <c r="G60" s="60">
        <f t="shared" si="1"/>
        <v>3.5707930000000001</v>
      </c>
      <c r="H60" s="60">
        <f t="shared" si="2"/>
        <v>1.0956478088615302</v>
      </c>
      <c r="I60" s="61">
        <v>0.30683599101419001</v>
      </c>
      <c r="J60" t="s">
        <v>64</v>
      </c>
    </row>
    <row r="61" spans="1:10" ht="15" customHeight="1">
      <c r="A61" s="55">
        <v>46187</v>
      </c>
      <c r="B61">
        <v>11</v>
      </c>
      <c r="C61" s="60">
        <v>-2.49761942126255</v>
      </c>
      <c r="D61" s="60">
        <v>-3.576616</v>
      </c>
      <c r="E61" s="60">
        <v>2.0537291233374502</v>
      </c>
      <c r="F61" s="60">
        <f t="shared" si="0"/>
        <v>2.49761942126255</v>
      </c>
      <c r="G61" s="60">
        <f t="shared" si="1"/>
        <v>3.576616</v>
      </c>
      <c r="H61" s="60">
        <f t="shared" si="2"/>
        <v>1.07899657873745</v>
      </c>
      <c r="I61" s="61">
        <v>0.30168085663583999</v>
      </c>
      <c r="J61" t="s">
        <v>64</v>
      </c>
    </row>
    <row r="62" spans="1:10" ht="15" customHeight="1">
      <c r="A62" s="55">
        <v>46196</v>
      </c>
      <c r="B62">
        <v>10</v>
      </c>
      <c r="C62" s="60">
        <v>-4.6020564819435901</v>
      </c>
      <c r="D62" s="60">
        <v>-3.5377960000000002</v>
      </c>
      <c r="E62" s="60">
        <v>-0.40268033694358701</v>
      </c>
      <c r="F62" s="60">
        <f t="shared" si="0"/>
        <v>4.6020564819435901</v>
      </c>
      <c r="G62" s="60">
        <f t="shared" si="1"/>
        <v>3.5377960000000002</v>
      </c>
      <c r="H62" s="60">
        <f t="shared" si="2"/>
        <v>1.0642604819435899</v>
      </c>
      <c r="I62" s="61">
        <v>0.30082584805443502</v>
      </c>
      <c r="J62" t="s">
        <v>64</v>
      </c>
    </row>
    <row r="63" spans="1:10" ht="15" customHeight="1">
      <c r="A63" s="55">
        <v>46203</v>
      </c>
      <c r="B63">
        <v>10</v>
      </c>
      <c r="C63" s="60">
        <v>-4.9560634190226098</v>
      </c>
      <c r="D63" s="60">
        <v>-3.811477</v>
      </c>
      <c r="E63" s="60">
        <v>-0.72050781042260503</v>
      </c>
      <c r="F63" s="60">
        <f t="shared" si="0"/>
        <v>4.9560634190226098</v>
      </c>
      <c r="G63" s="60">
        <f t="shared" si="1"/>
        <v>3.811477</v>
      </c>
      <c r="H63" s="60">
        <f t="shared" si="2"/>
        <v>1.1445864190226098</v>
      </c>
      <c r="I63" s="61">
        <v>0.30029996744637399</v>
      </c>
      <c r="J63" t="s">
        <v>64</v>
      </c>
    </row>
    <row r="64" spans="1:10" ht="15" customHeight="1">
      <c r="A64" s="55">
        <v>46182</v>
      </c>
      <c r="B64">
        <v>14</v>
      </c>
      <c r="C64" s="60">
        <v>-4.58419741448962</v>
      </c>
      <c r="D64" s="60">
        <v>-3.5261499999999999</v>
      </c>
      <c r="E64" s="60">
        <v>-0.45877595748962002</v>
      </c>
      <c r="F64" s="60">
        <f t="shared" si="0"/>
        <v>4.58419741448962</v>
      </c>
      <c r="G64" s="60">
        <f t="shared" si="1"/>
        <v>3.5261499999999999</v>
      </c>
      <c r="H64" s="60">
        <f t="shared" si="2"/>
        <v>1.0580474144896201</v>
      </c>
      <c r="I64" s="61">
        <v>0.30005740382275797</v>
      </c>
      <c r="J64" t="s">
        <v>64</v>
      </c>
    </row>
    <row r="65" spans="1:10" ht="15" customHeight="1">
      <c r="A65" s="55">
        <v>46181</v>
      </c>
      <c r="B65">
        <v>17</v>
      </c>
      <c r="C65" s="60">
        <v>-4.69099752370097</v>
      </c>
      <c r="D65" s="60">
        <v>-3.6115539999999999</v>
      </c>
      <c r="E65" s="60">
        <v>-0.86338369670096804</v>
      </c>
      <c r="F65" s="60">
        <f t="shared" si="0"/>
        <v>4.69099752370097</v>
      </c>
      <c r="G65" s="60">
        <f t="shared" si="1"/>
        <v>3.6115539999999999</v>
      </c>
      <c r="H65" s="60">
        <f t="shared" si="2"/>
        <v>1.0794435237009701</v>
      </c>
      <c r="I65" s="61">
        <v>0.29888616470942098</v>
      </c>
      <c r="J65" t="s">
        <v>65</v>
      </c>
    </row>
    <row r="66" spans="1:10" ht="15" customHeight="1">
      <c r="A66" s="55">
        <v>46197</v>
      </c>
      <c r="B66">
        <v>10</v>
      </c>
      <c r="C66" s="60">
        <v>-4.2286278143612002</v>
      </c>
      <c r="D66" s="60">
        <v>-3.2576450000000001</v>
      </c>
      <c r="E66" s="60">
        <v>-0.36317678036120299</v>
      </c>
      <c r="F66" s="60">
        <f t="shared" ref="F66:F129" si="3">ABS(C66)</f>
        <v>4.2286278143612002</v>
      </c>
      <c r="G66" s="60">
        <f t="shared" ref="G66:G129" si="4">ABS(D66)</f>
        <v>3.2576450000000001</v>
      </c>
      <c r="H66" s="60">
        <f t="shared" ref="H66:H129" si="5">ABS(G66-F66)</f>
        <v>0.97098281436120004</v>
      </c>
      <c r="I66" s="61">
        <v>0.29806280744562502</v>
      </c>
      <c r="J66" t="s">
        <v>65</v>
      </c>
    </row>
    <row r="67" spans="1:10" ht="15" customHeight="1">
      <c r="A67" s="55">
        <v>46183</v>
      </c>
      <c r="B67">
        <v>14</v>
      </c>
      <c r="C67" s="60">
        <v>-4.9037173748537501</v>
      </c>
      <c r="D67" s="60">
        <v>-3.79142</v>
      </c>
      <c r="E67" s="60">
        <v>-0.63793120885374799</v>
      </c>
      <c r="F67" s="60">
        <f t="shared" si="3"/>
        <v>4.9037173748537501</v>
      </c>
      <c r="G67" s="60">
        <f t="shared" si="4"/>
        <v>3.79142</v>
      </c>
      <c r="H67" s="60">
        <f t="shared" si="5"/>
        <v>1.1122973748537501</v>
      </c>
      <c r="I67" s="61">
        <v>0.29337223912247901</v>
      </c>
      <c r="J67" t="s">
        <v>65</v>
      </c>
    </row>
    <row r="68" spans="1:10" ht="15" customHeight="1">
      <c r="A68" s="55">
        <v>46203</v>
      </c>
      <c r="B68">
        <v>9</v>
      </c>
      <c r="C68" s="60">
        <v>-4.5048544262859798</v>
      </c>
      <c r="D68" s="60">
        <v>-3.4925060000000001</v>
      </c>
      <c r="E68" s="60">
        <v>-0.66516175628597696</v>
      </c>
      <c r="F68" s="60">
        <f t="shared" si="3"/>
        <v>4.5048544262859798</v>
      </c>
      <c r="G68" s="60">
        <f t="shared" si="4"/>
        <v>3.4925060000000001</v>
      </c>
      <c r="H68" s="60">
        <f t="shared" si="5"/>
        <v>1.0123484262859797</v>
      </c>
      <c r="I68" s="61">
        <v>0.28986304570013</v>
      </c>
      <c r="J68" t="s">
        <v>65</v>
      </c>
    </row>
    <row r="69" spans="1:10" ht="15" customHeight="1">
      <c r="A69" s="55">
        <v>46193</v>
      </c>
      <c r="B69">
        <v>11</v>
      </c>
      <c r="C69" s="60">
        <v>-3.43208151760633</v>
      </c>
      <c r="D69" s="60">
        <v>-2.661111</v>
      </c>
      <c r="E69" s="60">
        <v>0.143695323393675</v>
      </c>
      <c r="F69" s="60">
        <f t="shared" si="3"/>
        <v>3.43208151760633</v>
      </c>
      <c r="G69" s="60">
        <f t="shared" si="4"/>
        <v>2.661111</v>
      </c>
      <c r="H69" s="60">
        <f t="shared" si="5"/>
        <v>0.77097051760632995</v>
      </c>
      <c r="I69" s="61">
        <v>0.28971753437054099</v>
      </c>
      <c r="J69" t="s">
        <v>65</v>
      </c>
    </row>
    <row r="70" spans="1:10" ht="15" customHeight="1">
      <c r="A70" s="55">
        <v>46185</v>
      </c>
      <c r="B70">
        <v>10</v>
      </c>
      <c r="C70" s="60">
        <v>-5.1065530128535404</v>
      </c>
      <c r="D70" s="60">
        <v>-3.968051</v>
      </c>
      <c r="E70" s="60">
        <v>-1.03111036485354</v>
      </c>
      <c r="F70" s="60">
        <f t="shared" si="3"/>
        <v>5.1065530128535404</v>
      </c>
      <c r="G70" s="60">
        <f t="shared" si="4"/>
        <v>3.968051</v>
      </c>
      <c r="H70" s="60">
        <f t="shared" si="5"/>
        <v>1.1385020128535404</v>
      </c>
      <c r="I70" s="61">
        <v>0.286917182479141</v>
      </c>
      <c r="J70" t="s">
        <v>65</v>
      </c>
    </row>
    <row r="71" spans="1:10" ht="15" customHeight="1">
      <c r="A71" s="55">
        <v>46193</v>
      </c>
      <c r="B71">
        <v>14</v>
      </c>
      <c r="C71" s="60">
        <v>-3.8129533733723702</v>
      </c>
      <c r="D71" s="60">
        <v>-2.9645540000000001</v>
      </c>
      <c r="E71" s="60">
        <v>-8.6916605372365299E-2</v>
      </c>
      <c r="F71" s="60">
        <f t="shared" si="3"/>
        <v>3.8129533733723702</v>
      </c>
      <c r="G71" s="60">
        <f t="shared" si="4"/>
        <v>2.9645540000000001</v>
      </c>
      <c r="H71" s="60">
        <f t="shared" si="5"/>
        <v>0.84839937337237004</v>
      </c>
      <c r="I71" s="61">
        <v>0.28618111640818999</v>
      </c>
      <c r="J71" t="s">
        <v>65</v>
      </c>
    </row>
    <row r="72" spans="1:10" ht="15" customHeight="1">
      <c r="A72" s="55">
        <v>46183</v>
      </c>
      <c r="B72">
        <v>15</v>
      </c>
      <c r="C72" s="60">
        <v>-5.1088937990768502</v>
      </c>
      <c r="D72" s="60">
        <v>-3.9725799999999998</v>
      </c>
      <c r="E72" s="60">
        <v>-0.858898315076848</v>
      </c>
      <c r="F72" s="60">
        <f t="shared" si="3"/>
        <v>5.1088937990768502</v>
      </c>
      <c r="G72" s="60">
        <f t="shared" si="4"/>
        <v>3.9725799999999998</v>
      </c>
      <c r="H72" s="60">
        <f t="shared" si="5"/>
        <v>1.1363137990768504</v>
      </c>
      <c r="I72" s="61">
        <v>0.28603924881987203</v>
      </c>
      <c r="J72" t="s">
        <v>65</v>
      </c>
    </row>
    <row r="73" spans="1:10" ht="15" customHeight="1">
      <c r="A73" s="55">
        <v>46194</v>
      </c>
      <c r="B73">
        <v>10</v>
      </c>
      <c r="C73" s="60">
        <v>-2.5243521011349102</v>
      </c>
      <c r="D73" s="60">
        <v>-3.5157980000000002</v>
      </c>
      <c r="E73" s="60">
        <v>2.0403635928650901</v>
      </c>
      <c r="F73" s="60">
        <f t="shared" si="3"/>
        <v>2.5243521011349102</v>
      </c>
      <c r="G73" s="60">
        <f t="shared" si="4"/>
        <v>3.5157980000000002</v>
      </c>
      <c r="H73" s="60">
        <f t="shared" si="5"/>
        <v>0.99144589886509005</v>
      </c>
      <c r="I73" s="61">
        <v>0.28199740112062499</v>
      </c>
      <c r="J73" t="s">
        <v>65</v>
      </c>
    </row>
    <row r="74" spans="1:10" ht="15" customHeight="1">
      <c r="A74" s="55">
        <v>46185</v>
      </c>
      <c r="B74">
        <v>12</v>
      </c>
      <c r="C74" s="60">
        <v>-4.6353547998142002</v>
      </c>
      <c r="D74" s="60">
        <v>-3.6199650000000001</v>
      </c>
      <c r="E74" s="60">
        <v>-0.81918924961419604</v>
      </c>
      <c r="F74" s="60">
        <f t="shared" si="3"/>
        <v>4.6353547998142002</v>
      </c>
      <c r="G74" s="60">
        <f t="shared" si="4"/>
        <v>3.6199650000000001</v>
      </c>
      <c r="H74" s="60">
        <f t="shared" si="5"/>
        <v>1.0153897998142001</v>
      </c>
      <c r="I74" s="61">
        <v>0.28049713182701902</v>
      </c>
      <c r="J74" t="s">
        <v>65</v>
      </c>
    </row>
    <row r="75" spans="1:10" ht="15" customHeight="1">
      <c r="A75" s="55">
        <v>46195</v>
      </c>
      <c r="B75">
        <v>10</v>
      </c>
      <c r="C75" s="60">
        <v>-4.5461814986074103</v>
      </c>
      <c r="D75" s="60">
        <v>-3.5526770000000001</v>
      </c>
      <c r="E75" s="60">
        <v>-0.33289873560741101</v>
      </c>
      <c r="F75" s="60">
        <f t="shared" si="3"/>
        <v>4.5461814986074103</v>
      </c>
      <c r="G75" s="60">
        <f t="shared" si="4"/>
        <v>3.5526770000000001</v>
      </c>
      <c r="H75" s="60">
        <f t="shared" si="5"/>
        <v>0.99350449860741019</v>
      </c>
      <c r="I75" s="61">
        <v>0.27964954275533899</v>
      </c>
      <c r="J75" t="s">
        <v>65</v>
      </c>
    </row>
    <row r="76" spans="1:10" ht="15" customHeight="1">
      <c r="A76" s="55">
        <v>46182</v>
      </c>
      <c r="B76">
        <v>16</v>
      </c>
      <c r="C76" s="60">
        <v>-4.50947858371606</v>
      </c>
      <c r="D76" s="60">
        <v>-3.5242089999999999</v>
      </c>
      <c r="E76" s="60">
        <v>-0.47221022971605597</v>
      </c>
      <c r="F76" s="60">
        <f t="shared" si="3"/>
        <v>4.50947858371606</v>
      </c>
      <c r="G76" s="60">
        <f t="shared" si="4"/>
        <v>3.5242089999999999</v>
      </c>
      <c r="H76" s="60">
        <f t="shared" si="5"/>
        <v>0.9852695837160601</v>
      </c>
      <c r="I76" s="61">
        <v>0.27957183689050702</v>
      </c>
      <c r="J76" t="s">
        <v>65</v>
      </c>
    </row>
    <row r="77" spans="1:10" ht="15" customHeight="1">
      <c r="A77" s="55">
        <v>46175</v>
      </c>
      <c r="B77">
        <v>12</v>
      </c>
      <c r="C77" s="60">
        <v>-3.6591334910331499</v>
      </c>
      <c r="D77" s="60">
        <v>-2.8603869999999998</v>
      </c>
      <c r="E77" s="60">
        <v>-9.7853332033144794E-2</v>
      </c>
      <c r="F77" s="60">
        <f t="shared" si="3"/>
        <v>3.6591334910331499</v>
      </c>
      <c r="G77" s="60">
        <f t="shared" si="4"/>
        <v>2.8603869999999998</v>
      </c>
      <c r="H77" s="60">
        <f t="shared" si="5"/>
        <v>0.7987464910331501</v>
      </c>
      <c r="I77" s="61">
        <v>0.279244204030135</v>
      </c>
      <c r="J77" t="s">
        <v>65</v>
      </c>
    </row>
    <row r="78" spans="1:10" ht="15" customHeight="1">
      <c r="A78" s="55">
        <v>46175</v>
      </c>
      <c r="B78">
        <v>17</v>
      </c>
      <c r="C78" s="60">
        <v>-3.9990557377810698</v>
      </c>
      <c r="D78" s="60">
        <v>-3.1411850000000001</v>
      </c>
      <c r="E78" s="60">
        <v>-0.43541985178106501</v>
      </c>
      <c r="F78" s="60">
        <f t="shared" si="3"/>
        <v>3.9990557377810698</v>
      </c>
      <c r="G78" s="60">
        <f t="shared" si="4"/>
        <v>3.1411850000000001</v>
      </c>
      <c r="H78" s="60">
        <f t="shared" si="5"/>
        <v>0.8578707377810697</v>
      </c>
      <c r="I78" s="61">
        <v>0.27310417494705502</v>
      </c>
      <c r="J78" t="s">
        <v>65</v>
      </c>
    </row>
    <row r="79" spans="1:10" ht="15" customHeight="1">
      <c r="A79" s="55">
        <v>46185</v>
      </c>
      <c r="B79">
        <v>13</v>
      </c>
      <c r="C79" s="60">
        <v>-4.5439560575299902</v>
      </c>
      <c r="D79" s="60">
        <v>-3.5733809999999999</v>
      </c>
      <c r="E79" s="60">
        <v>-0.79837937192999098</v>
      </c>
      <c r="F79" s="60">
        <f t="shared" si="3"/>
        <v>4.5439560575299902</v>
      </c>
      <c r="G79" s="60">
        <f t="shared" si="4"/>
        <v>3.5733809999999999</v>
      </c>
      <c r="H79" s="60">
        <f t="shared" si="5"/>
        <v>0.97057505752999029</v>
      </c>
      <c r="I79" s="61">
        <v>0.27161253096996701</v>
      </c>
      <c r="J79" t="s">
        <v>65</v>
      </c>
    </row>
    <row r="80" spans="1:10" ht="15" customHeight="1">
      <c r="A80" s="55">
        <v>46187</v>
      </c>
      <c r="B80">
        <v>12</v>
      </c>
      <c r="C80" s="60">
        <v>-2.6077198581607899</v>
      </c>
      <c r="D80" s="60">
        <v>-3.5792039999999998</v>
      </c>
      <c r="E80" s="60">
        <v>2.0127084882392099</v>
      </c>
      <c r="F80" s="60">
        <f t="shared" si="3"/>
        <v>2.6077198581607899</v>
      </c>
      <c r="G80" s="60">
        <f t="shared" si="4"/>
        <v>3.5792039999999998</v>
      </c>
      <c r="H80" s="60">
        <f t="shared" si="5"/>
        <v>0.97148414183920995</v>
      </c>
      <c r="I80" s="61">
        <v>0.27142463571207798</v>
      </c>
      <c r="J80" t="s">
        <v>65</v>
      </c>
    </row>
    <row r="81" spans="1:10" ht="15" customHeight="1">
      <c r="A81" s="55">
        <v>46180</v>
      </c>
      <c r="B81">
        <v>10</v>
      </c>
      <c r="C81" s="60">
        <v>-2.6180355802078501</v>
      </c>
      <c r="D81" s="60">
        <v>-3.5837330000000001</v>
      </c>
      <c r="E81" s="60">
        <v>1.86202236359215</v>
      </c>
      <c r="F81" s="60">
        <f t="shared" si="3"/>
        <v>2.6180355802078501</v>
      </c>
      <c r="G81" s="60">
        <f t="shared" si="4"/>
        <v>3.5837330000000001</v>
      </c>
      <c r="H81" s="60">
        <f t="shared" si="5"/>
        <v>0.96569741979214996</v>
      </c>
      <c r="I81" s="61">
        <v>0.26946689940130902</v>
      </c>
      <c r="J81" t="s">
        <v>65</v>
      </c>
    </row>
    <row r="82" spans="1:10" ht="15" customHeight="1">
      <c r="A82" s="55">
        <v>46176</v>
      </c>
      <c r="B82">
        <v>10</v>
      </c>
      <c r="C82" s="60">
        <v>-3.8563248509422201</v>
      </c>
      <c r="D82" s="60">
        <v>-3.0467230000000001</v>
      </c>
      <c r="E82" s="60">
        <v>-0.25538553294222099</v>
      </c>
      <c r="F82" s="60">
        <f t="shared" si="3"/>
        <v>3.8563248509422201</v>
      </c>
      <c r="G82" s="60">
        <f t="shared" si="4"/>
        <v>3.0467230000000001</v>
      </c>
      <c r="H82" s="60">
        <f t="shared" si="5"/>
        <v>0.80960185094222004</v>
      </c>
      <c r="I82" s="61">
        <v>0.26572873574073602</v>
      </c>
      <c r="J82" t="s">
        <v>65</v>
      </c>
    </row>
    <row r="83" spans="1:10" ht="15" customHeight="1">
      <c r="A83" s="55">
        <v>46187</v>
      </c>
      <c r="B83">
        <v>13</v>
      </c>
      <c r="C83" s="60">
        <v>-2.6495659056392298</v>
      </c>
      <c r="D83" s="60">
        <v>-3.6018490000000001</v>
      </c>
      <c r="E83" s="60">
        <v>2.0747417845607701</v>
      </c>
      <c r="F83" s="60">
        <f t="shared" si="3"/>
        <v>2.6495659056392298</v>
      </c>
      <c r="G83" s="60">
        <f t="shared" si="4"/>
        <v>3.6018490000000001</v>
      </c>
      <c r="H83" s="60">
        <f t="shared" si="5"/>
        <v>0.9522830943607703</v>
      </c>
      <c r="I83" s="61">
        <v>0.26438728951734702</v>
      </c>
      <c r="J83" t="s">
        <v>65</v>
      </c>
    </row>
    <row r="84" spans="1:10" ht="15" customHeight="1">
      <c r="A84" s="55">
        <v>46175</v>
      </c>
      <c r="B84">
        <v>10</v>
      </c>
      <c r="C84" s="60">
        <v>-3.6797285915616502</v>
      </c>
      <c r="D84" s="60">
        <v>-2.9147349999999999</v>
      </c>
      <c r="E84" s="60">
        <v>-0.24076701756164501</v>
      </c>
      <c r="F84" s="60">
        <f t="shared" si="3"/>
        <v>3.6797285915616502</v>
      </c>
      <c r="G84" s="60">
        <f t="shared" si="4"/>
        <v>2.9147349999999999</v>
      </c>
      <c r="H84" s="60">
        <f t="shared" si="5"/>
        <v>0.76499359156165037</v>
      </c>
      <c r="I84" s="61">
        <v>0.262457338852982</v>
      </c>
      <c r="J84" t="s">
        <v>65</v>
      </c>
    </row>
    <row r="85" spans="1:10" ht="15" customHeight="1">
      <c r="A85" s="55">
        <v>46186</v>
      </c>
      <c r="B85">
        <v>8</v>
      </c>
      <c r="C85" s="60">
        <v>-2.84212547426859</v>
      </c>
      <c r="D85" s="60">
        <v>-3.8263579999999999</v>
      </c>
      <c r="E85" s="60">
        <v>1.4721520477314101</v>
      </c>
      <c r="F85" s="60">
        <f t="shared" si="3"/>
        <v>2.84212547426859</v>
      </c>
      <c r="G85" s="60">
        <f t="shared" si="4"/>
        <v>3.8263579999999999</v>
      </c>
      <c r="H85" s="60">
        <f t="shared" si="5"/>
        <v>0.98423252573140996</v>
      </c>
      <c r="I85" s="61">
        <v>0.25722436994432002</v>
      </c>
      <c r="J85" t="s">
        <v>65</v>
      </c>
    </row>
    <row r="86" spans="1:10" ht="15" customHeight="1">
      <c r="A86" s="55">
        <v>46183</v>
      </c>
      <c r="B86">
        <v>13</v>
      </c>
      <c r="C86" s="60">
        <v>-4.2605110279070297</v>
      </c>
      <c r="D86" s="60">
        <v>-3.392868</v>
      </c>
      <c r="E86" s="60">
        <v>-0.223354993107033</v>
      </c>
      <c r="F86" s="60">
        <f t="shared" si="3"/>
        <v>4.2605110279070297</v>
      </c>
      <c r="G86" s="60">
        <f t="shared" si="4"/>
        <v>3.392868</v>
      </c>
      <c r="H86" s="60">
        <f t="shared" si="5"/>
        <v>0.86764302790702974</v>
      </c>
      <c r="I86" s="61">
        <v>0.25572554779821499</v>
      </c>
      <c r="J86" t="s">
        <v>65</v>
      </c>
    </row>
    <row r="87" spans="1:10" ht="15" customHeight="1">
      <c r="A87" s="55">
        <v>46187</v>
      </c>
      <c r="B87">
        <v>15</v>
      </c>
      <c r="C87" s="60">
        <v>-2.7404260300988001</v>
      </c>
      <c r="D87" s="60">
        <v>-3.676901</v>
      </c>
      <c r="E87" s="60">
        <v>2.0485112665012002</v>
      </c>
      <c r="F87" s="60">
        <f t="shared" si="3"/>
        <v>2.7404260300988001</v>
      </c>
      <c r="G87" s="60">
        <f t="shared" si="4"/>
        <v>3.676901</v>
      </c>
      <c r="H87" s="60">
        <f t="shared" si="5"/>
        <v>0.93647496990119983</v>
      </c>
      <c r="I87" s="61">
        <v>0.25469137458452101</v>
      </c>
      <c r="J87" t="s">
        <v>65</v>
      </c>
    </row>
    <row r="88" spans="1:10" ht="15" customHeight="1">
      <c r="A88" s="55">
        <v>46178</v>
      </c>
      <c r="B88">
        <v>11</v>
      </c>
      <c r="C88" s="60">
        <v>-3.6541103354103099</v>
      </c>
      <c r="D88" s="60">
        <v>-2.9134410000000002</v>
      </c>
      <c r="E88" s="60">
        <v>2.46197335896867E-2</v>
      </c>
      <c r="F88" s="60">
        <f t="shared" si="3"/>
        <v>3.6541103354103099</v>
      </c>
      <c r="G88" s="60">
        <f t="shared" si="4"/>
        <v>2.9134410000000002</v>
      </c>
      <c r="H88" s="60">
        <f t="shared" si="5"/>
        <v>0.74066933541030977</v>
      </c>
      <c r="I88" s="61">
        <v>0.25422493038654798</v>
      </c>
      <c r="J88" t="s">
        <v>65</v>
      </c>
    </row>
    <row r="89" spans="1:10" ht="15" customHeight="1">
      <c r="A89" s="55">
        <v>46191</v>
      </c>
      <c r="B89">
        <v>13</v>
      </c>
      <c r="C89" s="60">
        <v>-4.7176745712739203</v>
      </c>
      <c r="D89" s="60">
        <v>-3.7629519999999999</v>
      </c>
      <c r="E89" s="60">
        <v>-0.54067103927392102</v>
      </c>
      <c r="F89" s="60">
        <f t="shared" si="3"/>
        <v>4.7176745712739203</v>
      </c>
      <c r="G89" s="60">
        <f t="shared" si="4"/>
        <v>3.7629519999999999</v>
      </c>
      <c r="H89" s="60">
        <f t="shared" si="5"/>
        <v>0.95472257127392046</v>
      </c>
      <c r="I89" s="61">
        <v>0.25371638311461903</v>
      </c>
      <c r="J89" t="s">
        <v>65</v>
      </c>
    </row>
    <row r="90" spans="1:10" ht="15" customHeight="1">
      <c r="A90" s="55">
        <v>46199</v>
      </c>
      <c r="B90">
        <v>9</v>
      </c>
      <c r="C90" s="60">
        <v>-4.4540698222017898</v>
      </c>
      <c r="D90" s="60">
        <v>-3.5552649999999999</v>
      </c>
      <c r="E90" s="60">
        <v>-0.315741362201785</v>
      </c>
      <c r="F90" s="60">
        <f t="shared" si="3"/>
        <v>4.4540698222017898</v>
      </c>
      <c r="G90" s="60">
        <f t="shared" si="4"/>
        <v>3.5552649999999999</v>
      </c>
      <c r="H90" s="60">
        <f t="shared" si="5"/>
        <v>0.89880482220178992</v>
      </c>
      <c r="I90" s="61">
        <v>0.25280951552184899</v>
      </c>
      <c r="J90" t="s">
        <v>65</v>
      </c>
    </row>
    <row r="91" spans="1:10" ht="15" customHeight="1">
      <c r="A91" s="55">
        <v>46187</v>
      </c>
      <c r="B91">
        <v>16</v>
      </c>
      <c r="C91" s="60">
        <v>-2.8014104393813302</v>
      </c>
      <c r="D91" s="60">
        <v>-3.7254260000000001</v>
      </c>
      <c r="E91" s="60">
        <v>1.9419955262186701</v>
      </c>
      <c r="F91" s="60">
        <f t="shared" si="3"/>
        <v>2.8014104393813302</v>
      </c>
      <c r="G91" s="60">
        <f t="shared" si="4"/>
        <v>3.7254260000000001</v>
      </c>
      <c r="H91" s="60">
        <f t="shared" si="5"/>
        <v>0.92401556061866996</v>
      </c>
      <c r="I91" s="61">
        <v>0.24802950336919</v>
      </c>
      <c r="J91" t="s">
        <v>65</v>
      </c>
    </row>
    <row r="92" spans="1:10" ht="15" customHeight="1">
      <c r="A92" s="55">
        <v>46197</v>
      </c>
      <c r="B92">
        <v>9</v>
      </c>
      <c r="C92" s="60">
        <v>-3.9461377529242498</v>
      </c>
      <c r="D92" s="60">
        <v>-3.1657709999999999</v>
      </c>
      <c r="E92" s="60">
        <v>-0.30249384692424502</v>
      </c>
      <c r="F92" s="60">
        <f t="shared" si="3"/>
        <v>3.9461377529242498</v>
      </c>
      <c r="G92" s="60">
        <f t="shared" si="4"/>
        <v>3.1657709999999999</v>
      </c>
      <c r="H92" s="60">
        <f t="shared" si="5"/>
        <v>0.78036675292424995</v>
      </c>
      <c r="I92" s="61">
        <v>0.24650132714092199</v>
      </c>
      <c r="J92" t="s">
        <v>65</v>
      </c>
    </row>
    <row r="93" spans="1:10" ht="15" customHeight="1">
      <c r="A93" s="55">
        <v>46175</v>
      </c>
      <c r="B93">
        <v>8</v>
      </c>
      <c r="C93" s="60">
        <v>-3.3954151004018098</v>
      </c>
      <c r="D93" s="60">
        <v>-2.7258110000000002</v>
      </c>
      <c r="E93" s="60">
        <v>-0.62317538040180798</v>
      </c>
      <c r="F93" s="60">
        <f t="shared" si="3"/>
        <v>3.3954151004018098</v>
      </c>
      <c r="G93" s="60">
        <f t="shared" si="4"/>
        <v>2.7258110000000002</v>
      </c>
      <c r="H93" s="60">
        <f t="shared" si="5"/>
        <v>0.66960410040180962</v>
      </c>
      <c r="I93" s="61">
        <v>0.245653165388873</v>
      </c>
      <c r="J93" t="s">
        <v>65</v>
      </c>
    </row>
    <row r="94" spans="1:10" ht="15" customHeight="1">
      <c r="A94" s="55">
        <v>46177</v>
      </c>
      <c r="B94">
        <v>15</v>
      </c>
      <c r="C94" s="60">
        <v>-4.3961898468524998</v>
      </c>
      <c r="D94" s="60">
        <v>-3.5306790000000001</v>
      </c>
      <c r="E94" s="60">
        <v>-0.46132865285249902</v>
      </c>
      <c r="F94" s="60">
        <f t="shared" si="3"/>
        <v>4.3961898468524998</v>
      </c>
      <c r="G94" s="60">
        <f t="shared" si="4"/>
        <v>3.5306790000000001</v>
      </c>
      <c r="H94" s="60">
        <f t="shared" si="5"/>
        <v>0.86551084685249968</v>
      </c>
      <c r="I94" s="61">
        <v>0.24514005573786199</v>
      </c>
      <c r="J94" t="s">
        <v>65</v>
      </c>
    </row>
    <row r="95" spans="1:10" ht="15" customHeight="1">
      <c r="A95" s="55">
        <v>46202</v>
      </c>
      <c r="B95">
        <v>11</v>
      </c>
      <c r="C95" s="60">
        <v>-4.6884482429436796</v>
      </c>
      <c r="D95" s="60">
        <v>-3.7745980000000001</v>
      </c>
      <c r="E95" s="60">
        <v>-0.31268113494368399</v>
      </c>
      <c r="F95" s="60">
        <f t="shared" si="3"/>
        <v>4.6884482429436796</v>
      </c>
      <c r="G95" s="60">
        <f t="shared" si="4"/>
        <v>3.7745980000000001</v>
      </c>
      <c r="H95" s="60">
        <f t="shared" si="5"/>
        <v>0.91385024294367945</v>
      </c>
      <c r="I95" s="61">
        <v>0.24210531636579199</v>
      </c>
      <c r="J95" t="s">
        <v>65</v>
      </c>
    </row>
    <row r="96" spans="1:10" ht="15" customHeight="1">
      <c r="A96" s="55">
        <v>46181</v>
      </c>
      <c r="B96">
        <v>15</v>
      </c>
      <c r="C96" s="60">
        <v>-4.4761845481588303</v>
      </c>
      <c r="D96" s="60">
        <v>-3.6050840000000002</v>
      </c>
      <c r="E96" s="60">
        <v>-0.392759861158826</v>
      </c>
      <c r="F96" s="60">
        <f t="shared" si="3"/>
        <v>4.4761845481588303</v>
      </c>
      <c r="G96" s="60">
        <f t="shared" si="4"/>
        <v>3.6050840000000002</v>
      </c>
      <c r="H96" s="60">
        <f t="shared" si="5"/>
        <v>0.87110054815883009</v>
      </c>
      <c r="I96" s="61">
        <v>0.24163113762642599</v>
      </c>
      <c r="J96" t="s">
        <v>65</v>
      </c>
    </row>
    <row r="97" spans="1:10" ht="15" customHeight="1">
      <c r="A97" s="55">
        <v>46191</v>
      </c>
      <c r="B97">
        <v>8</v>
      </c>
      <c r="C97" s="60">
        <v>-3.08438218180184</v>
      </c>
      <c r="D97" s="60">
        <v>-4.066395</v>
      </c>
      <c r="E97" s="60">
        <v>1.2126663771981601</v>
      </c>
      <c r="F97" s="60">
        <f t="shared" si="3"/>
        <v>3.08438218180184</v>
      </c>
      <c r="G97" s="60">
        <f t="shared" si="4"/>
        <v>4.066395</v>
      </c>
      <c r="H97" s="60">
        <f t="shared" si="5"/>
        <v>0.98201281819816</v>
      </c>
      <c r="I97" s="61">
        <v>0.24149469448938399</v>
      </c>
      <c r="J97" t="s">
        <v>65</v>
      </c>
    </row>
    <row r="98" spans="1:10" ht="15" customHeight="1">
      <c r="A98" s="55">
        <v>46187</v>
      </c>
      <c r="B98">
        <v>14</v>
      </c>
      <c r="C98" s="60">
        <v>-2.7603000189501299</v>
      </c>
      <c r="D98" s="60">
        <v>-3.636787</v>
      </c>
      <c r="E98" s="60">
        <v>2.0305099544498799</v>
      </c>
      <c r="F98" s="60">
        <f t="shared" si="3"/>
        <v>2.7603000189501299</v>
      </c>
      <c r="G98" s="60">
        <f t="shared" si="4"/>
        <v>3.636787</v>
      </c>
      <c r="H98" s="60">
        <f t="shared" si="5"/>
        <v>0.87648698104987011</v>
      </c>
      <c r="I98" s="61">
        <v>0.24100586068138599</v>
      </c>
      <c r="J98" t="s">
        <v>65</v>
      </c>
    </row>
    <row r="99" spans="1:10" ht="15" customHeight="1">
      <c r="A99" s="55">
        <v>46177</v>
      </c>
      <c r="B99">
        <v>10</v>
      </c>
      <c r="C99" s="60">
        <v>-4.2306290721376296</v>
      </c>
      <c r="D99" s="60">
        <v>-3.4096899999999999</v>
      </c>
      <c r="E99" s="60">
        <v>-0.60092801613762903</v>
      </c>
      <c r="F99" s="60">
        <f t="shared" si="3"/>
        <v>4.2306290721376296</v>
      </c>
      <c r="G99" s="60">
        <f t="shared" si="4"/>
        <v>3.4096899999999999</v>
      </c>
      <c r="H99" s="60">
        <f t="shared" si="5"/>
        <v>0.82093907213762973</v>
      </c>
      <c r="I99" s="61">
        <v>0.24076648379695201</v>
      </c>
      <c r="J99" t="s">
        <v>65</v>
      </c>
    </row>
    <row r="100" spans="1:10" ht="15" customHeight="1">
      <c r="A100" s="55">
        <v>46196</v>
      </c>
      <c r="B100">
        <v>12</v>
      </c>
      <c r="C100" s="60">
        <v>-4.3605542047946999</v>
      </c>
      <c r="D100" s="60">
        <v>-3.5190329999999999</v>
      </c>
      <c r="E100" s="60">
        <v>-0.18738181859469599</v>
      </c>
      <c r="F100" s="60">
        <f t="shared" si="3"/>
        <v>4.3605542047946999</v>
      </c>
      <c r="G100" s="60">
        <f t="shared" si="4"/>
        <v>3.5190329999999999</v>
      </c>
      <c r="H100" s="60">
        <f t="shared" si="5"/>
        <v>0.84152120479470005</v>
      </c>
      <c r="I100" s="61">
        <v>0.23913421806351201</v>
      </c>
      <c r="J100" t="s">
        <v>65</v>
      </c>
    </row>
    <row r="101" spans="1:10" ht="15" customHeight="1">
      <c r="A101" s="55">
        <v>46177</v>
      </c>
      <c r="B101">
        <v>11</v>
      </c>
      <c r="C101" s="60">
        <v>-3.9654512289207702</v>
      </c>
      <c r="D101" s="60">
        <v>-3.2097669999999998</v>
      </c>
      <c r="E101" s="60">
        <v>-0.250295059920767</v>
      </c>
      <c r="F101" s="60">
        <f t="shared" si="3"/>
        <v>3.9654512289207702</v>
      </c>
      <c r="G101" s="60">
        <f t="shared" si="4"/>
        <v>3.2097669999999998</v>
      </c>
      <c r="H101" s="60">
        <f t="shared" si="5"/>
        <v>0.75568422892077036</v>
      </c>
      <c r="I101" s="61">
        <v>0.23543273668174899</v>
      </c>
      <c r="J101" t="s">
        <v>65</v>
      </c>
    </row>
    <row r="102" spans="1:10" ht="15" customHeight="1">
      <c r="A102" s="55">
        <v>46177</v>
      </c>
      <c r="B102">
        <v>16</v>
      </c>
      <c r="C102" s="60">
        <v>-4.1471432893218498</v>
      </c>
      <c r="D102" s="60">
        <v>-3.3579300000000001</v>
      </c>
      <c r="E102" s="60">
        <v>-0.44669666532184799</v>
      </c>
      <c r="F102" s="60">
        <f t="shared" si="3"/>
        <v>4.1471432893218498</v>
      </c>
      <c r="G102" s="60">
        <f t="shared" si="4"/>
        <v>3.3579300000000001</v>
      </c>
      <c r="H102" s="60">
        <f t="shared" si="5"/>
        <v>0.78921328932184975</v>
      </c>
      <c r="I102" s="61">
        <v>0.23502970262091499</v>
      </c>
      <c r="J102" t="s">
        <v>65</v>
      </c>
    </row>
    <row r="103" spans="1:10" ht="15" customHeight="1">
      <c r="A103" s="55">
        <v>46182</v>
      </c>
      <c r="B103">
        <v>15</v>
      </c>
      <c r="C103" s="60">
        <v>-4.5508133089724296</v>
      </c>
      <c r="D103" s="60">
        <v>-3.6879</v>
      </c>
      <c r="E103" s="60">
        <v>-0.305127491972429</v>
      </c>
      <c r="F103" s="60">
        <f t="shared" si="3"/>
        <v>4.5508133089724296</v>
      </c>
      <c r="G103" s="60">
        <f t="shared" si="4"/>
        <v>3.6879</v>
      </c>
      <c r="H103" s="60">
        <f t="shared" si="5"/>
        <v>0.86291330897242968</v>
      </c>
      <c r="I103" s="61">
        <v>0.233985007449342</v>
      </c>
      <c r="J103" t="s">
        <v>65</v>
      </c>
    </row>
    <row r="104" spans="1:10" ht="15" customHeight="1">
      <c r="A104" s="55">
        <v>46199</v>
      </c>
      <c r="B104">
        <v>10</v>
      </c>
      <c r="C104" s="60">
        <v>-4.6511654825948803</v>
      </c>
      <c r="D104" s="60">
        <v>-3.7739509999999998</v>
      </c>
      <c r="E104" s="60">
        <v>-0.182994481594876</v>
      </c>
      <c r="F104" s="60">
        <f t="shared" si="3"/>
        <v>4.6511654825948803</v>
      </c>
      <c r="G104" s="60">
        <f t="shared" si="4"/>
        <v>3.7739509999999998</v>
      </c>
      <c r="H104" s="60">
        <f t="shared" si="5"/>
        <v>0.87721448259488044</v>
      </c>
      <c r="I104" s="61">
        <v>0.23243928779013701</v>
      </c>
      <c r="J104" t="s">
        <v>65</v>
      </c>
    </row>
    <row r="105" spans="1:10" ht="15" customHeight="1">
      <c r="A105" s="55">
        <v>46193</v>
      </c>
      <c r="B105">
        <v>15</v>
      </c>
      <c r="C105" s="60">
        <v>-3.91300750173209</v>
      </c>
      <c r="D105" s="60">
        <v>-3.1825929999999998</v>
      </c>
      <c r="E105" s="60">
        <v>-4.9878550732094698E-2</v>
      </c>
      <c r="F105" s="60">
        <f t="shared" si="3"/>
        <v>3.91300750173209</v>
      </c>
      <c r="G105" s="60">
        <f t="shared" si="4"/>
        <v>3.1825929999999998</v>
      </c>
      <c r="H105" s="60">
        <f t="shared" si="5"/>
        <v>0.73041450173209022</v>
      </c>
      <c r="I105" s="61">
        <v>0.229502956153079</v>
      </c>
      <c r="J105" t="s">
        <v>65</v>
      </c>
    </row>
    <row r="106" spans="1:10" ht="15" customHeight="1">
      <c r="A106" s="55">
        <v>46179</v>
      </c>
      <c r="B106">
        <v>17</v>
      </c>
      <c r="C106" s="60">
        <v>-3.8032323748874299</v>
      </c>
      <c r="D106" s="60">
        <v>-3.0946009999999999</v>
      </c>
      <c r="E106" s="60">
        <v>-0.235117696087426</v>
      </c>
      <c r="F106" s="60">
        <f t="shared" si="3"/>
        <v>3.8032323748874299</v>
      </c>
      <c r="G106" s="60">
        <f t="shared" si="4"/>
        <v>3.0946009999999999</v>
      </c>
      <c r="H106" s="60">
        <f t="shared" si="5"/>
        <v>0.70863137488743</v>
      </c>
      <c r="I106" s="61">
        <v>0.22898957729524</v>
      </c>
      <c r="J106" t="s">
        <v>65</v>
      </c>
    </row>
    <row r="107" spans="1:10" ht="15" customHeight="1">
      <c r="A107" s="55">
        <v>46201</v>
      </c>
      <c r="B107">
        <v>10</v>
      </c>
      <c r="C107" s="60">
        <v>-2.7575051813149498</v>
      </c>
      <c r="D107" s="60">
        <v>-3.574675</v>
      </c>
      <c r="E107" s="60">
        <v>1.8457354806850499</v>
      </c>
      <c r="F107" s="60">
        <f t="shared" si="3"/>
        <v>2.7575051813149498</v>
      </c>
      <c r="G107" s="60">
        <f t="shared" si="4"/>
        <v>3.574675</v>
      </c>
      <c r="H107" s="60">
        <f t="shared" si="5"/>
        <v>0.81716981868505023</v>
      </c>
      <c r="I107" s="61">
        <v>0.22859975205719399</v>
      </c>
      <c r="J107" t="s">
        <v>65</v>
      </c>
    </row>
    <row r="108" spans="1:10" ht="15" customHeight="1">
      <c r="A108" s="55">
        <v>46193</v>
      </c>
      <c r="B108">
        <v>12</v>
      </c>
      <c r="C108" s="60">
        <v>-3.4381427756700802</v>
      </c>
      <c r="D108" s="60">
        <v>-2.8008630000000001</v>
      </c>
      <c r="E108" s="60">
        <v>0.33468373832992299</v>
      </c>
      <c r="F108" s="60">
        <f t="shared" si="3"/>
        <v>3.4381427756700802</v>
      </c>
      <c r="G108" s="60">
        <f t="shared" si="4"/>
        <v>2.8008630000000001</v>
      </c>
      <c r="H108" s="60">
        <f t="shared" si="5"/>
        <v>0.6372797756700801</v>
      </c>
      <c r="I108" s="61">
        <v>0.227529791949866</v>
      </c>
      <c r="J108" t="s">
        <v>65</v>
      </c>
    </row>
    <row r="109" spans="1:10" ht="15" customHeight="1">
      <c r="A109" s="55">
        <v>46199</v>
      </c>
      <c r="B109">
        <v>16</v>
      </c>
      <c r="C109" s="60">
        <v>-5.1787949142855396</v>
      </c>
      <c r="D109" s="60">
        <v>-4.2210279999999996</v>
      </c>
      <c r="E109" s="60">
        <v>-0.23093099628553501</v>
      </c>
      <c r="F109" s="60">
        <f t="shared" si="3"/>
        <v>5.1787949142855396</v>
      </c>
      <c r="G109" s="60">
        <f t="shared" si="4"/>
        <v>4.2210279999999996</v>
      </c>
      <c r="H109" s="60">
        <f t="shared" si="5"/>
        <v>0.95776691428554006</v>
      </c>
      <c r="I109" s="61">
        <v>0.226903710253885</v>
      </c>
      <c r="J109" t="s">
        <v>65</v>
      </c>
    </row>
    <row r="110" spans="1:10" ht="15" customHeight="1">
      <c r="A110" s="55">
        <v>46200</v>
      </c>
      <c r="B110">
        <v>17</v>
      </c>
      <c r="C110" s="60">
        <v>-4.4268079934381799</v>
      </c>
      <c r="D110" s="60">
        <v>-3.618671</v>
      </c>
      <c r="E110" s="60">
        <v>-0.25090047943818</v>
      </c>
      <c r="F110" s="60">
        <f t="shared" si="3"/>
        <v>4.4268079934381799</v>
      </c>
      <c r="G110" s="60">
        <f t="shared" si="4"/>
        <v>3.618671</v>
      </c>
      <c r="H110" s="60">
        <f t="shared" si="5"/>
        <v>0.80813699343817991</v>
      </c>
      <c r="I110" s="61">
        <v>0.22332425175932799</v>
      </c>
      <c r="J110" t="s">
        <v>65</v>
      </c>
    </row>
    <row r="111" spans="1:10" ht="15" customHeight="1">
      <c r="A111" s="55">
        <v>46194</v>
      </c>
      <c r="B111">
        <v>11</v>
      </c>
      <c r="C111" s="60">
        <v>-2.7196273900611998</v>
      </c>
      <c r="D111" s="60">
        <v>-3.498329</v>
      </c>
      <c r="E111" s="60">
        <v>1.9019834135388101</v>
      </c>
      <c r="F111" s="60">
        <f t="shared" si="3"/>
        <v>2.7196273900611998</v>
      </c>
      <c r="G111" s="60">
        <f t="shared" si="4"/>
        <v>3.498329</v>
      </c>
      <c r="H111" s="60">
        <f t="shared" si="5"/>
        <v>0.77870160993880022</v>
      </c>
      <c r="I111" s="61">
        <v>0.22259244626185901</v>
      </c>
      <c r="J111" t="s">
        <v>65</v>
      </c>
    </row>
    <row r="112" spans="1:10" ht="15" customHeight="1">
      <c r="A112" s="55">
        <v>46178</v>
      </c>
      <c r="B112">
        <v>10</v>
      </c>
      <c r="C112" s="60">
        <v>-3.6385882846834701</v>
      </c>
      <c r="D112" s="60">
        <v>-2.9774940000000001</v>
      </c>
      <c r="E112" s="60">
        <v>-6.1435921683470902E-2</v>
      </c>
      <c r="F112" s="60">
        <f t="shared" si="3"/>
        <v>3.6385882846834701</v>
      </c>
      <c r="G112" s="60">
        <f t="shared" si="4"/>
        <v>2.9774940000000001</v>
      </c>
      <c r="H112" s="60">
        <f t="shared" si="5"/>
        <v>0.66109428468346998</v>
      </c>
      <c r="I112" s="61">
        <v>0.222030433876096</v>
      </c>
      <c r="J112" t="s">
        <v>65</v>
      </c>
    </row>
    <row r="113" spans="1:10" ht="15" customHeight="1">
      <c r="A113" s="55">
        <v>46187</v>
      </c>
      <c r="B113">
        <v>17</v>
      </c>
      <c r="C113" s="60">
        <v>-2.95821054413907</v>
      </c>
      <c r="D113" s="60">
        <v>-3.8017720000000002</v>
      </c>
      <c r="E113" s="60">
        <v>1.72194185466093</v>
      </c>
      <c r="F113" s="60">
        <f t="shared" si="3"/>
        <v>2.95821054413907</v>
      </c>
      <c r="G113" s="60">
        <f t="shared" si="4"/>
        <v>3.8017720000000002</v>
      </c>
      <c r="H113" s="60">
        <f t="shared" si="5"/>
        <v>0.84356145586093012</v>
      </c>
      <c r="I113" s="61">
        <v>0.221886387679463</v>
      </c>
      <c r="J113" t="s">
        <v>65</v>
      </c>
    </row>
    <row r="114" spans="1:10" ht="15" customHeight="1">
      <c r="A114" s="55">
        <v>46182</v>
      </c>
      <c r="B114">
        <v>12</v>
      </c>
      <c r="C114" s="60">
        <v>-4.3104155625786102</v>
      </c>
      <c r="D114" s="60">
        <v>-3.529385</v>
      </c>
      <c r="E114" s="60">
        <v>-0.105602676578608</v>
      </c>
      <c r="F114" s="60">
        <f t="shared" si="3"/>
        <v>4.3104155625786102</v>
      </c>
      <c r="G114" s="60">
        <f t="shared" si="4"/>
        <v>3.529385</v>
      </c>
      <c r="H114" s="60">
        <f t="shared" si="5"/>
        <v>0.78103056257861025</v>
      </c>
      <c r="I114" s="61">
        <v>0.22129367087427601</v>
      </c>
      <c r="J114" t="s">
        <v>65</v>
      </c>
    </row>
    <row r="115" spans="1:10" ht="15" customHeight="1">
      <c r="A115" s="55">
        <v>46180</v>
      </c>
      <c r="B115">
        <v>11</v>
      </c>
      <c r="C115" s="60">
        <v>-2.79672664298878</v>
      </c>
      <c r="D115" s="60">
        <v>-3.5908500000000001</v>
      </c>
      <c r="E115" s="60">
        <v>1.7692640292112201</v>
      </c>
      <c r="F115" s="60">
        <f t="shared" si="3"/>
        <v>2.79672664298878</v>
      </c>
      <c r="G115" s="60">
        <f t="shared" si="4"/>
        <v>3.5908500000000001</v>
      </c>
      <c r="H115" s="60">
        <f t="shared" si="5"/>
        <v>0.79412335701122005</v>
      </c>
      <c r="I115" s="61">
        <v>0.221151915844778</v>
      </c>
      <c r="J115" t="s">
        <v>65</v>
      </c>
    </row>
    <row r="116" spans="1:10" ht="15" customHeight="1">
      <c r="A116" s="55">
        <v>46184</v>
      </c>
      <c r="B116">
        <v>8</v>
      </c>
      <c r="C116" s="60">
        <v>-3.41974051415459</v>
      </c>
      <c r="D116" s="60">
        <v>-2.8008630000000001</v>
      </c>
      <c r="E116" s="60">
        <v>-0.39391884915458902</v>
      </c>
      <c r="F116" s="60">
        <f t="shared" si="3"/>
        <v>3.41974051415459</v>
      </c>
      <c r="G116" s="60">
        <f t="shared" si="4"/>
        <v>2.8008630000000001</v>
      </c>
      <c r="H116" s="60">
        <f t="shared" si="5"/>
        <v>0.61887751415458991</v>
      </c>
      <c r="I116" s="61">
        <v>0.22095958072729299</v>
      </c>
      <c r="J116" t="s">
        <v>65</v>
      </c>
    </row>
    <row r="117" spans="1:10" ht="15" customHeight="1">
      <c r="A117" s="55">
        <v>46191</v>
      </c>
      <c r="B117">
        <v>11</v>
      </c>
      <c r="C117" s="60">
        <v>-4.5704428324455302</v>
      </c>
      <c r="D117" s="60">
        <v>-3.74613</v>
      </c>
      <c r="E117" s="60">
        <v>-0.37209735844553199</v>
      </c>
      <c r="F117" s="60">
        <f t="shared" si="3"/>
        <v>4.5704428324455302</v>
      </c>
      <c r="G117" s="60">
        <f t="shared" si="4"/>
        <v>3.74613</v>
      </c>
      <c r="H117" s="60">
        <f t="shared" si="5"/>
        <v>0.82431283244553022</v>
      </c>
      <c r="I117" s="61">
        <v>0.220043840562269</v>
      </c>
      <c r="J117" t="s">
        <v>65</v>
      </c>
    </row>
    <row r="118" spans="1:10" ht="15" customHeight="1">
      <c r="A118" s="55">
        <v>46198</v>
      </c>
      <c r="B118">
        <v>10</v>
      </c>
      <c r="C118" s="60">
        <v>-4.5651702133851799</v>
      </c>
      <c r="D118" s="60">
        <v>-3.7474240000000001</v>
      </c>
      <c r="E118" s="60">
        <v>-0.264737844385183</v>
      </c>
      <c r="F118" s="60">
        <f t="shared" si="3"/>
        <v>4.5651702133851799</v>
      </c>
      <c r="G118" s="60">
        <f t="shared" si="4"/>
        <v>3.7474240000000001</v>
      </c>
      <c r="H118" s="60">
        <f t="shared" si="5"/>
        <v>0.81774621338517983</v>
      </c>
      <c r="I118" s="61">
        <v>0.21821555644228799</v>
      </c>
      <c r="J118" t="s">
        <v>65</v>
      </c>
    </row>
    <row r="119" spans="1:10" ht="15" customHeight="1">
      <c r="A119" s="55">
        <v>46190</v>
      </c>
      <c r="B119">
        <v>16</v>
      </c>
      <c r="C119" s="60">
        <v>-5.1765600549789701</v>
      </c>
      <c r="D119" s="60">
        <v>-4.2546720000000002</v>
      </c>
      <c r="E119" s="60">
        <v>-0.638943308978972</v>
      </c>
      <c r="F119" s="60">
        <f t="shared" si="3"/>
        <v>5.1765600549789701</v>
      </c>
      <c r="G119" s="60">
        <f t="shared" si="4"/>
        <v>4.2546720000000002</v>
      </c>
      <c r="H119" s="60">
        <f t="shared" si="5"/>
        <v>0.92188805497896986</v>
      </c>
      <c r="I119" s="61">
        <v>0.216676645104246</v>
      </c>
      <c r="J119" t="s">
        <v>65</v>
      </c>
    </row>
    <row r="120" spans="1:10" ht="15" customHeight="1">
      <c r="A120" s="55">
        <v>46184</v>
      </c>
      <c r="B120">
        <v>10</v>
      </c>
      <c r="C120" s="60">
        <v>-4.3073261520138697</v>
      </c>
      <c r="D120" s="60">
        <v>-3.5449130000000002</v>
      </c>
      <c r="E120" s="60">
        <v>-0.31674337701386901</v>
      </c>
      <c r="F120" s="60">
        <f t="shared" si="3"/>
        <v>4.3073261520138697</v>
      </c>
      <c r="G120" s="60">
        <f t="shared" si="4"/>
        <v>3.5449130000000002</v>
      </c>
      <c r="H120" s="60">
        <f t="shared" si="5"/>
        <v>0.7624131520138695</v>
      </c>
      <c r="I120" s="61">
        <v>0.215072457917548</v>
      </c>
      <c r="J120" t="s">
        <v>65</v>
      </c>
    </row>
    <row r="121" spans="1:10" ht="15" customHeight="1">
      <c r="A121" s="55">
        <v>46200</v>
      </c>
      <c r="B121">
        <v>14</v>
      </c>
      <c r="C121" s="60">
        <v>-4.3376671015998598</v>
      </c>
      <c r="D121" s="60">
        <v>-3.5714399999999999</v>
      </c>
      <c r="E121" s="60">
        <v>0.18730079440014499</v>
      </c>
      <c r="F121" s="60">
        <f t="shared" si="3"/>
        <v>4.3376671015998598</v>
      </c>
      <c r="G121" s="60">
        <f t="shared" si="4"/>
        <v>3.5714399999999999</v>
      </c>
      <c r="H121" s="60">
        <f t="shared" si="5"/>
        <v>0.76622710159985985</v>
      </c>
      <c r="I121" s="61">
        <v>0.21454290191067299</v>
      </c>
      <c r="J121" t="s">
        <v>65</v>
      </c>
    </row>
    <row r="122" spans="1:10" ht="15" customHeight="1">
      <c r="A122" s="55">
        <v>46196</v>
      </c>
      <c r="B122">
        <v>17</v>
      </c>
      <c r="C122" s="60">
        <v>-5.5280107039044299</v>
      </c>
      <c r="D122" s="60">
        <v>-4.5535860000000001</v>
      </c>
      <c r="E122" s="60">
        <v>-0.71496799890442397</v>
      </c>
      <c r="F122" s="60">
        <f t="shared" si="3"/>
        <v>5.5280107039044299</v>
      </c>
      <c r="G122" s="60">
        <f t="shared" si="4"/>
        <v>4.5535860000000001</v>
      </c>
      <c r="H122" s="60">
        <f t="shared" si="5"/>
        <v>0.97442470390442981</v>
      </c>
      <c r="I122" s="61">
        <v>0.21399062275411601</v>
      </c>
      <c r="J122" t="s">
        <v>65</v>
      </c>
    </row>
    <row r="123" spans="1:10" ht="15" customHeight="1">
      <c r="A123" s="55">
        <v>46202</v>
      </c>
      <c r="B123">
        <v>10</v>
      </c>
      <c r="C123" s="60">
        <v>-4.6199997377436102</v>
      </c>
      <c r="D123" s="60">
        <v>-3.8147120000000001</v>
      </c>
      <c r="E123" s="60">
        <v>-0.32577727474360602</v>
      </c>
      <c r="F123" s="60">
        <f t="shared" si="3"/>
        <v>4.6199997377436102</v>
      </c>
      <c r="G123" s="60">
        <f t="shared" si="4"/>
        <v>3.8147120000000001</v>
      </c>
      <c r="H123" s="60">
        <f t="shared" si="5"/>
        <v>0.80528773774361007</v>
      </c>
      <c r="I123" s="61">
        <v>0.21110053334133899</v>
      </c>
      <c r="J123" t="s">
        <v>65</v>
      </c>
    </row>
    <row r="124" spans="1:10" ht="15" customHeight="1">
      <c r="A124" s="55">
        <v>46195</v>
      </c>
      <c r="B124">
        <v>16</v>
      </c>
      <c r="C124" s="60">
        <v>-5.2180156315971002</v>
      </c>
      <c r="D124" s="60">
        <v>-4.3096670000000001</v>
      </c>
      <c r="E124" s="60">
        <v>-0.544968198597096</v>
      </c>
      <c r="F124" s="60">
        <f t="shared" si="3"/>
        <v>5.2180156315971002</v>
      </c>
      <c r="G124" s="60">
        <f t="shared" si="4"/>
        <v>4.3096670000000001</v>
      </c>
      <c r="H124" s="60">
        <f t="shared" si="5"/>
        <v>0.90834863159710011</v>
      </c>
      <c r="I124" s="61">
        <v>0.210770027381952</v>
      </c>
      <c r="J124" t="s">
        <v>65</v>
      </c>
    </row>
    <row r="125" spans="1:10" ht="15" customHeight="1">
      <c r="A125" s="55">
        <v>46178</v>
      </c>
      <c r="B125">
        <v>8</v>
      </c>
      <c r="C125" s="60">
        <v>-2.8168828720342001</v>
      </c>
      <c r="D125" s="60">
        <v>-3.5552649999999999</v>
      </c>
      <c r="E125" s="60">
        <v>1.1120932099658001</v>
      </c>
      <c r="F125" s="60">
        <f t="shared" si="3"/>
        <v>2.8168828720342001</v>
      </c>
      <c r="G125" s="60">
        <f t="shared" si="4"/>
        <v>3.5552649999999999</v>
      </c>
      <c r="H125" s="60">
        <f t="shared" si="5"/>
        <v>0.73838212796579983</v>
      </c>
      <c r="I125" s="61">
        <v>0.20768694540795099</v>
      </c>
      <c r="J125" t="s">
        <v>65</v>
      </c>
    </row>
    <row r="126" spans="1:10" ht="15" customHeight="1">
      <c r="A126" s="55">
        <v>46180</v>
      </c>
      <c r="B126">
        <v>12</v>
      </c>
      <c r="C126" s="60">
        <v>-2.8604493037471399</v>
      </c>
      <c r="D126" s="60">
        <v>-3.6044369999999999</v>
      </c>
      <c r="E126" s="60">
        <v>1.71718659205286</v>
      </c>
      <c r="F126" s="60">
        <f t="shared" si="3"/>
        <v>2.8604493037471399</v>
      </c>
      <c r="G126" s="60">
        <f t="shared" si="4"/>
        <v>3.6044369999999999</v>
      </c>
      <c r="H126" s="60">
        <f t="shared" si="5"/>
        <v>0.74398769625285999</v>
      </c>
      <c r="I126" s="61">
        <v>0.206408850051439</v>
      </c>
      <c r="J126" t="s">
        <v>65</v>
      </c>
    </row>
    <row r="127" spans="1:10" ht="15" customHeight="1">
      <c r="A127" s="55">
        <v>46200</v>
      </c>
      <c r="B127">
        <v>16</v>
      </c>
      <c r="C127" s="60">
        <v>-4.3481185902512003</v>
      </c>
      <c r="D127" s="60">
        <v>-3.6050840000000002</v>
      </c>
      <c r="E127" s="60">
        <v>1.7396155748799901E-2</v>
      </c>
      <c r="F127" s="60">
        <f t="shared" si="3"/>
        <v>4.3481185902512003</v>
      </c>
      <c r="G127" s="60">
        <f t="shared" si="4"/>
        <v>3.6050840000000002</v>
      </c>
      <c r="H127" s="60">
        <f t="shared" si="5"/>
        <v>0.74303459025120011</v>
      </c>
      <c r="I127" s="61">
        <v>0.20610742780229299</v>
      </c>
      <c r="J127" t="s">
        <v>65</v>
      </c>
    </row>
    <row r="128" spans="1:10" ht="15" customHeight="1">
      <c r="A128" s="55">
        <v>46193</v>
      </c>
      <c r="B128">
        <v>10</v>
      </c>
      <c r="C128" s="60">
        <v>-3.2626371046437201</v>
      </c>
      <c r="D128" s="60">
        <v>-2.7076950000000002</v>
      </c>
      <c r="E128" s="60">
        <v>0.39623006435628499</v>
      </c>
      <c r="F128" s="60">
        <f t="shared" si="3"/>
        <v>3.2626371046437201</v>
      </c>
      <c r="G128" s="60">
        <f t="shared" si="4"/>
        <v>2.7076950000000002</v>
      </c>
      <c r="H128" s="60">
        <f t="shared" si="5"/>
        <v>0.55494210464371996</v>
      </c>
      <c r="I128" s="61">
        <v>0.204950005315856</v>
      </c>
      <c r="J128" t="s">
        <v>65</v>
      </c>
    </row>
    <row r="129" spans="1:10" ht="15" customHeight="1">
      <c r="A129" s="55">
        <v>46182</v>
      </c>
      <c r="B129">
        <v>11</v>
      </c>
      <c r="C129" s="60">
        <v>-4.2399262014461803</v>
      </c>
      <c r="D129" s="60">
        <v>-3.5229149999999998</v>
      </c>
      <c r="E129" s="60">
        <v>-8.8580101446183404E-2</v>
      </c>
      <c r="F129" s="60">
        <f t="shared" si="3"/>
        <v>4.2399262014461803</v>
      </c>
      <c r="G129" s="60">
        <f t="shared" si="4"/>
        <v>3.5229149999999998</v>
      </c>
      <c r="H129" s="60">
        <f t="shared" si="5"/>
        <v>0.71701120144618047</v>
      </c>
      <c r="I129" s="61">
        <v>0.203527817573283</v>
      </c>
      <c r="J129" t="s">
        <v>65</v>
      </c>
    </row>
    <row r="130" spans="1:10" ht="15" customHeight="1">
      <c r="A130" s="55">
        <v>46197</v>
      </c>
      <c r="B130">
        <v>17</v>
      </c>
      <c r="C130" s="60">
        <v>-5.2224591962864704</v>
      </c>
      <c r="D130" s="60">
        <v>-4.346546</v>
      </c>
      <c r="E130" s="60">
        <v>-0.45783797128646803</v>
      </c>
      <c r="F130" s="60">
        <f t="shared" ref="F130:F193" si="6">ABS(C130)</f>
        <v>5.2224591962864704</v>
      </c>
      <c r="G130" s="60">
        <f t="shared" ref="G130:G193" si="7">ABS(D130)</f>
        <v>4.346546</v>
      </c>
      <c r="H130" s="60">
        <f t="shared" ref="H130:H193" si="8">ABS(G130-F130)</f>
        <v>0.87591319628647035</v>
      </c>
      <c r="I130" s="61">
        <v>0.201519366477766</v>
      </c>
      <c r="J130" t="s">
        <v>65</v>
      </c>
    </row>
    <row r="131" spans="1:10" ht="15" customHeight="1">
      <c r="A131" s="55">
        <v>46188</v>
      </c>
      <c r="B131">
        <v>8</v>
      </c>
      <c r="C131" s="60">
        <v>-2.8771361636388901</v>
      </c>
      <c r="D131" s="60">
        <v>-3.5902029999999998</v>
      </c>
      <c r="E131" s="60">
        <v>1.1568682047611101</v>
      </c>
      <c r="F131" s="60">
        <f t="shared" si="6"/>
        <v>2.8771361636388901</v>
      </c>
      <c r="G131" s="60">
        <f t="shared" si="7"/>
        <v>3.5902029999999998</v>
      </c>
      <c r="H131" s="60">
        <f t="shared" si="8"/>
        <v>0.71306683636110968</v>
      </c>
      <c r="I131" s="61">
        <v>0.198614628855557</v>
      </c>
      <c r="J131" t="s">
        <v>66</v>
      </c>
    </row>
    <row r="132" spans="1:10" ht="15" customHeight="1">
      <c r="A132" s="55">
        <v>46180</v>
      </c>
      <c r="B132">
        <v>13</v>
      </c>
      <c r="C132" s="60">
        <v>-2.9017659887434601</v>
      </c>
      <c r="D132" s="60">
        <v>-3.61673</v>
      </c>
      <c r="E132" s="60">
        <v>1.6454403324565401</v>
      </c>
      <c r="F132" s="60">
        <f t="shared" si="6"/>
        <v>2.9017659887434601</v>
      </c>
      <c r="G132" s="60">
        <f t="shared" si="7"/>
        <v>3.61673</v>
      </c>
      <c r="H132" s="60">
        <f t="shared" si="8"/>
        <v>0.71496401125653986</v>
      </c>
      <c r="I132" s="61">
        <v>0.19768244000977001</v>
      </c>
      <c r="J132" t="s">
        <v>66</v>
      </c>
    </row>
    <row r="133" spans="1:10" ht="15" customHeight="1">
      <c r="A133" s="55">
        <v>46200</v>
      </c>
      <c r="B133">
        <v>15</v>
      </c>
      <c r="C133" s="60">
        <v>-4.2993929635992902</v>
      </c>
      <c r="D133" s="60">
        <v>-3.5902029999999998</v>
      </c>
      <c r="E133" s="60">
        <v>0.13798989540070999</v>
      </c>
      <c r="F133" s="60">
        <f t="shared" si="6"/>
        <v>4.2993929635992902</v>
      </c>
      <c r="G133" s="60">
        <f t="shared" si="7"/>
        <v>3.5902029999999998</v>
      </c>
      <c r="H133" s="60">
        <f t="shared" si="8"/>
        <v>0.70918996359929043</v>
      </c>
      <c r="I133" s="61">
        <v>0.19753478106928499</v>
      </c>
      <c r="J133" t="s">
        <v>66</v>
      </c>
    </row>
    <row r="134" spans="1:10" ht="15" customHeight="1">
      <c r="A134" s="55">
        <v>46181</v>
      </c>
      <c r="B134">
        <v>14</v>
      </c>
      <c r="C134" s="60">
        <v>-4.3060506994972299</v>
      </c>
      <c r="D134" s="60">
        <v>-3.6012019999999998</v>
      </c>
      <c r="E134" s="60">
        <v>-0.203098905497231</v>
      </c>
      <c r="F134" s="60">
        <f t="shared" si="6"/>
        <v>4.3060506994972299</v>
      </c>
      <c r="G134" s="60">
        <f t="shared" si="7"/>
        <v>3.6012019999999998</v>
      </c>
      <c r="H134" s="60">
        <f t="shared" si="8"/>
        <v>0.70484869949723006</v>
      </c>
      <c r="I134" s="61">
        <v>0.195725954694358</v>
      </c>
      <c r="J134" t="s">
        <v>66</v>
      </c>
    </row>
    <row r="135" spans="1:10" ht="15" customHeight="1">
      <c r="A135" s="55">
        <v>46185</v>
      </c>
      <c r="B135">
        <v>11</v>
      </c>
      <c r="C135" s="60">
        <v>-4.4254563404751401</v>
      </c>
      <c r="D135" s="60">
        <v>-3.7027809999999999</v>
      </c>
      <c r="E135" s="60">
        <v>-0.41126841747514198</v>
      </c>
      <c r="F135" s="60">
        <f t="shared" si="6"/>
        <v>4.4254563404751401</v>
      </c>
      <c r="G135" s="60">
        <f t="shared" si="7"/>
        <v>3.7027809999999999</v>
      </c>
      <c r="H135" s="60">
        <f t="shared" si="8"/>
        <v>0.72267534047514026</v>
      </c>
      <c r="I135" s="61">
        <v>0.19517096487076699</v>
      </c>
      <c r="J135" t="s">
        <v>66</v>
      </c>
    </row>
    <row r="136" spans="1:10" ht="15" customHeight="1">
      <c r="A136" s="55">
        <v>46183</v>
      </c>
      <c r="B136">
        <v>11</v>
      </c>
      <c r="C136" s="60">
        <v>-4.2194904838454699</v>
      </c>
      <c r="D136" s="60">
        <v>-3.531326</v>
      </c>
      <c r="E136" s="60">
        <v>-0.10120349584546399</v>
      </c>
      <c r="F136" s="60">
        <f t="shared" si="6"/>
        <v>4.2194904838454699</v>
      </c>
      <c r="G136" s="60">
        <f t="shared" si="7"/>
        <v>3.531326</v>
      </c>
      <c r="H136" s="60">
        <f t="shared" si="8"/>
        <v>0.68816448384546991</v>
      </c>
      <c r="I136" s="61">
        <v>0.19487424379552201</v>
      </c>
      <c r="J136" t="s">
        <v>66</v>
      </c>
    </row>
    <row r="137" spans="1:10" ht="15" customHeight="1">
      <c r="A137" s="55">
        <v>46199</v>
      </c>
      <c r="B137">
        <v>8</v>
      </c>
      <c r="C137" s="60">
        <v>-3.7146418846387199</v>
      </c>
      <c r="D137" s="60">
        <v>-3.108835</v>
      </c>
      <c r="E137" s="60">
        <v>-0.23978216263871499</v>
      </c>
      <c r="F137" s="60">
        <f t="shared" si="6"/>
        <v>3.7146418846387199</v>
      </c>
      <c r="G137" s="60">
        <f t="shared" si="7"/>
        <v>3.108835</v>
      </c>
      <c r="H137" s="60">
        <f t="shared" si="8"/>
        <v>0.6058068846387199</v>
      </c>
      <c r="I137" s="61">
        <v>0.19486620699995799</v>
      </c>
      <c r="J137" t="s">
        <v>66</v>
      </c>
    </row>
    <row r="138" spans="1:10" ht="15" customHeight="1">
      <c r="A138" s="55">
        <v>46184</v>
      </c>
      <c r="B138">
        <v>14</v>
      </c>
      <c r="C138" s="60">
        <v>-4.59164612954467</v>
      </c>
      <c r="D138" s="60">
        <v>-3.847709</v>
      </c>
      <c r="E138" s="60">
        <v>-0.129404883544672</v>
      </c>
      <c r="F138" s="60">
        <f t="shared" si="6"/>
        <v>4.59164612954467</v>
      </c>
      <c r="G138" s="60">
        <f t="shared" si="7"/>
        <v>3.847709</v>
      </c>
      <c r="H138" s="60">
        <f t="shared" si="8"/>
        <v>0.74393712954466995</v>
      </c>
      <c r="I138" s="61">
        <v>0.19334547637169899</v>
      </c>
      <c r="J138" t="s">
        <v>66</v>
      </c>
    </row>
    <row r="139" spans="1:10" ht="15" customHeight="1">
      <c r="A139" s="55">
        <v>46200</v>
      </c>
      <c r="B139">
        <v>13</v>
      </c>
      <c r="C139" s="60">
        <v>-4.2452020178293202</v>
      </c>
      <c r="D139" s="60">
        <v>-3.5585</v>
      </c>
      <c r="E139" s="60">
        <v>0.19645427617068001</v>
      </c>
      <c r="F139" s="60">
        <f t="shared" si="6"/>
        <v>4.2452020178293202</v>
      </c>
      <c r="G139" s="60">
        <f t="shared" si="7"/>
        <v>3.5585</v>
      </c>
      <c r="H139" s="60">
        <f t="shared" si="8"/>
        <v>0.68670201782932017</v>
      </c>
      <c r="I139" s="61">
        <v>0.19297513498084001</v>
      </c>
      <c r="J139" t="s">
        <v>66</v>
      </c>
    </row>
    <row r="140" spans="1:10" ht="15" customHeight="1">
      <c r="A140" s="55">
        <v>46184</v>
      </c>
      <c r="B140">
        <v>13</v>
      </c>
      <c r="C140" s="60">
        <v>-4.2211532369262903</v>
      </c>
      <c r="D140" s="60">
        <v>-3.5436190000000001</v>
      </c>
      <c r="E140" s="60">
        <v>-4.0646199926284897E-2</v>
      </c>
      <c r="F140" s="60">
        <f t="shared" si="6"/>
        <v>4.2211532369262903</v>
      </c>
      <c r="G140" s="60">
        <f t="shared" si="7"/>
        <v>3.5436190000000001</v>
      </c>
      <c r="H140" s="60">
        <f t="shared" si="8"/>
        <v>0.67753423692629022</v>
      </c>
      <c r="I140" s="61">
        <v>0.191198386995409</v>
      </c>
      <c r="J140" t="s">
        <v>66</v>
      </c>
    </row>
    <row r="141" spans="1:10" ht="15" customHeight="1">
      <c r="A141" s="55">
        <v>46182</v>
      </c>
      <c r="B141">
        <v>13</v>
      </c>
      <c r="C141" s="60">
        <v>-4.2000586822466301</v>
      </c>
      <c r="D141" s="60">
        <v>-3.5319729999999998</v>
      </c>
      <c r="E141" s="60">
        <v>-1.3632112846628601E-2</v>
      </c>
      <c r="F141" s="60">
        <f t="shared" si="6"/>
        <v>4.2000586822466301</v>
      </c>
      <c r="G141" s="60">
        <f t="shared" si="7"/>
        <v>3.5319729999999998</v>
      </c>
      <c r="H141" s="60">
        <f t="shared" si="8"/>
        <v>0.66808568224663034</v>
      </c>
      <c r="I141" s="61">
        <v>0.18915367763191501</v>
      </c>
      <c r="J141" t="s">
        <v>66</v>
      </c>
    </row>
    <row r="142" spans="1:10" ht="15" customHeight="1">
      <c r="A142" s="55">
        <v>46183</v>
      </c>
      <c r="B142">
        <v>16</v>
      </c>
      <c r="C142" s="60">
        <v>-4.7844629958671003</v>
      </c>
      <c r="D142" s="60">
        <v>-4.0236929999999997</v>
      </c>
      <c r="E142" s="60">
        <v>-0.45148523286710301</v>
      </c>
      <c r="F142" s="60">
        <f t="shared" si="6"/>
        <v>4.7844629958671003</v>
      </c>
      <c r="G142" s="60">
        <f t="shared" si="7"/>
        <v>4.0236929999999997</v>
      </c>
      <c r="H142" s="60">
        <f t="shared" si="8"/>
        <v>0.76076999586710059</v>
      </c>
      <c r="I142" s="61">
        <v>0.18907257483786699</v>
      </c>
      <c r="J142" t="s">
        <v>66</v>
      </c>
    </row>
    <row r="143" spans="1:10" ht="15" customHeight="1">
      <c r="A143" s="55">
        <v>46195</v>
      </c>
      <c r="B143">
        <v>9</v>
      </c>
      <c r="C143" s="60">
        <v>-3.9754314363752101</v>
      </c>
      <c r="D143" s="60">
        <v>-3.3462839999999998</v>
      </c>
      <c r="E143" s="60">
        <v>-0.105058026375213</v>
      </c>
      <c r="F143" s="60">
        <f t="shared" si="6"/>
        <v>3.9754314363752101</v>
      </c>
      <c r="G143" s="60">
        <f t="shared" si="7"/>
        <v>3.3462839999999998</v>
      </c>
      <c r="H143" s="60">
        <f t="shared" si="8"/>
        <v>0.62914743637521031</v>
      </c>
      <c r="I143" s="61">
        <v>0.18801375985278401</v>
      </c>
      <c r="J143" t="s">
        <v>66</v>
      </c>
    </row>
    <row r="144" spans="1:10" ht="15" customHeight="1">
      <c r="A144" s="55">
        <v>46192</v>
      </c>
      <c r="B144">
        <v>8</v>
      </c>
      <c r="C144" s="60">
        <v>-3.0578765589572501</v>
      </c>
      <c r="D144" s="60">
        <v>-3.7597170000000002</v>
      </c>
      <c r="E144" s="60">
        <v>1.07118686104275</v>
      </c>
      <c r="F144" s="60">
        <f t="shared" si="6"/>
        <v>3.0578765589572501</v>
      </c>
      <c r="G144" s="60">
        <f t="shared" si="7"/>
        <v>3.7597170000000002</v>
      </c>
      <c r="H144" s="60">
        <f t="shared" si="8"/>
        <v>0.70184044104275012</v>
      </c>
      <c r="I144" s="61">
        <v>0.18667374194460601</v>
      </c>
      <c r="J144" t="s">
        <v>66</v>
      </c>
    </row>
    <row r="145" spans="1:10" ht="15" customHeight="1">
      <c r="A145" s="55">
        <v>46191</v>
      </c>
      <c r="B145">
        <v>9</v>
      </c>
      <c r="C145" s="60">
        <v>-3.6919346458102198</v>
      </c>
      <c r="D145" s="60">
        <v>-4.5374109999999996</v>
      </c>
      <c r="E145" s="60">
        <v>1.25647792818978</v>
      </c>
      <c r="F145" s="60">
        <f t="shared" si="6"/>
        <v>3.6919346458102198</v>
      </c>
      <c r="G145" s="60">
        <f t="shared" si="7"/>
        <v>4.5374109999999996</v>
      </c>
      <c r="H145" s="60">
        <f t="shared" si="8"/>
        <v>0.84547635418977984</v>
      </c>
      <c r="I145" s="61">
        <v>0.186334531782503</v>
      </c>
      <c r="J145" t="s">
        <v>66</v>
      </c>
    </row>
    <row r="146" spans="1:10" ht="15" customHeight="1">
      <c r="A146" s="55">
        <v>46184</v>
      </c>
      <c r="B146">
        <v>12</v>
      </c>
      <c r="C146" s="60">
        <v>-4.1821587802553903</v>
      </c>
      <c r="D146" s="60">
        <v>-3.527444</v>
      </c>
      <c r="E146" s="60">
        <v>-7.1599130553924801E-3</v>
      </c>
      <c r="F146" s="60">
        <f t="shared" si="6"/>
        <v>4.1821587802553903</v>
      </c>
      <c r="G146" s="60">
        <f t="shared" si="7"/>
        <v>3.527444</v>
      </c>
      <c r="H146" s="60">
        <f t="shared" si="8"/>
        <v>0.65471478025539032</v>
      </c>
      <c r="I146" s="61">
        <v>0.185606002605681</v>
      </c>
      <c r="J146" t="s">
        <v>66</v>
      </c>
    </row>
    <row r="147" spans="1:10" ht="15" customHeight="1">
      <c r="A147" s="55">
        <v>46197</v>
      </c>
      <c r="B147">
        <v>16</v>
      </c>
      <c r="C147" s="60">
        <v>-5.19369279930131</v>
      </c>
      <c r="D147" s="60">
        <v>-4.3840719999999997</v>
      </c>
      <c r="E147" s="60">
        <v>-0.34459860730131497</v>
      </c>
      <c r="F147" s="60">
        <f t="shared" si="6"/>
        <v>5.19369279930131</v>
      </c>
      <c r="G147" s="60">
        <f t="shared" si="7"/>
        <v>4.3840719999999997</v>
      </c>
      <c r="H147" s="60">
        <f t="shared" si="8"/>
        <v>0.80962079930131026</v>
      </c>
      <c r="I147" s="61">
        <v>0.18467324425814999</v>
      </c>
      <c r="J147" t="s">
        <v>66</v>
      </c>
    </row>
    <row r="148" spans="1:10" ht="15" customHeight="1">
      <c r="A148" s="55">
        <v>46202</v>
      </c>
      <c r="B148">
        <v>9</v>
      </c>
      <c r="C148" s="60">
        <v>-4.1742564879848896</v>
      </c>
      <c r="D148" s="60">
        <v>-3.529385</v>
      </c>
      <c r="E148" s="60">
        <v>-0.189157684984889</v>
      </c>
      <c r="F148" s="60">
        <f t="shared" si="6"/>
        <v>4.1742564879848896</v>
      </c>
      <c r="G148" s="60">
        <f t="shared" si="7"/>
        <v>3.529385</v>
      </c>
      <c r="H148" s="60">
        <f t="shared" si="8"/>
        <v>0.64487148798488958</v>
      </c>
      <c r="I148" s="61">
        <v>0.18271497385093699</v>
      </c>
      <c r="J148" t="s">
        <v>66</v>
      </c>
    </row>
    <row r="149" spans="1:10" ht="15" customHeight="1">
      <c r="A149" s="55">
        <v>46193</v>
      </c>
      <c r="B149">
        <v>17</v>
      </c>
      <c r="C149" s="60">
        <v>-4.22196234997016</v>
      </c>
      <c r="D149" s="60">
        <v>-3.5707930000000001</v>
      </c>
      <c r="E149" s="60">
        <v>1.6103101029844399E-2</v>
      </c>
      <c r="F149" s="60">
        <f t="shared" si="6"/>
        <v>4.22196234997016</v>
      </c>
      <c r="G149" s="60">
        <f t="shared" si="7"/>
        <v>3.5707930000000001</v>
      </c>
      <c r="H149" s="60">
        <f t="shared" si="8"/>
        <v>0.65116934997015985</v>
      </c>
      <c r="I149" s="61">
        <v>0.18235987075424301</v>
      </c>
      <c r="J149" t="s">
        <v>66</v>
      </c>
    </row>
    <row r="150" spans="1:10" ht="15" customHeight="1">
      <c r="A150" s="55">
        <v>46186</v>
      </c>
      <c r="B150">
        <v>10</v>
      </c>
      <c r="C150" s="60">
        <v>-3.0346482112143698</v>
      </c>
      <c r="D150" s="60">
        <v>-3.7073100000000001</v>
      </c>
      <c r="E150" s="60">
        <v>1.45767724078563</v>
      </c>
      <c r="F150" s="60">
        <f t="shared" si="6"/>
        <v>3.0346482112143698</v>
      </c>
      <c r="G150" s="60">
        <f t="shared" si="7"/>
        <v>3.7073100000000001</v>
      </c>
      <c r="H150" s="60">
        <f t="shared" si="8"/>
        <v>0.67266178878563032</v>
      </c>
      <c r="I150" s="61">
        <v>0.181442012884176</v>
      </c>
      <c r="J150" t="s">
        <v>66</v>
      </c>
    </row>
    <row r="151" spans="1:10" ht="15" customHeight="1">
      <c r="A151" s="55">
        <v>46191</v>
      </c>
      <c r="B151">
        <v>15</v>
      </c>
      <c r="C151" s="60">
        <v>-4.6764551911281096</v>
      </c>
      <c r="D151" s="60">
        <v>-3.9674040000000002</v>
      </c>
      <c r="E151" s="60">
        <v>-0.268055344128108</v>
      </c>
      <c r="F151" s="60">
        <f t="shared" si="6"/>
        <v>4.6764551911281096</v>
      </c>
      <c r="G151" s="60">
        <f t="shared" si="7"/>
        <v>3.9674040000000002</v>
      </c>
      <c r="H151" s="60">
        <f t="shared" si="8"/>
        <v>0.70905119112810944</v>
      </c>
      <c r="I151" s="61">
        <v>0.178719180382968</v>
      </c>
      <c r="J151" t="s">
        <v>66</v>
      </c>
    </row>
    <row r="152" spans="1:10" ht="15" customHeight="1">
      <c r="A152" s="55">
        <v>46181</v>
      </c>
      <c r="B152">
        <v>8</v>
      </c>
      <c r="C152" s="60">
        <v>-2.9941735399336098</v>
      </c>
      <c r="D152" s="60">
        <v>-3.6451980000000002</v>
      </c>
      <c r="E152" s="60">
        <v>1.05402846706639</v>
      </c>
      <c r="F152" s="60">
        <f t="shared" si="6"/>
        <v>2.9941735399336098</v>
      </c>
      <c r="G152" s="60">
        <f t="shared" si="7"/>
        <v>3.6451980000000002</v>
      </c>
      <c r="H152" s="60">
        <f t="shared" si="8"/>
        <v>0.65102446006639036</v>
      </c>
      <c r="I152" s="61">
        <v>0.17859783201526799</v>
      </c>
      <c r="J152" t="s">
        <v>66</v>
      </c>
    </row>
    <row r="153" spans="1:10" ht="15" customHeight="1">
      <c r="A153" s="55">
        <v>46179</v>
      </c>
      <c r="B153">
        <v>9</v>
      </c>
      <c r="C153" s="60">
        <v>-2.9162387159988699</v>
      </c>
      <c r="D153" s="60">
        <v>-3.5487950000000001</v>
      </c>
      <c r="E153" s="60">
        <v>1.34456671460113</v>
      </c>
      <c r="F153" s="60">
        <f t="shared" si="6"/>
        <v>2.9162387159988699</v>
      </c>
      <c r="G153" s="60">
        <f t="shared" si="7"/>
        <v>3.5487950000000001</v>
      </c>
      <c r="H153" s="60">
        <f t="shared" si="8"/>
        <v>0.63255628400113029</v>
      </c>
      <c r="I153" s="61">
        <v>0.17824537173917601</v>
      </c>
      <c r="J153" t="s">
        <v>66</v>
      </c>
    </row>
    <row r="154" spans="1:10" ht="15" customHeight="1">
      <c r="A154" s="55">
        <v>46196</v>
      </c>
      <c r="B154">
        <v>9</v>
      </c>
      <c r="C154" s="60">
        <v>-4.1867031855066497</v>
      </c>
      <c r="D154" s="60">
        <v>-3.5539710000000002</v>
      </c>
      <c r="E154" s="60">
        <v>-0.17678287450664501</v>
      </c>
      <c r="F154" s="60">
        <f t="shared" si="6"/>
        <v>4.1867031855066497</v>
      </c>
      <c r="G154" s="60">
        <f t="shared" si="7"/>
        <v>3.5539710000000002</v>
      </c>
      <c r="H154" s="60">
        <f t="shared" si="8"/>
        <v>0.63273218550664945</v>
      </c>
      <c r="I154" s="61">
        <v>0.178035269704408</v>
      </c>
      <c r="J154" t="s">
        <v>66</v>
      </c>
    </row>
    <row r="155" spans="1:10" ht="15" customHeight="1">
      <c r="A155" s="55">
        <v>46177</v>
      </c>
      <c r="B155">
        <v>12</v>
      </c>
      <c r="C155" s="60">
        <v>-3.84464430532595</v>
      </c>
      <c r="D155" s="60">
        <v>-3.265409</v>
      </c>
      <c r="E155" s="60">
        <v>4.6996641674051501E-2</v>
      </c>
      <c r="F155" s="60">
        <f t="shared" si="6"/>
        <v>3.84464430532595</v>
      </c>
      <c r="G155" s="60">
        <f t="shared" si="7"/>
        <v>3.265409</v>
      </c>
      <c r="H155" s="60">
        <f t="shared" si="8"/>
        <v>0.57923530532595002</v>
      </c>
      <c r="I155" s="61">
        <v>0.177385223512873</v>
      </c>
      <c r="J155" t="s">
        <v>66</v>
      </c>
    </row>
    <row r="156" spans="1:10" ht="15" customHeight="1">
      <c r="A156" s="55">
        <v>46200</v>
      </c>
      <c r="B156">
        <v>12</v>
      </c>
      <c r="C156" s="60">
        <v>-4.1538635296407396</v>
      </c>
      <c r="D156" s="60">
        <v>-3.540384</v>
      </c>
      <c r="E156" s="60">
        <v>0.34731417635925799</v>
      </c>
      <c r="F156" s="60">
        <f t="shared" si="6"/>
        <v>4.1538635296407396</v>
      </c>
      <c r="G156" s="60">
        <f t="shared" si="7"/>
        <v>3.540384</v>
      </c>
      <c r="H156" s="60">
        <f t="shared" si="8"/>
        <v>0.6134795296407396</v>
      </c>
      <c r="I156" s="61">
        <v>0.17328050562897701</v>
      </c>
      <c r="J156" t="s">
        <v>66</v>
      </c>
    </row>
    <row r="157" spans="1:10" ht="15" customHeight="1">
      <c r="A157" s="55">
        <v>46180</v>
      </c>
      <c r="B157">
        <v>14</v>
      </c>
      <c r="C157" s="60">
        <v>-3.0006650220128699</v>
      </c>
      <c r="D157" s="60">
        <v>-3.6264349999999999</v>
      </c>
      <c r="E157" s="60">
        <v>1.5470968133871299</v>
      </c>
      <c r="F157" s="60">
        <f t="shared" si="6"/>
        <v>3.0006650220128699</v>
      </c>
      <c r="G157" s="60">
        <f t="shared" si="7"/>
        <v>3.6264349999999999</v>
      </c>
      <c r="H157" s="60">
        <f t="shared" si="8"/>
        <v>0.62576997798712997</v>
      </c>
      <c r="I157" s="61">
        <v>0.17255789170001101</v>
      </c>
      <c r="J157" t="s">
        <v>66</v>
      </c>
    </row>
    <row r="158" spans="1:10" ht="15" customHeight="1">
      <c r="A158" s="55">
        <v>46203</v>
      </c>
      <c r="B158">
        <v>8</v>
      </c>
      <c r="C158" s="60">
        <v>-3.7295903303746401</v>
      </c>
      <c r="D158" s="60">
        <v>-3.1832400000000001</v>
      </c>
      <c r="E158" s="60">
        <v>-0.30702761837463699</v>
      </c>
      <c r="F158" s="60">
        <f t="shared" si="6"/>
        <v>3.7295903303746401</v>
      </c>
      <c r="G158" s="60">
        <f t="shared" si="7"/>
        <v>3.1832400000000001</v>
      </c>
      <c r="H158" s="60">
        <f t="shared" si="8"/>
        <v>0.54635033037463998</v>
      </c>
      <c r="I158" s="61">
        <v>0.171633408217614</v>
      </c>
      <c r="J158" t="s">
        <v>66</v>
      </c>
    </row>
    <row r="159" spans="1:10" ht="15" customHeight="1">
      <c r="A159" s="55">
        <v>46194</v>
      </c>
      <c r="B159">
        <v>12</v>
      </c>
      <c r="C159" s="60">
        <v>-2.9088560286273601</v>
      </c>
      <c r="D159" s="60">
        <v>-3.511269</v>
      </c>
      <c r="E159" s="60">
        <v>1.75209108097264</v>
      </c>
      <c r="F159" s="60">
        <f t="shared" si="6"/>
        <v>2.9088560286273601</v>
      </c>
      <c r="G159" s="60">
        <f t="shared" si="7"/>
        <v>3.511269</v>
      </c>
      <c r="H159" s="60">
        <f t="shared" si="8"/>
        <v>0.60241297137263983</v>
      </c>
      <c r="I159" s="61">
        <v>0.171565599608756</v>
      </c>
      <c r="J159" t="s">
        <v>66</v>
      </c>
    </row>
    <row r="160" spans="1:10" ht="15" customHeight="1">
      <c r="A160" s="55">
        <v>46198</v>
      </c>
      <c r="B160">
        <v>16</v>
      </c>
      <c r="C160" s="60">
        <v>-5.1554331673910703</v>
      </c>
      <c r="D160" s="60">
        <v>-4.4028349999999996</v>
      </c>
      <c r="E160" s="60">
        <v>-6.7933709391073696E-2</v>
      </c>
      <c r="F160" s="60">
        <f t="shared" si="6"/>
        <v>5.1554331673910703</v>
      </c>
      <c r="G160" s="60">
        <f t="shared" si="7"/>
        <v>4.4028349999999996</v>
      </c>
      <c r="H160" s="60">
        <f t="shared" si="8"/>
        <v>0.75259816739107066</v>
      </c>
      <c r="I160" s="61">
        <v>0.170934901578432</v>
      </c>
      <c r="J160" t="s">
        <v>66</v>
      </c>
    </row>
    <row r="161" spans="1:10" ht="15" customHeight="1">
      <c r="A161" s="55">
        <v>46178</v>
      </c>
      <c r="B161">
        <v>15</v>
      </c>
      <c r="C161" s="60">
        <v>-4.2111256091432701</v>
      </c>
      <c r="D161" s="60">
        <v>-3.5973199999999999</v>
      </c>
      <c r="E161" s="60">
        <v>8.2224050856725503E-2</v>
      </c>
      <c r="F161" s="60">
        <f t="shared" si="6"/>
        <v>4.2111256091432701</v>
      </c>
      <c r="G161" s="60">
        <f t="shared" si="7"/>
        <v>3.5973199999999999</v>
      </c>
      <c r="H161" s="60">
        <f t="shared" si="8"/>
        <v>0.6138056091432702</v>
      </c>
      <c r="I161" s="61">
        <v>0.17062858159498601</v>
      </c>
      <c r="J161" t="s">
        <v>66</v>
      </c>
    </row>
    <row r="162" spans="1:10" ht="15" customHeight="1">
      <c r="A162" s="55">
        <v>46185</v>
      </c>
      <c r="B162">
        <v>16</v>
      </c>
      <c r="C162" s="60">
        <v>-4.8440745422562399</v>
      </c>
      <c r="D162" s="60">
        <v>-4.1388590000000001</v>
      </c>
      <c r="E162" s="60">
        <v>-0.41498492925624197</v>
      </c>
      <c r="F162" s="60">
        <f t="shared" si="6"/>
        <v>4.8440745422562399</v>
      </c>
      <c r="G162" s="60">
        <f t="shared" si="7"/>
        <v>4.1388590000000001</v>
      </c>
      <c r="H162" s="60">
        <f t="shared" si="8"/>
        <v>0.70521554225623984</v>
      </c>
      <c r="I162" s="61">
        <v>0.17038887825273599</v>
      </c>
      <c r="J162" t="s">
        <v>66</v>
      </c>
    </row>
    <row r="163" spans="1:10" ht="15" customHeight="1">
      <c r="A163" s="55">
        <v>46178</v>
      </c>
      <c r="B163">
        <v>16</v>
      </c>
      <c r="C163" s="60">
        <v>-4.1904172227223597</v>
      </c>
      <c r="D163" s="60">
        <v>-3.5817920000000001</v>
      </c>
      <c r="E163" s="60">
        <v>9.3081277638114402E-5</v>
      </c>
      <c r="F163" s="60">
        <f t="shared" si="6"/>
        <v>4.1904172227223597</v>
      </c>
      <c r="G163" s="60">
        <f t="shared" si="7"/>
        <v>3.5817920000000001</v>
      </c>
      <c r="H163" s="60">
        <f t="shared" si="8"/>
        <v>0.60862522272235964</v>
      </c>
      <c r="I163" s="61">
        <v>0.16992198952992299</v>
      </c>
      <c r="J163" t="s">
        <v>66</v>
      </c>
    </row>
    <row r="164" spans="1:10" ht="15" customHeight="1">
      <c r="A164" s="55">
        <v>46195</v>
      </c>
      <c r="B164">
        <v>8</v>
      </c>
      <c r="C164" s="60">
        <v>-3.0991236891547702</v>
      </c>
      <c r="D164" s="60">
        <v>-2.6546409999999998</v>
      </c>
      <c r="E164" s="60">
        <v>-5.2453881547701803E-3</v>
      </c>
      <c r="F164" s="60">
        <f t="shared" si="6"/>
        <v>3.0991236891547702</v>
      </c>
      <c r="G164" s="60">
        <f t="shared" si="7"/>
        <v>2.6546409999999998</v>
      </c>
      <c r="H164" s="60">
        <f t="shared" si="8"/>
        <v>0.44448268915477041</v>
      </c>
      <c r="I164" s="61">
        <v>0.167436082376024</v>
      </c>
      <c r="J164" t="s">
        <v>66</v>
      </c>
    </row>
    <row r="165" spans="1:10" ht="15" customHeight="1">
      <c r="A165" s="55">
        <v>46181</v>
      </c>
      <c r="B165">
        <v>12</v>
      </c>
      <c r="C165" s="60">
        <v>-4.2125681572560101</v>
      </c>
      <c r="D165" s="60">
        <v>-3.609613</v>
      </c>
      <c r="E165" s="60">
        <v>-2.95102456005939E-4</v>
      </c>
      <c r="F165" s="60">
        <f t="shared" si="6"/>
        <v>4.2125681572560101</v>
      </c>
      <c r="G165" s="60">
        <f t="shared" si="7"/>
        <v>3.609613</v>
      </c>
      <c r="H165" s="60">
        <f t="shared" si="8"/>
        <v>0.60295515725601012</v>
      </c>
      <c r="I165" s="61">
        <v>0.16704149648618999</v>
      </c>
      <c r="J165" t="s">
        <v>66</v>
      </c>
    </row>
    <row r="166" spans="1:10" ht="15" customHeight="1">
      <c r="A166" s="55">
        <v>46202</v>
      </c>
      <c r="B166">
        <v>8</v>
      </c>
      <c r="C166" s="60">
        <v>-3.3492157979238302</v>
      </c>
      <c r="D166" s="60">
        <v>-2.8707389999999999</v>
      </c>
      <c r="E166" s="60">
        <v>-4.9707309923827298E-2</v>
      </c>
      <c r="F166" s="60">
        <f t="shared" si="6"/>
        <v>3.3492157979238302</v>
      </c>
      <c r="G166" s="60">
        <f t="shared" si="7"/>
        <v>2.8707389999999999</v>
      </c>
      <c r="H166" s="60">
        <f t="shared" si="8"/>
        <v>0.47847679792383024</v>
      </c>
      <c r="I166" s="61">
        <v>0.16667373729336901</v>
      </c>
      <c r="J166" t="s">
        <v>66</v>
      </c>
    </row>
    <row r="167" spans="1:10" ht="15" customHeight="1">
      <c r="A167" s="55">
        <v>46186</v>
      </c>
      <c r="B167">
        <v>11</v>
      </c>
      <c r="C167" s="60">
        <v>-3.086265851247</v>
      </c>
      <c r="D167" s="60">
        <v>-3.6943700000000002</v>
      </c>
      <c r="E167" s="60">
        <v>1.517758974753</v>
      </c>
      <c r="F167" s="60">
        <f t="shared" si="6"/>
        <v>3.086265851247</v>
      </c>
      <c r="G167" s="60">
        <f t="shared" si="7"/>
        <v>3.6943700000000002</v>
      </c>
      <c r="H167" s="60">
        <f t="shared" si="8"/>
        <v>0.60810414875300012</v>
      </c>
      <c r="I167" s="61">
        <v>0.16460293602237899</v>
      </c>
      <c r="J167" t="s">
        <v>66</v>
      </c>
    </row>
    <row r="168" spans="1:10" ht="15" customHeight="1">
      <c r="A168" s="55">
        <v>46184</v>
      </c>
      <c r="B168">
        <v>11</v>
      </c>
      <c r="C168" s="60">
        <v>-4.1080290445653604</v>
      </c>
      <c r="D168" s="60">
        <v>-3.5287380000000002</v>
      </c>
      <c r="E168" s="60">
        <v>8.02432864346386E-2</v>
      </c>
      <c r="F168" s="60">
        <f t="shared" si="6"/>
        <v>4.1080290445653604</v>
      </c>
      <c r="G168" s="60">
        <f t="shared" si="7"/>
        <v>3.5287380000000002</v>
      </c>
      <c r="H168" s="60">
        <f t="shared" si="8"/>
        <v>0.57929104456536029</v>
      </c>
      <c r="I168" s="61">
        <v>0.16416380149655799</v>
      </c>
      <c r="J168" t="s">
        <v>66</v>
      </c>
    </row>
    <row r="169" spans="1:10" ht="15" customHeight="1">
      <c r="A169" s="55">
        <v>46198</v>
      </c>
      <c r="B169">
        <v>15</v>
      </c>
      <c r="C169" s="60">
        <v>-5.0798313400681199</v>
      </c>
      <c r="D169" s="60">
        <v>-4.3666029999999996</v>
      </c>
      <c r="E169" s="60">
        <v>3.64699699318837E-2</v>
      </c>
      <c r="F169" s="60">
        <f t="shared" si="6"/>
        <v>5.0798313400681199</v>
      </c>
      <c r="G169" s="60">
        <f t="shared" si="7"/>
        <v>4.3666029999999996</v>
      </c>
      <c r="H169" s="60">
        <f t="shared" si="8"/>
        <v>0.7132283400681203</v>
      </c>
      <c r="I169" s="61">
        <v>0.16333711584683</v>
      </c>
      <c r="J169" t="s">
        <v>66</v>
      </c>
    </row>
    <row r="170" spans="1:10" ht="15" customHeight="1">
      <c r="A170" s="55">
        <v>46201</v>
      </c>
      <c r="B170">
        <v>11</v>
      </c>
      <c r="C170" s="60">
        <v>-2.9902046772281499</v>
      </c>
      <c r="D170" s="60">
        <v>-3.569499</v>
      </c>
      <c r="E170" s="60">
        <v>1.7053020667718499</v>
      </c>
      <c r="F170" s="60">
        <f t="shared" si="6"/>
        <v>2.9902046772281499</v>
      </c>
      <c r="G170" s="60">
        <f t="shared" si="7"/>
        <v>3.569499</v>
      </c>
      <c r="H170" s="60">
        <f t="shared" si="8"/>
        <v>0.57929432277185011</v>
      </c>
      <c r="I170" s="61">
        <v>0.16229009246727699</v>
      </c>
      <c r="J170" t="s">
        <v>66</v>
      </c>
    </row>
    <row r="171" spans="1:10" ht="15" customHeight="1">
      <c r="A171" s="55">
        <v>46202</v>
      </c>
      <c r="B171">
        <v>16</v>
      </c>
      <c r="C171" s="60">
        <v>-5.5295756919649603</v>
      </c>
      <c r="D171" s="60">
        <v>-4.7664489999999997</v>
      </c>
      <c r="E171" s="60">
        <v>-0.37988335896495501</v>
      </c>
      <c r="F171" s="60">
        <f t="shared" si="6"/>
        <v>5.5295756919649603</v>
      </c>
      <c r="G171" s="60">
        <f t="shared" si="7"/>
        <v>4.7664489999999997</v>
      </c>
      <c r="H171" s="60">
        <f t="shared" si="8"/>
        <v>0.76312669196496064</v>
      </c>
      <c r="I171" s="61">
        <v>0.16010381983840699</v>
      </c>
      <c r="J171" t="s">
        <v>66</v>
      </c>
    </row>
    <row r="172" spans="1:10" ht="15" customHeight="1">
      <c r="A172" s="55">
        <v>46198</v>
      </c>
      <c r="B172">
        <v>17</v>
      </c>
      <c r="C172" s="60">
        <v>-5.1557050333849803</v>
      </c>
      <c r="D172" s="60">
        <v>-4.4507130000000004</v>
      </c>
      <c r="E172" s="60">
        <v>-0.218004191384984</v>
      </c>
      <c r="F172" s="60">
        <f t="shared" si="6"/>
        <v>5.1557050333849803</v>
      </c>
      <c r="G172" s="60">
        <f t="shared" si="7"/>
        <v>4.4507130000000004</v>
      </c>
      <c r="H172" s="60">
        <f t="shared" si="8"/>
        <v>0.70499203338497995</v>
      </c>
      <c r="I172" s="61">
        <v>0.158399796478673</v>
      </c>
      <c r="J172" t="s">
        <v>66</v>
      </c>
    </row>
    <row r="173" spans="1:10" ht="15" customHeight="1">
      <c r="A173" s="55">
        <v>46196</v>
      </c>
      <c r="B173">
        <v>8</v>
      </c>
      <c r="C173" s="60">
        <v>-3.44015065218233</v>
      </c>
      <c r="D173" s="60">
        <v>-2.974259</v>
      </c>
      <c r="E173" s="60">
        <v>-0.145766404182329</v>
      </c>
      <c r="F173" s="60">
        <f t="shared" si="6"/>
        <v>3.44015065218233</v>
      </c>
      <c r="G173" s="60">
        <f t="shared" si="7"/>
        <v>2.974259</v>
      </c>
      <c r="H173" s="60">
        <f t="shared" si="8"/>
        <v>0.46589165218232997</v>
      </c>
      <c r="I173" s="61">
        <v>0.15664125154612599</v>
      </c>
      <c r="J173" t="s">
        <v>66</v>
      </c>
    </row>
    <row r="174" spans="1:10" ht="15" customHeight="1">
      <c r="A174" s="55">
        <v>46192</v>
      </c>
      <c r="B174">
        <v>12</v>
      </c>
      <c r="C174" s="60">
        <v>-4.1945184566243299</v>
      </c>
      <c r="D174" s="60">
        <v>-3.6309640000000001</v>
      </c>
      <c r="E174" s="60">
        <v>0.30309427937566802</v>
      </c>
      <c r="F174" s="60">
        <f t="shared" si="6"/>
        <v>4.1945184566243299</v>
      </c>
      <c r="G174" s="60">
        <f t="shared" si="7"/>
        <v>3.6309640000000001</v>
      </c>
      <c r="H174" s="60">
        <f t="shared" si="8"/>
        <v>0.56355445662432979</v>
      </c>
      <c r="I174" s="61">
        <v>0.15520794384751099</v>
      </c>
      <c r="J174" t="s">
        <v>66</v>
      </c>
    </row>
    <row r="175" spans="1:10" ht="15" customHeight="1">
      <c r="A175" s="55">
        <v>46180</v>
      </c>
      <c r="B175">
        <v>15</v>
      </c>
      <c r="C175" s="60">
        <v>-3.0817414244405401</v>
      </c>
      <c r="D175" s="60">
        <v>-3.6451980000000002</v>
      </c>
      <c r="E175" s="60">
        <v>1.47328945595946</v>
      </c>
      <c r="F175" s="60">
        <f t="shared" si="6"/>
        <v>3.0817414244405401</v>
      </c>
      <c r="G175" s="60">
        <f t="shared" si="7"/>
        <v>3.6451980000000002</v>
      </c>
      <c r="H175" s="60">
        <f t="shared" si="8"/>
        <v>0.56345657555946005</v>
      </c>
      <c r="I175" s="61">
        <v>0.15457502598198</v>
      </c>
      <c r="J175" t="s">
        <v>66</v>
      </c>
    </row>
    <row r="176" spans="1:10" ht="15" customHeight="1">
      <c r="A176" s="55">
        <v>46180</v>
      </c>
      <c r="B176">
        <v>16</v>
      </c>
      <c r="C176" s="60">
        <v>-3.1029218251589499</v>
      </c>
      <c r="D176" s="60">
        <v>-3.645845</v>
      </c>
      <c r="E176" s="60">
        <v>1.3337942356410499</v>
      </c>
      <c r="F176" s="60">
        <f t="shared" si="6"/>
        <v>3.1029218251589499</v>
      </c>
      <c r="G176" s="60">
        <f t="shared" si="7"/>
        <v>3.645845</v>
      </c>
      <c r="H176" s="60">
        <f t="shared" si="8"/>
        <v>0.54292317484105013</v>
      </c>
      <c r="I176" s="61">
        <v>0.14891559428364401</v>
      </c>
      <c r="J176" t="s">
        <v>66</v>
      </c>
    </row>
    <row r="177" spans="1:10" ht="15" customHeight="1">
      <c r="A177" s="55">
        <v>46194</v>
      </c>
      <c r="B177">
        <v>13</v>
      </c>
      <c r="C177" s="60">
        <v>-2.99910543209125</v>
      </c>
      <c r="D177" s="60">
        <v>-3.522268</v>
      </c>
      <c r="E177" s="60">
        <v>1.5690279747087501</v>
      </c>
      <c r="F177" s="60">
        <f t="shared" si="6"/>
        <v>2.99910543209125</v>
      </c>
      <c r="G177" s="60">
        <f t="shared" si="7"/>
        <v>3.522268</v>
      </c>
      <c r="H177" s="60">
        <f t="shared" si="8"/>
        <v>0.52316256790874993</v>
      </c>
      <c r="I177" s="61">
        <v>0.148530028921352</v>
      </c>
      <c r="J177" t="s">
        <v>66</v>
      </c>
    </row>
    <row r="178" spans="1:10" ht="15" customHeight="1">
      <c r="A178" s="55">
        <v>46192</v>
      </c>
      <c r="B178">
        <v>13</v>
      </c>
      <c r="C178" s="60">
        <v>-4.1774858315155203</v>
      </c>
      <c r="D178" s="60">
        <v>-3.6413160000000002</v>
      </c>
      <c r="E178" s="60">
        <v>0.31246771848448102</v>
      </c>
      <c r="F178" s="60">
        <f t="shared" si="6"/>
        <v>4.1774858315155203</v>
      </c>
      <c r="G178" s="60">
        <f t="shared" si="7"/>
        <v>3.6413160000000002</v>
      </c>
      <c r="H178" s="60">
        <f t="shared" si="8"/>
        <v>0.53616983151552011</v>
      </c>
      <c r="I178" s="61">
        <v>0.14724616910905799</v>
      </c>
      <c r="J178" t="s">
        <v>66</v>
      </c>
    </row>
    <row r="179" spans="1:10" ht="15" customHeight="1">
      <c r="A179" s="55">
        <v>46176</v>
      </c>
      <c r="B179">
        <v>16</v>
      </c>
      <c r="C179" s="60">
        <v>-4.4232097410553797</v>
      </c>
      <c r="D179" s="60">
        <v>-3.8561200000000002</v>
      </c>
      <c r="E179" s="60">
        <v>-0.12776444805537901</v>
      </c>
      <c r="F179" s="60">
        <f t="shared" si="6"/>
        <v>4.4232097410553797</v>
      </c>
      <c r="G179" s="60">
        <f t="shared" si="7"/>
        <v>3.8561200000000002</v>
      </c>
      <c r="H179" s="60">
        <f t="shared" si="8"/>
        <v>0.56708974105537946</v>
      </c>
      <c r="I179" s="61">
        <v>0.147062264933503</v>
      </c>
      <c r="J179" t="s">
        <v>66</v>
      </c>
    </row>
    <row r="180" spans="1:10" ht="15" customHeight="1">
      <c r="A180" s="55">
        <v>46181</v>
      </c>
      <c r="B180">
        <v>13</v>
      </c>
      <c r="C180" s="60">
        <v>-4.1347996015623396</v>
      </c>
      <c r="D180" s="60">
        <v>-3.6083189999999998</v>
      </c>
      <c r="E180" s="60">
        <v>2.7705307437662498E-2</v>
      </c>
      <c r="F180" s="60">
        <f t="shared" si="6"/>
        <v>4.1347996015623396</v>
      </c>
      <c r="G180" s="60">
        <f t="shared" si="7"/>
        <v>3.6083189999999998</v>
      </c>
      <c r="H180" s="60">
        <f t="shared" si="8"/>
        <v>0.52648060156233978</v>
      </c>
      <c r="I180" s="61">
        <v>0.14590744376047099</v>
      </c>
      <c r="J180" t="s">
        <v>66</v>
      </c>
    </row>
    <row r="181" spans="1:10" ht="15" customHeight="1">
      <c r="A181" s="55">
        <v>46188</v>
      </c>
      <c r="B181">
        <v>13</v>
      </c>
      <c r="C181" s="60">
        <v>-4.1579896634572799</v>
      </c>
      <c r="D181" s="60">
        <v>-3.6413160000000002</v>
      </c>
      <c r="E181" s="60">
        <v>0.26136492874272099</v>
      </c>
      <c r="F181" s="60">
        <f t="shared" si="6"/>
        <v>4.1579896634572799</v>
      </c>
      <c r="G181" s="60">
        <f t="shared" si="7"/>
        <v>3.6413160000000002</v>
      </c>
      <c r="H181" s="60">
        <f t="shared" si="8"/>
        <v>0.51667366345727972</v>
      </c>
      <c r="I181" s="61">
        <v>0.14189201471591001</v>
      </c>
      <c r="J181" t="s">
        <v>66</v>
      </c>
    </row>
    <row r="182" spans="1:10" ht="15" customHeight="1">
      <c r="A182" s="55">
        <v>46174</v>
      </c>
      <c r="B182">
        <v>8</v>
      </c>
      <c r="C182" s="60">
        <v>-2.71144214895532</v>
      </c>
      <c r="D182" s="60">
        <v>-3.158007</v>
      </c>
      <c r="E182" s="60">
        <v>0.75466689804468301</v>
      </c>
      <c r="F182" s="60">
        <f t="shared" si="6"/>
        <v>2.71144214895532</v>
      </c>
      <c r="G182" s="60">
        <f t="shared" si="7"/>
        <v>3.158007</v>
      </c>
      <c r="H182" s="60">
        <f t="shared" si="8"/>
        <v>0.44656485104468002</v>
      </c>
      <c r="I182" s="61">
        <v>0.14140717580571599</v>
      </c>
      <c r="J182" t="s">
        <v>66</v>
      </c>
    </row>
    <row r="183" spans="1:10" ht="15" customHeight="1">
      <c r="A183" s="55">
        <v>46191</v>
      </c>
      <c r="B183">
        <v>16</v>
      </c>
      <c r="C183" s="60">
        <v>-4.6878844575637899</v>
      </c>
      <c r="D183" s="60">
        <v>-4.1226839999999996</v>
      </c>
      <c r="E183" s="60">
        <v>-0.113000511563789</v>
      </c>
      <c r="F183" s="60">
        <f t="shared" si="6"/>
        <v>4.6878844575637899</v>
      </c>
      <c r="G183" s="60">
        <f t="shared" si="7"/>
        <v>4.1226839999999996</v>
      </c>
      <c r="H183" s="60">
        <f t="shared" si="8"/>
        <v>0.56520045756379034</v>
      </c>
      <c r="I183" s="61">
        <v>0.137095265502714</v>
      </c>
      <c r="J183" t="s">
        <v>66</v>
      </c>
    </row>
    <row r="184" spans="1:10" ht="15" customHeight="1">
      <c r="A184" s="55">
        <v>46186</v>
      </c>
      <c r="B184">
        <v>12</v>
      </c>
      <c r="C184" s="60">
        <v>-3.1819488636605202</v>
      </c>
      <c r="D184" s="60">
        <v>-3.6827239999999999</v>
      </c>
      <c r="E184" s="60">
        <v>1.3143556383394801</v>
      </c>
      <c r="F184" s="60">
        <f t="shared" si="6"/>
        <v>3.1819488636605202</v>
      </c>
      <c r="G184" s="60">
        <f t="shared" si="7"/>
        <v>3.6827239999999999</v>
      </c>
      <c r="H184" s="60">
        <f t="shared" si="8"/>
        <v>0.50077513633947968</v>
      </c>
      <c r="I184" s="61">
        <v>0.135979545667684</v>
      </c>
      <c r="J184" t="s">
        <v>66</v>
      </c>
    </row>
    <row r="185" spans="1:10" ht="15" customHeight="1">
      <c r="A185" s="55">
        <v>46182</v>
      </c>
      <c r="B185">
        <v>8</v>
      </c>
      <c r="C185" s="60">
        <v>-3.2014649489976099</v>
      </c>
      <c r="D185" s="60">
        <v>-3.6982520000000001</v>
      </c>
      <c r="E185" s="60">
        <v>0.70928449600238697</v>
      </c>
      <c r="F185" s="60">
        <f t="shared" si="6"/>
        <v>3.2014649489976099</v>
      </c>
      <c r="G185" s="60">
        <f t="shared" si="7"/>
        <v>3.6982520000000001</v>
      </c>
      <c r="H185" s="60">
        <f t="shared" si="8"/>
        <v>0.49678705100239018</v>
      </c>
      <c r="I185" s="61">
        <v>0.13433023249967499</v>
      </c>
      <c r="J185" t="s">
        <v>66</v>
      </c>
    </row>
    <row r="186" spans="1:10" ht="15" customHeight="1">
      <c r="A186" s="55">
        <v>46189</v>
      </c>
      <c r="B186">
        <v>12</v>
      </c>
      <c r="C186" s="60">
        <v>-3.9952987564682299</v>
      </c>
      <c r="D186" s="60">
        <v>-3.5229149999999998</v>
      </c>
      <c r="E186" s="60">
        <v>0.33427695113177402</v>
      </c>
      <c r="F186" s="60">
        <f t="shared" si="6"/>
        <v>3.9952987564682299</v>
      </c>
      <c r="G186" s="60">
        <f t="shared" si="7"/>
        <v>3.5229149999999998</v>
      </c>
      <c r="H186" s="60">
        <f t="shared" si="8"/>
        <v>0.47238375646823005</v>
      </c>
      <c r="I186" s="61">
        <v>0.13408888845408601</v>
      </c>
      <c r="J186" t="s">
        <v>66</v>
      </c>
    </row>
    <row r="187" spans="1:10" ht="15" customHeight="1">
      <c r="A187" s="55">
        <v>46192</v>
      </c>
      <c r="B187">
        <v>14</v>
      </c>
      <c r="C187" s="60">
        <v>-4.1488415320675198</v>
      </c>
      <c r="D187" s="60">
        <v>-3.6594319999999998</v>
      </c>
      <c r="E187" s="60">
        <v>0.34067011693247601</v>
      </c>
      <c r="F187" s="60">
        <f t="shared" si="6"/>
        <v>4.1488415320675198</v>
      </c>
      <c r="G187" s="60">
        <f t="shared" si="7"/>
        <v>3.6594319999999998</v>
      </c>
      <c r="H187" s="60">
        <f t="shared" si="8"/>
        <v>0.48940953206752003</v>
      </c>
      <c r="I187" s="61">
        <v>0.13373920654012</v>
      </c>
      <c r="J187" t="s">
        <v>66</v>
      </c>
    </row>
    <row r="188" spans="1:10" ht="15" customHeight="1">
      <c r="A188" s="55">
        <v>46201</v>
      </c>
      <c r="B188">
        <v>12</v>
      </c>
      <c r="C188" s="60">
        <v>-3.0994399841961302</v>
      </c>
      <c r="D188" s="60">
        <v>-3.5740280000000002</v>
      </c>
      <c r="E188" s="60">
        <v>1.6412139022038701</v>
      </c>
      <c r="F188" s="60">
        <f t="shared" si="6"/>
        <v>3.0994399841961302</v>
      </c>
      <c r="G188" s="60">
        <f t="shared" si="7"/>
        <v>3.5740280000000002</v>
      </c>
      <c r="H188" s="60">
        <f t="shared" si="8"/>
        <v>0.47458801580387</v>
      </c>
      <c r="I188" s="61">
        <v>0.13278799601006799</v>
      </c>
      <c r="J188" t="s">
        <v>66</v>
      </c>
    </row>
    <row r="189" spans="1:10" ht="15" customHeight="1">
      <c r="A189" s="55">
        <v>46184</v>
      </c>
      <c r="B189">
        <v>15</v>
      </c>
      <c r="C189" s="60">
        <v>-4.4763806609098999</v>
      </c>
      <c r="D189" s="60">
        <v>-3.9583460000000001</v>
      </c>
      <c r="E189" s="60">
        <v>0.10963492009010101</v>
      </c>
      <c r="F189" s="60">
        <f t="shared" si="6"/>
        <v>4.4763806609098999</v>
      </c>
      <c r="G189" s="60">
        <f t="shared" si="7"/>
        <v>3.9583460000000001</v>
      </c>
      <c r="H189" s="60">
        <f t="shared" si="8"/>
        <v>0.5180346609098998</v>
      </c>
      <c r="I189" s="61">
        <v>0.130871495546347</v>
      </c>
      <c r="J189" t="s">
        <v>66</v>
      </c>
    </row>
    <row r="190" spans="1:10" ht="15" customHeight="1">
      <c r="A190" s="55">
        <v>46184</v>
      </c>
      <c r="B190">
        <v>9</v>
      </c>
      <c r="C190" s="60">
        <v>-4.0299425335130303</v>
      </c>
      <c r="D190" s="60">
        <v>-3.5701459999999998</v>
      </c>
      <c r="E190" s="60">
        <v>-0.13261510351303199</v>
      </c>
      <c r="F190" s="60">
        <f t="shared" si="6"/>
        <v>4.0299425335130303</v>
      </c>
      <c r="G190" s="60">
        <f t="shared" si="7"/>
        <v>3.5701459999999998</v>
      </c>
      <c r="H190" s="60">
        <f t="shared" si="8"/>
        <v>0.45979653351303051</v>
      </c>
      <c r="I190" s="61">
        <v>0.12878928018995101</v>
      </c>
      <c r="J190" t="s">
        <v>66</v>
      </c>
    </row>
    <row r="191" spans="1:10" ht="15" customHeight="1">
      <c r="A191" s="55">
        <v>46178</v>
      </c>
      <c r="B191">
        <v>9</v>
      </c>
      <c r="C191" s="60">
        <v>-3.36943540369001</v>
      </c>
      <c r="D191" s="60">
        <v>-2.9871989999999999</v>
      </c>
      <c r="E191" s="60">
        <v>7.5157658309986705E-2</v>
      </c>
      <c r="F191" s="60">
        <f t="shared" si="6"/>
        <v>3.36943540369001</v>
      </c>
      <c r="G191" s="60">
        <f t="shared" si="7"/>
        <v>2.9871989999999999</v>
      </c>
      <c r="H191" s="60">
        <f t="shared" si="8"/>
        <v>0.38223640369001011</v>
      </c>
      <c r="I191" s="61">
        <v>0.12795813191220701</v>
      </c>
      <c r="J191" t="s">
        <v>66</v>
      </c>
    </row>
    <row r="192" spans="1:10" ht="15" customHeight="1">
      <c r="A192" s="55">
        <v>46192</v>
      </c>
      <c r="B192">
        <v>11</v>
      </c>
      <c r="C192" s="60">
        <v>-4.0958164603902096</v>
      </c>
      <c r="D192" s="60">
        <v>-3.6316109999999999</v>
      </c>
      <c r="E192" s="60">
        <v>0.34023163760979203</v>
      </c>
      <c r="F192" s="60">
        <f t="shared" si="6"/>
        <v>4.0958164603902096</v>
      </c>
      <c r="G192" s="60">
        <f t="shared" si="7"/>
        <v>3.6316109999999999</v>
      </c>
      <c r="H192" s="60">
        <f t="shared" si="8"/>
        <v>0.46420546039020971</v>
      </c>
      <c r="I192" s="61">
        <v>0.12782356380961701</v>
      </c>
      <c r="J192" t="s">
        <v>66</v>
      </c>
    </row>
    <row r="193" spans="1:10" ht="15" customHeight="1">
      <c r="A193" s="55">
        <v>46201</v>
      </c>
      <c r="B193">
        <v>13</v>
      </c>
      <c r="C193" s="60">
        <v>-3.1451311447192198</v>
      </c>
      <c r="D193" s="60">
        <v>-3.6044369999999999</v>
      </c>
      <c r="E193" s="60">
        <v>1.61186479708078</v>
      </c>
      <c r="F193" s="60">
        <f t="shared" si="6"/>
        <v>3.1451311447192198</v>
      </c>
      <c r="G193" s="60">
        <f t="shared" si="7"/>
        <v>3.6044369999999999</v>
      </c>
      <c r="H193" s="60">
        <f t="shared" si="8"/>
        <v>0.45930585528078005</v>
      </c>
      <c r="I193" s="61">
        <v>0.12742790490741901</v>
      </c>
      <c r="J193" t="s">
        <v>66</v>
      </c>
    </row>
    <row r="194" spans="1:10" ht="15" customHeight="1">
      <c r="A194" s="55">
        <v>46180</v>
      </c>
      <c r="B194">
        <v>17</v>
      </c>
      <c r="C194" s="60">
        <v>-3.1957353081137501</v>
      </c>
      <c r="D194" s="60">
        <v>-3.6594319999999998</v>
      </c>
      <c r="E194" s="60">
        <v>1.0752715008862499</v>
      </c>
      <c r="F194" s="60">
        <f t="shared" ref="F194:F257" si="9">ABS(C194)</f>
        <v>3.1957353081137501</v>
      </c>
      <c r="G194" s="60">
        <f t="shared" ref="G194:G257" si="10">ABS(D194)</f>
        <v>3.6594319999999998</v>
      </c>
      <c r="H194" s="60">
        <f t="shared" ref="H194:H257" si="11">ABS(G194-F194)</f>
        <v>0.46369669188624973</v>
      </c>
      <c r="I194" s="61">
        <v>0.126712749925741</v>
      </c>
      <c r="J194" t="s">
        <v>66</v>
      </c>
    </row>
    <row r="195" spans="1:10" ht="15" customHeight="1">
      <c r="A195" s="55">
        <v>46181</v>
      </c>
      <c r="B195">
        <v>10</v>
      </c>
      <c r="C195" s="60">
        <v>-4.0819553876141503</v>
      </c>
      <c r="D195" s="60">
        <v>-3.625788</v>
      </c>
      <c r="E195" s="60">
        <v>4.2908663858505901E-3</v>
      </c>
      <c r="F195" s="60">
        <f t="shared" si="9"/>
        <v>4.0819553876141503</v>
      </c>
      <c r="G195" s="60">
        <f t="shared" si="10"/>
        <v>3.625788</v>
      </c>
      <c r="H195" s="60">
        <f t="shared" si="11"/>
        <v>0.45616738761415032</v>
      </c>
      <c r="I195" s="61">
        <v>0.12581193043116401</v>
      </c>
      <c r="J195" t="s">
        <v>66</v>
      </c>
    </row>
    <row r="196" spans="1:10" ht="15" customHeight="1">
      <c r="A196" s="55">
        <v>46183</v>
      </c>
      <c r="B196">
        <v>17</v>
      </c>
      <c r="C196" s="60">
        <v>-4.65689427392158</v>
      </c>
      <c r="D196" s="60">
        <v>-4.1388590000000001</v>
      </c>
      <c r="E196" s="60">
        <v>-0.25398680992157502</v>
      </c>
      <c r="F196" s="60">
        <f t="shared" si="9"/>
        <v>4.65689427392158</v>
      </c>
      <c r="G196" s="60">
        <f t="shared" si="10"/>
        <v>4.1388590000000001</v>
      </c>
      <c r="H196" s="60">
        <f t="shared" si="11"/>
        <v>0.51803527392157989</v>
      </c>
      <c r="I196" s="61">
        <v>0.12516378884170101</v>
      </c>
      <c r="J196" t="s">
        <v>66</v>
      </c>
    </row>
    <row r="197" spans="1:10" ht="15" customHeight="1">
      <c r="A197" s="55">
        <v>46196</v>
      </c>
      <c r="B197">
        <v>15</v>
      </c>
      <c r="C197" s="60">
        <v>-4.5956787760799704</v>
      </c>
      <c r="D197" s="60">
        <v>-4.0948630000000001</v>
      </c>
      <c r="E197" s="60">
        <v>-3.9279490679967499E-2</v>
      </c>
      <c r="F197" s="60">
        <f t="shared" si="9"/>
        <v>4.5956787760799704</v>
      </c>
      <c r="G197" s="60">
        <f t="shared" si="10"/>
        <v>4.0948630000000001</v>
      </c>
      <c r="H197" s="60">
        <f t="shared" si="11"/>
        <v>0.5008157760799703</v>
      </c>
      <c r="I197" s="61">
        <v>0.122303426532211</v>
      </c>
      <c r="J197" t="s">
        <v>66</v>
      </c>
    </row>
    <row r="198" spans="1:10" ht="15" customHeight="1">
      <c r="A198" s="55">
        <v>46193</v>
      </c>
      <c r="B198">
        <v>16</v>
      </c>
      <c r="C198" s="60">
        <v>-4.0098406911688897</v>
      </c>
      <c r="D198" s="60">
        <v>-3.5753219999999999</v>
      </c>
      <c r="E198" s="60">
        <v>0.16643949483110901</v>
      </c>
      <c r="F198" s="60">
        <f t="shared" si="9"/>
        <v>4.0098406911688897</v>
      </c>
      <c r="G198" s="60">
        <f t="shared" si="10"/>
        <v>3.5753219999999999</v>
      </c>
      <c r="H198" s="60">
        <f t="shared" si="11"/>
        <v>0.43451869116888986</v>
      </c>
      <c r="I198" s="61">
        <v>0.121532743391754</v>
      </c>
      <c r="J198" t="s">
        <v>66</v>
      </c>
    </row>
    <row r="199" spans="1:10" ht="15" customHeight="1">
      <c r="A199" s="55">
        <v>46192</v>
      </c>
      <c r="B199">
        <v>9</v>
      </c>
      <c r="C199" s="60">
        <v>-3.6394784910632598</v>
      </c>
      <c r="D199" s="60">
        <v>-4.1369179999999997</v>
      </c>
      <c r="E199" s="60">
        <v>1.05413642493675</v>
      </c>
      <c r="F199" s="60">
        <f t="shared" si="9"/>
        <v>3.6394784910632598</v>
      </c>
      <c r="G199" s="60">
        <f t="shared" si="10"/>
        <v>4.1369179999999997</v>
      </c>
      <c r="H199" s="60">
        <f t="shared" si="11"/>
        <v>0.49743950893673983</v>
      </c>
      <c r="I199" s="61">
        <v>0.12024398572481899</v>
      </c>
      <c r="J199" t="s">
        <v>66</v>
      </c>
    </row>
    <row r="200" spans="1:10" ht="15" customHeight="1">
      <c r="A200" s="55">
        <v>46193</v>
      </c>
      <c r="B200">
        <v>9</v>
      </c>
      <c r="C200" s="60">
        <v>-3.1017548433958901</v>
      </c>
      <c r="D200" s="60">
        <v>-2.7711009999999998</v>
      </c>
      <c r="E200" s="60">
        <v>0.51952162560410897</v>
      </c>
      <c r="F200" s="60">
        <f t="shared" si="9"/>
        <v>3.1017548433958901</v>
      </c>
      <c r="G200" s="60">
        <f t="shared" si="10"/>
        <v>2.7711009999999998</v>
      </c>
      <c r="H200" s="60">
        <f t="shared" si="11"/>
        <v>0.33065384339589032</v>
      </c>
      <c r="I200" s="61">
        <v>0.119322191214211</v>
      </c>
      <c r="J200" t="s">
        <v>66</v>
      </c>
    </row>
    <row r="201" spans="1:10" ht="15" customHeight="1">
      <c r="A201" s="55">
        <v>46192</v>
      </c>
      <c r="B201">
        <v>15</v>
      </c>
      <c r="C201" s="60">
        <v>-4.4003574804362797</v>
      </c>
      <c r="D201" s="60">
        <v>-3.9337599999999999</v>
      </c>
      <c r="E201" s="60">
        <v>0.209641743563723</v>
      </c>
      <c r="F201" s="60">
        <f t="shared" si="9"/>
        <v>4.4003574804362797</v>
      </c>
      <c r="G201" s="60">
        <f t="shared" si="10"/>
        <v>3.9337599999999999</v>
      </c>
      <c r="H201" s="60">
        <f t="shared" si="11"/>
        <v>0.4665974804362798</v>
      </c>
      <c r="I201" s="61">
        <v>0.118613611515771</v>
      </c>
      <c r="J201" t="s">
        <v>66</v>
      </c>
    </row>
    <row r="202" spans="1:10" ht="15" customHeight="1">
      <c r="A202" s="55">
        <v>46175</v>
      </c>
      <c r="B202">
        <v>9</v>
      </c>
      <c r="C202" s="60">
        <v>-3.3826633111727098</v>
      </c>
      <c r="D202" s="60">
        <v>-3.0266660000000001</v>
      </c>
      <c r="E202" s="60">
        <v>6.0758033827289802E-2</v>
      </c>
      <c r="F202" s="60">
        <f t="shared" si="9"/>
        <v>3.3826633111727098</v>
      </c>
      <c r="G202" s="60">
        <f t="shared" si="10"/>
        <v>3.0266660000000001</v>
      </c>
      <c r="H202" s="60">
        <f t="shared" si="11"/>
        <v>0.35599731117270972</v>
      </c>
      <c r="I202" s="61">
        <v>0.11762028290293999</v>
      </c>
      <c r="J202" t="s">
        <v>66</v>
      </c>
    </row>
    <row r="203" spans="1:10" ht="15" customHeight="1">
      <c r="A203" s="55">
        <v>46186</v>
      </c>
      <c r="B203">
        <v>13</v>
      </c>
      <c r="C203" s="60">
        <v>-3.24809230689588</v>
      </c>
      <c r="D203" s="60">
        <v>-3.6717249999999999</v>
      </c>
      <c r="E203" s="60">
        <v>1.1970848317041201</v>
      </c>
      <c r="F203" s="60">
        <f t="shared" si="9"/>
        <v>3.24809230689588</v>
      </c>
      <c r="G203" s="60">
        <f t="shared" si="10"/>
        <v>3.6717249999999999</v>
      </c>
      <c r="H203" s="60">
        <f t="shared" si="11"/>
        <v>0.42363269310411988</v>
      </c>
      <c r="I203" s="61">
        <v>0.115377021183265</v>
      </c>
      <c r="J203" t="s">
        <v>66</v>
      </c>
    </row>
    <row r="204" spans="1:10" ht="15" customHeight="1">
      <c r="A204" s="55">
        <v>46194</v>
      </c>
      <c r="B204">
        <v>14</v>
      </c>
      <c r="C204" s="60">
        <v>-3.12249896290658</v>
      </c>
      <c r="D204" s="60">
        <v>-3.529385</v>
      </c>
      <c r="E204" s="60">
        <v>1.3838317098934301</v>
      </c>
      <c r="F204" s="60">
        <f t="shared" si="9"/>
        <v>3.12249896290658</v>
      </c>
      <c r="G204" s="60">
        <f t="shared" si="10"/>
        <v>3.529385</v>
      </c>
      <c r="H204" s="60">
        <f t="shared" si="11"/>
        <v>0.40688603709341997</v>
      </c>
      <c r="I204" s="61">
        <v>0.115285251422961</v>
      </c>
      <c r="J204" t="s">
        <v>66</v>
      </c>
    </row>
    <row r="205" spans="1:10" ht="15" customHeight="1">
      <c r="A205" s="55">
        <v>46177</v>
      </c>
      <c r="B205">
        <v>17</v>
      </c>
      <c r="C205" s="60">
        <v>-4.2072913155476002</v>
      </c>
      <c r="D205" s="60">
        <v>-3.773304</v>
      </c>
      <c r="E205" s="60">
        <v>-0.133088966547598</v>
      </c>
      <c r="F205" s="60">
        <f t="shared" si="9"/>
        <v>4.2072913155476002</v>
      </c>
      <c r="G205" s="60">
        <f t="shared" si="10"/>
        <v>3.773304</v>
      </c>
      <c r="H205" s="60">
        <f t="shared" si="11"/>
        <v>0.43398731554760017</v>
      </c>
      <c r="I205" s="61">
        <v>0.115015200351628</v>
      </c>
      <c r="J205" t="s">
        <v>66</v>
      </c>
    </row>
    <row r="206" spans="1:10" ht="15" customHeight="1">
      <c r="A206" s="55">
        <v>46189</v>
      </c>
      <c r="B206">
        <v>13</v>
      </c>
      <c r="C206" s="60">
        <v>-3.9297527680280102</v>
      </c>
      <c r="D206" s="60">
        <v>-3.5267970000000002</v>
      </c>
      <c r="E206" s="60">
        <v>0.30914485437199402</v>
      </c>
      <c r="F206" s="60">
        <f t="shared" si="9"/>
        <v>3.9297527680280102</v>
      </c>
      <c r="G206" s="60">
        <f t="shared" si="10"/>
        <v>3.5267970000000002</v>
      </c>
      <c r="H206" s="60">
        <f t="shared" si="11"/>
        <v>0.40295576802801003</v>
      </c>
      <c r="I206" s="61">
        <v>0.114255447089245</v>
      </c>
      <c r="J206" t="s">
        <v>66</v>
      </c>
    </row>
    <row r="207" spans="1:10" ht="15" customHeight="1">
      <c r="A207" s="55">
        <v>46176</v>
      </c>
      <c r="B207">
        <v>9</v>
      </c>
      <c r="C207" s="60">
        <v>-3.52265114278446</v>
      </c>
      <c r="D207" s="60">
        <v>-3.167065</v>
      </c>
      <c r="E207" s="60">
        <v>6.08334092155354E-2</v>
      </c>
      <c r="F207" s="60">
        <f t="shared" si="9"/>
        <v>3.52265114278446</v>
      </c>
      <c r="G207" s="60">
        <f t="shared" si="10"/>
        <v>3.167065</v>
      </c>
      <c r="H207" s="60">
        <f t="shared" si="11"/>
        <v>0.35558614278445999</v>
      </c>
      <c r="I207" s="61">
        <v>0.112276237710456</v>
      </c>
      <c r="J207" t="s">
        <v>66</v>
      </c>
    </row>
    <row r="208" spans="1:10" ht="15" customHeight="1">
      <c r="A208" s="55">
        <v>46201</v>
      </c>
      <c r="B208">
        <v>16</v>
      </c>
      <c r="C208" s="60">
        <v>-3.28601097182576</v>
      </c>
      <c r="D208" s="60">
        <v>-3.7008399999999999</v>
      </c>
      <c r="E208" s="60">
        <v>1.45733559917424</v>
      </c>
      <c r="F208" s="60">
        <f t="shared" si="9"/>
        <v>3.28601097182576</v>
      </c>
      <c r="G208" s="60">
        <f t="shared" si="10"/>
        <v>3.7008399999999999</v>
      </c>
      <c r="H208" s="60">
        <f t="shared" si="11"/>
        <v>0.41482902817423994</v>
      </c>
      <c r="I208" s="61">
        <v>0.112090505986274</v>
      </c>
      <c r="J208" t="s">
        <v>66</v>
      </c>
    </row>
    <row r="209" spans="1:10" ht="15" customHeight="1">
      <c r="A209" s="55">
        <v>46190</v>
      </c>
      <c r="B209">
        <v>8</v>
      </c>
      <c r="C209" s="60">
        <v>-3.0495975856797299</v>
      </c>
      <c r="D209" s="60">
        <v>-3.4336289999999998</v>
      </c>
      <c r="E209" s="60">
        <v>0.77373504232026802</v>
      </c>
      <c r="F209" s="60">
        <f t="shared" si="9"/>
        <v>3.0495975856797299</v>
      </c>
      <c r="G209" s="60">
        <f t="shared" si="10"/>
        <v>3.4336289999999998</v>
      </c>
      <c r="H209" s="60">
        <f t="shared" si="11"/>
        <v>0.38403141432026988</v>
      </c>
      <c r="I209" s="61">
        <v>0.111844178366465</v>
      </c>
      <c r="J209" t="s">
        <v>66</v>
      </c>
    </row>
    <row r="210" spans="1:10" ht="15" customHeight="1">
      <c r="A210" s="55">
        <v>46195</v>
      </c>
      <c r="B210">
        <v>17</v>
      </c>
      <c r="C210" s="60">
        <v>-4.7013190053454696</v>
      </c>
      <c r="D210" s="60">
        <v>-4.230086</v>
      </c>
      <c r="E210" s="60">
        <v>2.7637236545314499E-3</v>
      </c>
      <c r="F210" s="60">
        <f t="shared" si="9"/>
        <v>4.7013190053454696</v>
      </c>
      <c r="G210" s="60">
        <f t="shared" si="10"/>
        <v>4.230086</v>
      </c>
      <c r="H210" s="60">
        <f t="shared" si="11"/>
        <v>0.47123300534546964</v>
      </c>
      <c r="I210" s="61">
        <v>0.111400336859692</v>
      </c>
      <c r="J210" t="s">
        <v>66</v>
      </c>
    </row>
    <row r="211" spans="1:10" ht="15" customHeight="1">
      <c r="A211" s="55">
        <v>46200</v>
      </c>
      <c r="B211">
        <v>11</v>
      </c>
      <c r="C211" s="60">
        <v>-3.9054150941783199</v>
      </c>
      <c r="D211" s="60">
        <v>-3.5242089999999999</v>
      </c>
      <c r="E211" s="60">
        <v>0.59376014682167699</v>
      </c>
      <c r="F211" s="60">
        <f t="shared" si="9"/>
        <v>3.9054150941783199</v>
      </c>
      <c r="G211" s="60">
        <f t="shared" si="10"/>
        <v>3.5242089999999999</v>
      </c>
      <c r="H211" s="60">
        <f t="shared" si="11"/>
        <v>0.38120609417831997</v>
      </c>
      <c r="I211" s="61">
        <v>0.108167845374189</v>
      </c>
      <c r="J211" t="s">
        <v>66</v>
      </c>
    </row>
    <row r="212" spans="1:10" ht="15" customHeight="1">
      <c r="A212" s="55">
        <v>46201</v>
      </c>
      <c r="B212">
        <v>15</v>
      </c>
      <c r="C212" s="60">
        <v>-3.2810050379200901</v>
      </c>
      <c r="D212" s="60">
        <v>-3.676901</v>
      </c>
      <c r="E212" s="60">
        <v>1.4872019904799101</v>
      </c>
      <c r="F212" s="60">
        <f t="shared" si="9"/>
        <v>3.2810050379200901</v>
      </c>
      <c r="G212" s="60">
        <f t="shared" si="10"/>
        <v>3.676901</v>
      </c>
      <c r="H212" s="60">
        <f t="shared" si="11"/>
        <v>0.39589596207990985</v>
      </c>
      <c r="I212" s="61">
        <v>0.107671096415136</v>
      </c>
      <c r="J212" t="s">
        <v>66</v>
      </c>
    </row>
    <row r="213" spans="1:10" ht="15" customHeight="1">
      <c r="A213" s="55">
        <v>46183</v>
      </c>
      <c r="B213">
        <v>8</v>
      </c>
      <c r="C213" s="60">
        <v>-3.3104588482394299</v>
      </c>
      <c r="D213" s="60">
        <v>-3.7073100000000001</v>
      </c>
      <c r="E213" s="60">
        <v>0.57776205676057402</v>
      </c>
      <c r="F213" s="60">
        <f t="shared" si="9"/>
        <v>3.3104588482394299</v>
      </c>
      <c r="G213" s="60">
        <f t="shared" si="10"/>
        <v>3.7073100000000001</v>
      </c>
      <c r="H213" s="60">
        <f t="shared" si="11"/>
        <v>0.39685115176057018</v>
      </c>
      <c r="I213" s="61">
        <v>0.10704558069343401</v>
      </c>
      <c r="J213" t="s">
        <v>66</v>
      </c>
    </row>
    <row r="214" spans="1:10" ht="15" customHeight="1">
      <c r="A214" s="55">
        <v>46199</v>
      </c>
      <c r="B214">
        <v>17</v>
      </c>
      <c r="C214" s="60">
        <v>-5.1005819845217504</v>
      </c>
      <c r="D214" s="60">
        <v>-4.6150510000000002</v>
      </c>
      <c r="E214" s="60">
        <v>0.10603405547825399</v>
      </c>
      <c r="F214" s="60">
        <f t="shared" si="9"/>
        <v>5.1005819845217504</v>
      </c>
      <c r="G214" s="60">
        <f t="shared" si="10"/>
        <v>4.6150510000000002</v>
      </c>
      <c r="H214" s="60">
        <f t="shared" si="11"/>
        <v>0.48553098452175014</v>
      </c>
      <c r="I214" s="61">
        <v>0.10520598461896701</v>
      </c>
      <c r="J214" t="s">
        <v>66</v>
      </c>
    </row>
    <row r="215" spans="1:10" ht="15" customHeight="1">
      <c r="A215" s="55">
        <v>46186</v>
      </c>
      <c r="B215">
        <v>15</v>
      </c>
      <c r="C215" s="60">
        <v>-3.2781058883409702</v>
      </c>
      <c r="D215" s="60">
        <v>-3.6613730000000002</v>
      </c>
      <c r="E215" s="60">
        <v>1.13248728865903</v>
      </c>
      <c r="F215" s="60">
        <f t="shared" si="9"/>
        <v>3.2781058883409702</v>
      </c>
      <c r="G215" s="60">
        <f t="shared" si="10"/>
        <v>3.6613730000000002</v>
      </c>
      <c r="H215" s="60">
        <f t="shared" si="11"/>
        <v>0.38326711165903005</v>
      </c>
      <c r="I215" s="61">
        <v>0.104678521324931</v>
      </c>
      <c r="J215" t="s">
        <v>66</v>
      </c>
    </row>
    <row r="216" spans="1:10" ht="15" customHeight="1">
      <c r="A216" s="55">
        <v>46188</v>
      </c>
      <c r="B216">
        <v>15</v>
      </c>
      <c r="C216" s="60">
        <v>-4.4473037844058796</v>
      </c>
      <c r="D216" s="60">
        <v>-4.026281</v>
      </c>
      <c r="E216" s="60">
        <v>0.38420028919412003</v>
      </c>
      <c r="F216" s="60">
        <f t="shared" si="9"/>
        <v>4.4473037844058796</v>
      </c>
      <c r="G216" s="60">
        <f t="shared" si="10"/>
        <v>4.026281</v>
      </c>
      <c r="H216" s="60">
        <f t="shared" si="11"/>
        <v>0.42102278440587959</v>
      </c>
      <c r="I216" s="61">
        <v>0.104568653903163</v>
      </c>
      <c r="J216" t="s">
        <v>66</v>
      </c>
    </row>
    <row r="217" spans="1:10" ht="15" customHeight="1">
      <c r="A217" s="55">
        <v>46186</v>
      </c>
      <c r="B217">
        <v>14</v>
      </c>
      <c r="C217" s="60">
        <v>-3.2813762632105399</v>
      </c>
      <c r="D217" s="60">
        <v>-3.6607259999999999</v>
      </c>
      <c r="E217" s="60">
        <v>1.18005299778946</v>
      </c>
      <c r="F217" s="60">
        <f t="shared" si="9"/>
        <v>3.2813762632105399</v>
      </c>
      <c r="G217" s="60">
        <f t="shared" si="10"/>
        <v>3.6607259999999999</v>
      </c>
      <c r="H217" s="60">
        <f t="shared" si="11"/>
        <v>0.37934973678946005</v>
      </c>
      <c r="I217" s="61">
        <v>0.103626913565631</v>
      </c>
      <c r="J217" t="s">
        <v>66</v>
      </c>
    </row>
    <row r="218" spans="1:10" ht="15" customHeight="1">
      <c r="A218" s="55">
        <v>46188</v>
      </c>
      <c r="B218">
        <v>12</v>
      </c>
      <c r="C218" s="60">
        <v>-3.98339218520006</v>
      </c>
      <c r="D218" s="60">
        <v>-3.6154359999999999</v>
      </c>
      <c r="E218" s="60">
        <v>0.47429715699994102</v>
      </c>
      <c r="F218" s="60">
        <f t="shared" si="9"/>
        <v>3.98339218520006</v>
      </c>
      <c r="G218" s="60">
        <f t="shared" si="10"/>
        <v>3.6154359999999999</v>
      </c>
      <c r="H218" s="60">
        <f t="shared" si="11"/>
        <v>0.36795618520006013</v>
      </c>
      <c r="I218" s="61">
        <v>0.101773668570003</v>
      </c>
      <c r="J218" t="s">
        <v>66</v>
      </c>
    </row>
    <row r="219" spans="1:10" ht="15" customHeight="1">
      <c r="A219" s="55">
        <v>46188</v>
      </c>
      <c r="B219">
        <v>14</v>
      </c>
      <c r="C219" s="60">
        <v>-4.4125261483982596</v>
      </c>
      <c r="D219" s="60">
        <v>-4.0165759999999997</v>
      </c>
      <c r="E219" s="60">
        <v>0.40682312440173801</v>
      </c>
      <c r="F219" s="60">
        <f t="shared" si="9"/>
        <v>4.4125261483982596</v>
      </c>
      <c r="G219" s="60">
        <f t="shared" si="10"/>
        <v>4.0165759999999997</v>
      </c>
      <c r="H219" s="60">
        <f t="shared" si="11"/>
        <v>0.39595014839825993</v>
      </c>
      <c r="I219" s="61">
        <v>9.8579025617407098E-2</v>
      </c>
      <c r="J219" t="s">
        <v>67</v>
      </c>
    </row>
    <row r="220" spans="1:10" ht="15" customHeight="1">
      <c r="A220" s="55">
        <v>46178</v>
      </c>
      <c r="B220">
        <v>14</v>
      </c>
      <c r="C220" s="60">
        <v>-3.95676096468519</v>
      </c>
      <c r="D220" s="60">
        <v>-3.6024959999999999</v>
      </c>
      <c r="E220" s="60">
        <v>0.43434327831481201</v>
      </c>
      <c r="F220" s="60">
        <f t="shared" si="9"/>
        <v>3.95676096468519</v>
      </c>
      <c r="G220" s="60">
        <f t="shared" si="10"/>
        <v>3.6024959999999999</v>
      </c>
      <c r="H220" s="60">
        <f t="shared" si="11"/>
        <v>0.35426496468519009</v>
      </c>
      <c r="I220" s="61">
        <v>9.83387530992922E-2</v>
      </c>
      <c r="J220" t="s">
        <v>67</v>
      </c>
    </row>
    <row r="221" spans="1:10" ht="15" customHeight="1">
      <c r="A221" s="55">
        <v>46201</v>
      </c>
      <c r="B221">
        <v>14</v>
      </c>
      <c r="C221" s="60">
        <v>-3.28620774022263</v>
      </c>
      <c r="D221" s="60">
        <v>-3.6419630000000001</v>
      </c>
      <c r="E221" s="60">
        <v>1.49936218017737</v>
      </c>
      <c r="F221" s="60">
        <f t="shared" si="9"/>
        <v>3.28620774022263</v>
      </c>
      <c r="G221" s="60">
        <f t="shared" si="10"/>
        <v>3.6419630000000001</v>
      </c>
      <c r="H221" s="60">
        <f t="shared" si="11"/>
        <v>0.3557552597773701</v>
      </c>
      <c r="I221" s="61">
        <v>9.7682282817637495E-2</v>
      </c>
      <c r="J221" t="s">
        <v>67</v>
      </c>
    </row>
    <row r="222" spans="1:10" ht="15" customHeight="1">
      <c r="A222" s="55">
        <v>46194</v>
      </c>
      <c r="B222">
        <v>15</v>
      </c>
      <c r="C222" s="60">
        <v>-3.1999329954078899</v>
      </c>
      <c r="D222" s="60">
        <v>-3.5423249999999999</v>
      </c>
      <c r="E222" s="60">
        <v>1.3190548089921099</v>
      </c>
      <c r="F222" s="60">
        <f t="shared" si="9"/>
        <v>3.1999329954078899</v>
      </c>
      <c r="G222" s="60">
        <f t="shared" si="10"/>
        <v>3.5423249999999999</v>
      </c>
      <c r="H222" s="60">
        <f t="shared" si="11"/>
        <v>0.34239200459211006</v>
      </c>
      <c r="I222" s="61">
        <v>9.6657422622743405E-2</v>
      </c>
      <c r="J222" t="s">
        <v>67</v>
      </c>
    </row>
    <row r="223" spans="1:10" ht="15" customHeight="1">
      <c r="A223" s="55">
        <v>46174</v>
      </c>
      <c r="B223">
        <v>17</v>
      </c>
      <c r="C223" s="60">
        <v>-4.1779580228837201</v>
      </c>
      <c r="D223" s="60">
        <v>-3.8121239999999998</v>
      </c>
      <c r="E223" s="60">
        <v>4.2701834116277301E-2</v>
      </c>
      <c r="F223" s="60">
        <f t="shared" si="9"/>
        <v>4.1779580228837201</v>
      </c>
      <c r="G223" s="60">
        <f t="shared" si="10"/>
        <v>3.8121239999999998</v>
      </c>
      <c r="H223" s="60">
        <f t="shared" si="11"/>
        <v>0.36583402288372024</v>
      </c>
      <c r="I223" s="61">
        <v>9.5965929461823002E-2</v>
      </c>
      <c r="J223" t="s">
        <v>67</v>
      </c>
    </row>
    <row r="224" spans="1:10" ht="15" customHeight="1">
      <c r="A224" s="55">
        <v>46201</v>
      </c>
      <c r="B224">
        <v>17</v>
      </c>
      <c r="C224" s="60">
        <v>-3.3542606177319798</v>
      </c>
      <c r="D224" s="60">
        <v>-3.0661330000000002</v>
      </c>
      <c r="E224" s="60">
        <v>0.63706206646802399</v>
      </c>
      <c r="F224" s="60">
        <f t="shared" si="9"/>
        <v>3.3542606177319798</v>
      </c>
      <c r="G224" s="60">
        <f t="shared" si="10"/>
        <v>3.0661330000000002</v>
      </c>
      <c r="H224" s="60">
        <f t="shared" si="11"/>
        <v>0.28812761773197959</v>
      </c>
      <c r="I224" s="61">
        <v>9.3971010954833303E-2</v>
      </c>
      <c r="J224" t="s">
        <v>67</v>
      </c>
    </row>
    <row r="225" spans="1:10" ht="15" customHeight="1">
      <c r="A225" s="55">
        <v>46186</v>
      </c>
      <c r="B225">
        <v>9</v>
      </c>
      <c r="C225" s="60">
        <v>-3.0640235911523699</v>
      </c>
      <c r="D225" s="60">
        <v>-2.8028040000000001</v>
      </c>
      <c r="E225" s="60">
        <v>0.37926253084762901</v>
      </c>
      <c r="F225" s="60">
        <f t="shared" si="9"/>
        <v>3.0640235911523699</v>
      </c>
      <c r="G225" s="60">
        <f t="shared" si="10"/>
        <v>2.8028040000000001</v>
      </c>
      <c r="H225" s="60">
        <f t="shared" si="11"/>
        <v>0.26121959115236981</v>
      </c>
      <c r="I225" s="61">
        <v>9.3199378605272096E-2</v>
      </c>
      <c r="J225" t="s">
        <v>67</v>
      </c>
    </row>
    <row r="226" spans="1:10" ht="15" customHeight="1">
      <c r="A226" s="55">
        <v>46190</v>
      </c>
      <c r="B226">
        <v>10</v>
      </c>
      <c r="C226" s="60">
        <v>-3.61691791374921</v>
      </c>
      <c r="D226" s="60">
        <v>-3.988108</v>
      </c>
      <c r="E226" s="60">
        <v>1.0379736640507999</v>
      </c>
      <c r="F226" s="60">
        <f t="shared" si="9"/>
        <v>3.61691791374921</v>
      </c>
      <c r="G226" s="60">
        <f t="shared" si="10"/>
        <v>3.988108</v>
      </c>
      <c r="H226" s="60">
        <f t="shared" si="11"/>
        <v>0.37119008625078997</v>
      </c>
      <c r="I226" s="61">
        <v>9.3074231252211495E-2</v>
      </c>
      <c r="J226" t="s">
        <v>67</v>
      </c>
    </row>
    <row r="227" spans="1:10" ht="15" customHeight="1">
      <c r="A227" s="55">
        <v>46174</v>
      </c>
      <c r="B227">
        <v>15</v>
      </c>
      <c r="C227" s="60">
        <v>-4.1687604380989702</v>
      </c>
      <c r="D227" s="60">
        <v>-3.8140649999999998</v>
      </c>
      <c r="E227" s="60">
        <v>0.34841046090102701</v>
      </c>
      <c r="F227" s="60">
        <f t="shared" si="9"/>
        <v>4.1687604380989702</v>
      </c>
      <c r="G227" s="60">
        <f t="shared" si="10"/>
        <v>3.8140649999999998</v>
      </c>
      <c r="H227" s="60">
        <f t="shared" si="11"/>
        <v>0.35469543809897042</v>
      </c>
      <c r="I227" s="61">
        <v>9.2996694628689702E-2</v>
      </c>
      <c r="J227" t="s">
        <v>67</v>
      </c>
    </row>
    <row r="228" spans="1:10" ht="15" customHeight="1">
      <c r="A228" s="55">
        <v>46179</v>
      </c>
      <c r="B228">
        <v>16</v>
      </c>
      <c r="C228" s="60">
        <v>-3.9148492730494699</v>
      </c>
      <c r="D228" s="60">
        <v>-3.5850270000000002</v>
      </c>
      <c r="E228" s="60">
        <v>0.22368713275053301</v>
      </c>
      <c r="F228" s="60">
        <f t="shared" si="9"/>
        <v>3.9148492730494699</v>
      </c>
      <c r="G228" s="60">
        <f t="shared" si="10"/>
        <v>3.5850270000000002</v>
      </c>
      <c r="H228" s="60">
        <f t="shared" si="11"/>
        <v>0.32982227304946976</v>
      </c>
      <c r="I228" s="61">
        <v>9.1999941157895504E-2</v>
      </c>
      <c r="J228" t="s">
        <v>67</v>
      </c>
    </row>
    <row r="229" spans="1:10" ht="15" customHeight="1">
      <c r="A229" s="55">
        <v>46183</v>
      </c>
      <c r="B229">
        <v>10</v>
      </c>
      <c r="C229" s="60">
        <v>-4.2861671937515498</v>
      </c>
      <c r="D229" s="60">
        <v>-3.9305249999999998</v>
      </c>
      <c r="E229" s="60">
        <v>5.6220537248454397E-2</v>
      </c>
      <c r="F229" s="60">
        <f t="shared" si="9"/>
        <v>4.2861671937515498</v>
      </c>
      <c r="G229" s="60">
        <f t="shared" si="10"/>
        <v>3.9305249999999998</v>
      </c>
      <c r="H229" s="60">
        <f t="shared" si="11"/>
        <v>0.35564219375154993</v>
      </c>
      <c r="I229" s="61">
        <v>9.0482109578630204E-2</v>
      </c>
      <c r="J229" t="s">
        <v>67</v>
      </c>
    </row>
    <row r="230" spans="1:10" ht="15" customHeight="1">
      <c r="A230" s="55">
        <v>46188</v>
      </c>
      <c r="B230">
        <v>11</v>
      </c>
      <c r="C230" s="60">
        <v>-3.9185196837382001</v>
      </c>
      <c r="D230" s="60">
        <v>-3.5999080000000001</v>
      </c>
      <c r="E230" s="60">
        <v>0.49913381606180501</v>
      </c>
      <c r="F230" s="60">
        <f t="shared" si="9"/>
        <v>3.9185196837382001</v>
      </c>
      <c r="G230" s="60">
        <f t="shared" si="10"/>
        <v>3.5999080000000001</v>
      </c>
      <c r="H230" s="60">
        <f t="shared" si="11"/>
        <v>0.31861168373820004</v>
      </c>
      <c r="I230" s="61">
        <v>8.8505507290240606E-2</v>
      </c>
      <c r="J230" t="s">
        <v>67</v>
      </c>
    </row>
    <row r="231" spans="1:10" ht="15" customHeight="1">
      <c r="A231" s="55">
        <v>46188</v>
      </c>
      <c r="B231">
        <v>16</v>
      </c>
      <c r="C231" s="60">
        <v>-4.5409591479011597</v>
      </c>
      <c r="D231" s="60">
        <v>-4.1893250000000002</v>
      </c>
      <c r="E231" s="60">
        <v>0.18487805029884399</v>
      </c>
      <c r="F231" s="60">
        <f t="shared" si="9"/>
        <v>4.5409591479011597</v>
      </c>
      <c r="G231" s="60">
        <f t="shared" si="10"/>
        <v>4.1893250000000002</v>
      </c>
      <c r="H231" s="60">
        <f t="shared" si="11"/>
        <v>0.35163414790115954</v>
      </c>
      <c r="I231" s="61">
        <v>8.3935752872158695E-2</v>
      </c>
      <c r="J231" t="s">
        <v>67</v>
      </c>
    </row>
    <row r="232" spans="1:10" ht="15" customHeight="1">
      <c r="A232" s="55">
        <v>46179</v>
      </c>
      <c r="B232">
        <v>11</v>
      </c>
      <c r="C232" s="60">
        <v>-3.2631397763233498</v>
      </c>
      <c r="D232" s="60">
        <v>-3.5617350000000001</v>
      </c>
      <c r="E232" s="60">
        <v>1.33725654427665</v>
      </c>
      <c r="F232" s="60">
        <f t="shared" si="9"/>
        <v>3.2631397763233498</v>
      </c>
      <c r="G232" s="60">
        <f t="shared" si="10"/>
        <v>3.5617350000000001</v>
      </c>
      <c r="H232" s="60">
        <f t="shared" si="11"/>
        <v>0.29859522367665026</v>
      </c>
      <c r="I232" s="61">
        <v>8.3834205429840394E-2</v>
      </c>
      <c r="J232" t="s">
        <v>67</v>
      </c>
    </row>
    <row r="233" spans="1:10" ht="15" customHeight="1">
      <c r="A233" s="55">
        <v>46196</v>
      </c>
      <c r="B233">
        <v>16</v>
      </c>
      <c r="C233" s="60">
        <v>-4.7993741737177702</v>
      </c>
      <c r="D233" s="60">
        <v>-4.4306559999999999</v>
      </c>
      <c r="E233" s="60">
        <v>0.16908698928223301</v>
      </c>
      <c r="F233" s="60">
        <f t="shared" si="9"/>
        <v>4.7993741737177702</v>
      </c>
      <c r="G233" s="60">
        <f t="shared" si="10"/>
        <v>4.4306559999999999</v>
      </c>
      <c r="H233" s="60">
        <f t="shared" si="11"/>
        <v>0.36871817371777027</v>
      </c>
      <c r="I233" s="61">
        <v>8.3219770101259805E-2</v>
      </c>
      <c r="J233" t="s">
        <v>67</v>
      </c>
    </row>
    <row r="234" spans="1:10" ht="15" customHeight="1">
      <c r="A234" s="55">
        <v>46176</v>
      </c>
      <c r="B234">
        <v>8</v>
      </c>
      <c r="C234" s="60">
        <v>-2.97754442801567</v>
      </c>
      <c r="D234" s="60">
        <v>-2.7510439999999998</v>
      </c>
      <c r="E234" s="60">
        <v>0.14332024298432799</v>
      </c>
      <c r="F234" s="60">
        <f t="shared" si="9"/>
        <v>2.97754442801567</v>
      </c>
      <c r="G234" s="60">
        <f t="shared" si="10"/>
        <v>2.7510439999999998</v>
      </c>
      <c r="H234" s="60">
        <f t="shared" si="11"/>
        <v>0.22650042801567016</v>
      </c>
      <c r="I234" s="61">
        <v>8.2332535581281896E-2</v>
      </c>
      <c r="J234" t="s">
        <v>67</v>
      </c>
    </row>
    <row r="235" spans="1:10" ht="15" customHeight="1">
      <c r="A235" s="55">
        <v>46185</v>
      </c>
      <c r="B235">
        <v>15</v>
      </c>
      <c r="C235" s="60">
        <v>-4.4406962641540799</v>
      </c>
      <c r="D235" s="60">
        <v>-4.1103909999999999</v>
      </c>
      <c r="E235" s="60">
        <v>-1.80074221540747E-2</v>
      </c>
      <c r="F235" s="60">
        <f t="shared" si="9"/>
        <v>4.4406962641540799</v>
      </c>
      <c r="G235" s="60">
        <f t="shared" si="10"/>
        <v>4.1103909999999999</v>
      </c>
      <c r="H235" s="60">
        <f t="shared" si="11"/>
        <v>0.33030526415408001</v>
      </c>
      <c r="I235" s="61">
        <v>8.0358599499189901E-2</v>
      </c>
      <c r="J235" t="s">
        <v>67</v>
      </c>
    </row>
    <row r="236" spans="1:10" ht="15" customHeight="1">
      <c r="A236" s="55">
        <v>46174</v>
      </c>
      <c r="B236">
        <v>14</v>
      </c>
      <c r="C236" s="60">
        <v>-4.0796579487041003</v>
      </c>
      <c r="D236" s="60">
        <v>-3.7778330000000002</v>
      </c>
      <c r="E236" s="60">
        <v>0.46652766529589701</v>
      </c>
      <c r="F236" s="60">
        <f t="shared" si="9"/>
        <v>4.0796579487041003</v>
      </c>
      <c r="G236" s="60">
        <f t="shared" si="10"/>
        <v>3.7778330000000002</v>
      </c>
      <c r="H236" s="60">
        <f t="shared" si="11"/>
        <v>0.30182494870410004</v>
      </c>
      <c r="I236" s="61">
        <v>7.9893671505358602E-2</v>
      </c>
      <c r="J236" t="s">
        <v>67</v>
      </c>
    </row>
    <row r="237" spans="1:10" ht="15" customHeight="1">
      <c r="A237" s="55">
        <v>46192</v>
      </c>
      <c r="B237">
        <v>16</v>
      </c>
      <c r="C237" s="60">
        <v>-4.5984783331472903</v>
      </c>
      <c r="D237" s="60">
        <v>-4.2598479999999999</v>
      </c>
      <c r="E237" s="60">
        <v>0.25814887985271201</v>
      </c>
      <c r="F237" s="60">
        <f t="shared" si="9"/>
        <v>4.5984783331472903</v>
      </c>
      <c r="G237" s="60">
        <f t="shared" si="10"/>
        <v>4.2598479999999999</v>
      </c>
      <c r="H237" s="60">
        <f t="shared" si="11"/>
        <v>0.33863033314729041</v>
      </c>
      <c r="I237" s="61">
        <v>7.9493524920909997E-2</v>
      </c>
      <c r="J237" t="s">
        <v>67</v>
      </c>
    </row>
    <row r="238" spans="1:10" ht="15" customHeight="1">
      <c r="A238" s="55">
        <v>46185</v>
      </c>
      <c r="B238">
        <v>14</v>
      </c>
      <c r="C238" s="60">
        <v>-4.2899196571662399</v>
      </c>
      <c r="D238" s="60">
        <v>-3.975168</v>
      </c>
      <c r="E238" s="60">
        <v>5.99894488337573E-2</v>
      </c>
      <c r="F238" s="60">
        <f t="shared" si="9"/>
        <v>4.2899196571662399</v>
      </c>
      <c r="G238" s="60">
        <f t="shared" si="10"/>
        <v>3.975168</v>
      </c>
      <c r="H238" s="60">
        <f t="shared" si="11"/>
        <v>0.31475165716623987</v>
      </c>
      <c r="I238" s="61">
        <v>7.9179460381609695E-2</v>
      </c>
      <c r="J238" t="s">
        <v>67</v>
      </c>
    </row>
    <row r="239" spans="1:10" ht="15" customHeight="1">
      <c r="A239" s="55">
        <v>46174</v>
      </c>
      <c r="B239">
        <v>9</v>
      </c>
      <c r="C239" s="60">
        <v>-3.4457489408575901</v>
      </c>
      <c r="D239" s="60">
        <v>-3.7364250000000001</v>
      </c>
      <c r="E239" s="60">
        <v>0.71978004614240998</v>
      </c>
      <c r="F239" s="60">
        <f t="shared" si="9"/>
        <v>3.4457489408575901</v>
      </c>
      <c r="G239" s="60">
        <f t="shared" si="10"/>
        <v>3.7364250000000001</v>
      </c>
      <c r="H239" s="60">
        <f t="shared" si="11"/>
        <v>0.29067605914241001</v>
      </c>
      <c r="I239" s="61">
        <v>7.7795234520272705E-2</v>
      </c>
      <c r="J239" t="s">
        <v>67</v>
      </c>
    </row>
    <row r="240" spans="1:10" ht="15" customHeight="1">
      <c r="A240" s="55">
        <v>46193</v>
      </c>
      <c r="B240">
        <v>8</v>
      </c>
      <c r="C240" s="60">
        <v>-2.7392937834734199</v>
      </c>
      <c r="D240" s="60">
        <v>-2.54271</v>
      </c>
      <c r="E240" s="60">
        <v>0.45941728052658298</v>
      </c>
      <c r="F240" s="60">
        <f t="shared" si="9"/>
        <v>2.7392937834734199</v>
      </c>
      <c r="G240" s="60">
        <f t="shared" si="10"/>
        <v>2.54271</v>
      </c>
      <c r="H240" s="60">
        <f t="shared" si="11"/>
        <v>0.19658378347341987</v>
      </c>
      <c r="I240" s="61">
        <v>7.7312703168437094E-2</v>
      </c>
      <c r="J240" t="s">
        <v>67</v>
      </c>
    </row>
    <row r="241" spans="1:10" ht="15" customHeight="1">
      <c r="A241" s="55">
        <v>46182</v>
      </c>
      <c r="B241">
        <v>10</v>
      </c>
      <c r="C241" s="60">
        <v>-4.0979368107539296</v>
      </c>
      <c r="D241" s="60">
        <v>-3.8082419999999999</v>
      </c>
      <c r="E241" s="60">
        <v>0.20938157924606701</v>
      </c>
      <c r="F241" s="60">
        <f t="shared" si="9"/>
        <v>4.0979368107539296</v>
      </c>
      <c r="G241" s="60">
        <f t="shared" si="10"/>
        <v>3.8082419999999999</v>
      </c>
      <c r="H241" s="60">
        <f t="shared" si="11"/>
        <v>0.28969481075392967</v>
      </c>
      <c r="I241" s="61">
        <v>7.6070483638889894E-2</v>
      </c>
      <c r="J241" t="s">
        <v>67</v>
      </c>
    </row>
    <row r="242" spans="1:10" ht="15" customHeight="1">
      <c r="A242" s="55">
        <v>46185</v>
      </c>
      <c r="B242">
        <v>17</v>
      </c>
      <c r="C242" s="60">
        <v>-4.8218337651696404</v>
      </c>
      <c r="D242" s="60">
        <v>-4.481122</v>
      </c>
      <c r="E242" s="60">
        <v>-0.237658899169643</v>
      </c>
      <c r="F242" s="60">
        <f t="shared" si="9"/>
        <v>4.8218337651696404</v>
      </c>
      <c r="G242" s="60">
        <f t="shared" si="10"/>
        <v>4.481122</v>
      </c>
      <c r="H242" s="60">
        <f t="shared" si="11"/>
        <v>0.3407117651696403</v>
      </c>
      <c r="I242" s="61">
        <v>7.60326911808345E-2</v>
      </c>
      <c r="J242" t="s">
        <v>67</v>
      </c>
    </row>
    <row r="243" spans="1:10" ht="15" customHeight="1">
      <c r="A243" s="55">
        <v>46202</v>
      </c>
      <c r="B243">
        <v>12</v>
      </c>
      <c r="C243" s="60">
        <v>-4.8016131714288299</v>
      </c>
      <c r="D243" s="60">
        <v>-4.4636529999999999</v>
      </c>
      <c r="E243" s="60">
        <v>0.41539498257116902</v>
      </c>
      <c r="F243" s="60">
        <f t="shared" si="9"/>
        <v>4.8016131714288299</v>
      </c>
      <c r="G243" s="60">
        <f t="shared" si="10"/>
        <v>4.4636529999999999</v>
      </c>
      <c r="H243" s="60">
        <f t="shared" si="11"/>
        <v>0.33796017142883006</v>
      </c>
      <c r="I243" s="61">
        <v>7.57138091668038E-2</v>
      </c>
      <c r="J243" t="s">
        <v>67</v>
      </c>
    </row>
    <row r="244" spans="1:10" ht="15" customHeight="1">
      <c r="A244" s="55">
        <v>46189</v>
      </c>
      <c r="B244">
        <v>11</v>
      </c>
      <c r="C244" s="60">
        <v>-3.7867930315581901</v>
      </c>
      <c r="D244" s="60">
        <v>-3.527444</v>
      </c>
      <c r="E244" s="60">
        <v>0.54368989944180601</v>
      </c>
      <c r="F244" s="60">
        <f t="shared" si="9"/>
        <v>3.7867930315581901</v>
      </c>
      <c r="G244" s="60">
        <f t="shared" si="10"/>
        <v>3.527444</v>
      </c>
      <c r="H244" s="60">
        <f t="shared" si="11"/>
        <v>0.25934903155819011</v>
      </c>
      <c r="I244" s="61">
        <v>7.3523217252547193E-2</v>
      </c>
      <c r="J244" t="s">
        <v>67</v>
      </c>
    </row>
    <row r="245" spans="1:10" ht="15" customHeight="1">
      <c r="A245" s="55">
        <v>46200</v>
      </c>
      <c r="B245">
        <v>10</v>
      </c>
      <c r="C245" s="60">
        <v>-3.7674581408058998</v>
      </c>
      <c r="D245" s="60">
        <v>-3.5132099999999999</v>
      </c>
      <c r="E245" s="60">
        <v>0.58874756919410198</v>
      </c>
      <c r="F245" s="60">
        <f t="shared" si="9"/>
        <v>3.7674581408058998</v>
      </c>
      <c r="G245" s="60">
        <f t="shared" si="10"/>
        <v>3.5132099999999999</v>
      </c>
      <c r="H245" s="60">
        <f t="shared" si="11"/>
        <v>0.25424814080589986</v>
      </c>
      <c r="I245" s="61">
        <v>7.2369183967340003E-2</v>
      </c>
      <c r="J245" t="s">
        <v>67</v>
      </c>
    </row>
    <row r="246" spans="1:10" ht="15" customHeight="1">
      <c r="A246" s="55">
        <v>46177</v>
      </c>
      <c r="B246">
        <v>13</v>
      </c>
      <c r="C246" s="60">
        <v>-3.7659611295490101</v>
      </c>
      <c r="D246" s="60">
        <v>-3.5119159999999998</v>
      </c>
      <c r="E246" s="60">
        <v>0.33060800945098601</v>
      </c>
      <c r="F246" s="60">
        <f t="shared" si="9"/>
        <v>3.7659611295490101</v>
      </c>
      <c r="G246" s="60">
        <f t="shared" si="10"/>
        <v>3.5119159999999998</v>
      </c>
      <c r="H246" s="60">
        <f t="shared" si="11"/>
        <v>0.25404512954901026</v>
      </c>
      <c r="I246" s="61">
        <v>7.2338042694931798E-2</v>
      </c>
      <c r="J246" t="s">
        <v>67</v>
      </c>
    </row>
    <row r="247" spans="1:10" ht="15" customHeight="1">
      <c r="A247" s="55">
        <v>46190</v>
      </c>
      <c r="B247">
        <v>17</v>
      </c>
      <c r="C247" s="60">
        <v>-4.6994002480428501</v>
      </c>
      <c r="D247" s="60">
        <v>-4.3873069999999998</v>
      </c>
      <c r="E247" s="60">
        <v>-0.167455104042846</v>
      </c>
      <c r="F247" s="60">
        <f t="shared" si="9"/>
        <v>4.6994002480428501</v>
      </c>
      <c r="G247" s="60">
        <f t="shared" si="10"/>
        <v>4.3873069999999998</v>
      </c>
      <c r="H247" s="60">
        <f t="shared" si="11"/>
        <v>0.31209324804285021</v>
      </c>
      <c r="I247" s="61">
        <v>7.1135493377337405E-2</v>
      </c>
      <c r="J247" t="s">
        <v>67</v>
      </c>
    </row>
    <row r="248" spans="1:10" ht="15" customHeight="1">
      <c r="A248" s="55">
        <v>46186</v>
      </c>
      <c r="B248">
        <v>16</v>
      </c>
      <c r="C248" s="60">
        <v>-3.4060227339387401</v>
      </c>
      <c r="D248" s="60">
        <v>-3.6633140000000002</v>
      </c>
      <c r="E248" s="60">
        <v>0.87284383106126395</v>
      </c>
      <c r="F248" s="60">
        <f t="shared" si="9"/>
        <v>3.4060227339387401</v>
      </c>
      <c r="G248" s="60">
        <f t="shared" si="10"/>
        <v>3.6633140000000002</v>
      </c>
      <c r="H248" s="60">
        <f t="shared" si="11"/>
        <v>0.25729126606126007</v>
      </c>
      <c r="I248" s="61">
        <v>7.0234565221890297E-2</v>
      </c>
      <c r="J248" t="s">
        <v>67</v>
      </c>
    </row>
    <row r="249" spans="1:10" ht="15" customHeight="1">
      <c r="A249" s="55">
        <v>46189</v>
      </c>
      <c r="B249">
        <v>10</v>
      </c>
      <c r="C249" s="60">
        <v>-4.0538146995741897</v>
      </c>
      <c r="D249" s="60">
        <v>-3.7881849999999999</v>
      </c>
      <c r="E249" s="60">
        <v>0.32987427642580702</v>
      </c>
      <c r="F249" s="60">
        <f t="shared" si="9"/>
        <v>4.0538146995741897</v>
      </c>
      <c r="G249" s="60">
        <f t="shared" si="10"/>
        <v>3.7881849999999999</v>
      </c>
      <c r="H249" s="60">
        <f t="shared" si="11"/>
        <v>0.2656296995741898</v>
      </c>
      <c r="I249" s="61">
        <v>7.0120572140535201E-2</v>
      </c>
      <c r="J249" t="s">
        <v>67</v>
      </c>
    </row>
    <row r="250" spans="1:10" ht="15" customHeight="1">
      <c r="A250" s="55">
        <v>46184</v>
      </c>
      <c r="B250">
        <v>16</v>
      </c>
      <c r="C250" s="60">
        <v>-4.5269311885931103</v>
      </c>
      <c r="D250" s="60">
        <v>-4.2359090000000004</v>
      </c>
      <c r="E250" s="60">
        <v>0.22424020040688999</v>
      </c>
      <c r="F250" s="60">
        <f t="shared" si="9"/>
        <v>4.5269311885931103</v>
      </c>
      <c r="G250" s="60">
        <f t="shared" si="10"/>
        <v>4.2359090000000004</v>
      </c>
      <c r="H250" s="60">
        <f t="shared" si="11"/>
        <v>0.29102218859310991</v>
      </c>
      <c r="I250" s="61">
        <v>6.8703597880197503E-2</v>
      </c>
      <c r="J250" t="s">
        <v>67</v>
      </c>
    </row>
    <row r="251" spans="1:10" ht="15" customHeight="1">
      <c r="A251" s="55">
        <v>46202</v>
      </c>
      <c r="B251">
        <v>14</v>
      </c>
      <c r="C251" s="60">
        <v>-4.9244637025955598</v>
      </c>
      <c r="D251" s="60">
        <v>-4.6163449999999999</v>
      </c>
      <c r="E251" s="60">
        <v>0.29194274140443699</v>
      </c>
      <c r="F251" s="60">
        <f t="shared" si="9"/>
        <v>4.9244637025955598</v>
      </c>
      <c r="G251" s="60">
        <f t="shared" si="10"/>
        <v>4.6163449999999999</v>
      </c>
      <c r="H251" s="60">
        <f t="shared" si="11"/>
        <v>0.30811870259555985</v>
      </c>
      <c r="I251" s="61">
        <v>6.6745163672897803E-2</v>
      </c>
      <c r="J251" t="s">
        <v>67</v>
      </c>
    </row>
    <row r="252" spans="1:10" ht="15" customHeight="1">
      <c r="A252" s="55">
        <v>46181</v>
      </c>
      <c r="B252">
        <v>9</v>
      </c>
      <c r="C252" s="60">
        <v>-3.8417612215391301</v>
      </c>
      <c r="D252" s="60">
        <v>-3.6154359999999999</v>
      </c>
      <c r="E252" s="60">
        <v>0.115376182460868</v>
      </c>
      <c r="F252" s="60">
        <f t="shared" si="9"/>
        <v>3.8417612215391301</v>
      </c>
      <c r="G252" s="60">
        <f t="shared" si="10"/>
        <v>3.6154359999999999</v>
      </c>
      <c r="H252" s="60">
        <f t="shared" si="11"/>
        <v>0.22632522153913026</v>
      </c>
      <c r="I252" s="61">
        <v>6.2599703476740196E-2</v>
      </c>
      <c r="J252" t="s">
        <v>67</v>
      </c>
    </row>
    <row r="253" spans="1:10" ht="15" customHeight="1">
      <c r="A253" s="55">
        <v>46190</v>
      </c>
      <c r="B253">
        <v>15</v>
      </c>
      <c r="C253" s="60">
        <v>-4.5714111050786101</v>
      </c>
      <c r="D253" s="60">
        <v>-4.3051380000000004</v>
      </c>
      <c r="E253" s="60">
        <v>0.20948022892139301</v>
      </c>
      <c r="F253" s="60">
        <f t="shared" si="9"/>
        <v>4.5714111050786101</v>
      </c>
      <c r="G253" s="60">
        <f t="shared" si="10"/>
        <v>4.3051380000000004</v>
      </c>
      <c r="H253" s="60">
        <f t="shared" si="11"/>
        <v>0.2662731050786098</v>
      </c>
      <c r="I253" s="61">
        <v>6.1850074278363899E-2</v>
      </c>
      <c r="J253" t="s">
        <v>67</v>
      </c>
    </row>
    <row r="254" spans="1:10" ht="15" customHeight="1">
      <c r="A254" s="55">
        <v>46174</v>
      </c>
      <c r="B254">
        <v>16</v>
      </c>
      <c r="C254" s="60">
        <v>-4.0584598328246999</v>
      </c>
      <c r="D254" s="60">
        <v>-3.8257110000000001</v>
      </c>
      <c r="E254" s="60">
        <v>0.3962005141753</v>
      </c>
      <c r="F254" s="60">
        <f t="shared" si="9"/>
        <v>4.0584598328246999</v>
      </c>
      <c r="G254" s="60">
        <f t="shared" si="10"/>
        <v>3.8257110000000001</v>
      </c>
      <c r="H254" s="60">
        <f t="shared" si="11"/>
        <v>0.23274883282469983</v>
      </c>
      <c r="I254" s="61">
        <v>6.0838059337127298E-2</v>
      </c>
      <c r="J254" t="s">
        <v>67</v>
      </c>
    </row>
    <row r="255" spans="1:10" ht="15" customHeight="1">
      <c r="A255" s="55">
        <v>46177</v>
      </c>
      <c r="B255">
        <v>14</v>
      </c>
      <c r="C255" s="60">
        <v>-4.10526949795661</v>
      </c>
      <c r="D255" s="60">
        <v>-3.871648</v>
      </c>
      <c r="E255" s="60">
        <v>0.21925650404339</v>
      </c>
      <c r="F255" s="60">
        <f t="shared" si="9"/>
        <v>4.10526949795661</v>
      </c>
      <c r="G255" s="60">
        <f t="shared" si="10"/>
        <v>3.871648</v>
      </c>
      <c r="H255" s="60">
        <f t="shared" si="11"/>
        <v>0.23362149795661002</v>
      </c>
      <c r="I255" s="61">
        <v>6.0341616272091399E-2</v>
      </c>
      <c r="J255" t="s">
        <v>67</v>
      </c>
    </row>
    <row r="256" spans="1:10" ht="15" customHeight="1">
      <c r="A256" s="55">
        <v>46178</v>
      </c>
      <c r="B256">
        <v>17</v>
      </c>
      <c r="C256" s="60">
        <v>-4.1350126997562704</v>
      </c>
      <c r="D256" s="60">
        <v>-3.9046449999999999</v>
      </c>
      <c r="E256" s="60">
        <v>0.208878659243731</v>
      </c>
      <c r="F256" s="60">
        <f t="shared" si="9"/>
        <v>4.1350126997562704</v>
      </c>
      <c r="G256" s="60">
        <f t="shared" si="10"/>
        <v>3.9046449999999999</v>
      </c>
      <c r="H256" s="60">
        <f t="shared" si="11"/>
        <v>0.23036769975627047</v>
      </c>
      <c r="I256" s="61">
        <v>5.8998372388852E-2</v>
      </c>
      <c r="J256" t="s">
        <v>67</v>
      </c>
    </row>
    <row r="257" spans="1:10" ht="15" customHeight="1">
      <c r="A257" s="55">
        <v>46179</v>
      </c>
      <c r="B257">
        <v>10</v>
      </c>
      <c r="C257" s="60">
        <v>-3.1524366083112199</v>
      </c>
      <c r="D257" s="60">
        <v>-3.3488720000000001</v>
      </c>
      <c r="E257" s="60">
        <v>1.0844029070887899</v>
      </c>
      <c r="F257" s="60">
        <f t="shared" si="9"/>
        <v>3.1524366083112199</v>
      </c>
      <c r="G257" s="60">
        <f t="shared" si="10"/>
        <v>3.3488720000000001</v>
      </c>
      <c r="H257" s="60">
        <f t="shared" si="11"/>
        <v>0.19643539168878021</v>
      </c>
      <c r="I257" s="61">
        <v>5.8657181190796402E-2</v>
      </c>
      <c r="J257" t="s">
        <v>67</v>
      </c>
    </row>
    <row r="258" spans="1:10" ht="15" customHeight="1">
      <c r="A258" s="55">
        <v>46186</v>
      </c>
      <c r="B258">
        <v>17</v>
      </c>
      <c r="C258" s="60">
        <v>-3.4540868845380501</v>
      </c>
      <c r="D258" s="60">
        <v>-3.6652550000000002</v>
      </c>
      <c r="E258" s="60">
        <v>0.75910788646194705</v>
      </c>
      <c r="F258" s="60">
        <f t="shared" ref="F258:F300" si="12">ABS(C258)</f>
        <v>3.4540868845380501</v>
      </c>
      <c r="G258" s="60">
        <f t="shared" ref="G258:G300" si="13">ABS(D258)</f>
        <v>3.6652550000000002</v>
      </c>
      <c r="H258" s="60">
        <f t="shared" ref="H258:H300" si="14">ABS(G258-F258)</f>
        <v>0.21116811546195002</v>
      </c>
      <c r="I258" s="61">
        <v>5.76134854087769E-2</v>
      </c>
      <c r="J258" t="s">
        <v>67</v>
      </c>
    </row>
    <row r="259" spans="1:10" ht="15" customHeight="1">
      <c r="A259" s="55">
        <v>46198</v>
      </c>
      <c r="B259">
        <v>9</v>
      </c>
      <c r="C259" s="60">
        <v>-3.9851296233603599</v>
      </c>
      <c r="D259" s="60">
        <v>-3.7681279999999999</v>
      </c>
      <c r="E259" s="60">
        <v>0.247617487639644</v>
      </c>
      <c r="F259" s="60">
        <f t="shared" si="12"/>
        <v>3.9851296233603599</v>
      </c>
      <c r="G259" s="60">
        <f t="shared" si="13"/>
        <v>3.7681279999999999</v>
      </c>
      <c r="H259" s="60">
        <f t="shared" si="14"/>
        <v>0.21700162336036</v>
      </c>
      <c r="I259" s="61">
        <v>5.7588708069459503E-2</v>
      </c>
      <c r="J259" t="s">
        <v>67</v>
      </c>
    </row>
    <row r="260" spans="1:10" ht="15" customHeight="1">
      <c r="A260" s="55">
        <v>46182</v>
      </c>
      <c r="B260">
        <v>9</v>
      </c>
      <c r="C260" s="60">
        <v>-3.84618162237614</v>
      </c>
      <c r="D260" s="60">
        <v>-4.0754530000000004</v>
      </c>
      <c r="E260" s="60">
        <v>0.53170893962386101</v>
      </c>
      <c r="F260" s="60">
        <f t="shared" si="12"/>
        <v>3.84618162237614</v>
      </c>
      <c r="G260" s="60">
        <f t="shared" si="13"/>
        <v>4.0754530000000004</v>
      </c>
      <c r="H260" s="60">
        <f t="shared" si="14"/>
        <v>0.22927137762386041</v>
      </c>
      <c r="I260" s="61">
        <v>5.6256660946368699E-2</v>
      </c>
      <c r="J260" t="s">
        <v>67</v>
      </c>
    </row>
    <row r="261" spans="1:10" ht="15" customHeight="1">
      <c r="A261" s="55">
        <v>46190</v>
      </c>
      <c r="B261">
        <v>11</v>
      </c>
      <c r="C261" s="60">
        <v>-3.6804238802959501</v>
      </c>
      <c r="D261" s="60">
        <v>-3.4853890000000001</v>
      </c>
      <c r="E261" s="60">
        <v>0.62660335970405101</v>
      </c>
      <c r="F261" s="60">
        <f t="shared" si="12"/>
        <v>3.6804238802959501</v>
      </c>
      <c r="G261" s="60">
        <f t="shared" si="13"/>
        <v>3.4853890000000001</v>
      </c>
      <c r="H261" s="60">
        <f t="shared" si="14"/>
        <v>0.19503488029595006</v>
      </c>
      <c r="I261" s="61">
        <v>5.5957851561461103E-2</v>
      </c>
      <c r="J261" t="s">
        <v>67</v>
      </c>
    </row>
    <row r="262" spans="1:10" ht="15" customHeight="1">
      <c r="A262" s="55">
        <v>46198</v>
      </c>
      <c r="B262">
        <v>8</v>
      </c>
      <c r="C262" s="60">
        <v>-3.4448905125159901</v>
      </c>
      <c r="D262" s="60">
        <v>-3.2628210000000002</v>
      </c>
      <c r="E262" s="60">
        <v>0.234487850484007</v>
      </c>
      <c r="F262" s="60">
        <f t="shared" si="12"/>
        <v>3.4448905125159901</v>
      </c>
      <c r="G262" s="60">
        <f t="shared" si="13"/>
        <v>3.2628210000000002</v>
      </c>
      <c r="H262" s="60">
        <f t="shared" si="14"/>
        <v>0.18206951251598991</v>
      </c>
      <c r="I262" s="61">
        <v>5.5801256800784599E-2</v>
      </c>
      <c r="J262" t="s">
        <v>67</v>
      </c>
    </row>
    <row r="263" spans="1:10" ht="15" customHeight="1">
      <c r="A263" s="55">
        <v>46197</v>
      </c>
      <c r="B263">
        <v>8</v>
      </c>
      <c r="C263" s="60">
        <v>-3.3609097510482102</v>
      </c>
      <c r="D263" s="60">
        <v>-3.5462069999999999</v>
      </c>
      <c r="E263" s="60">
        <v>0.53187056295179003</v>
      </c>
      <c r="F263" s="60">
        <f t="shared" si="12"/>
        <v>3.3609097510482102</v>
      </c>
      <c r="G263" s="60">
        <f t="shared" si="13"/>
        <v>3.5462069999999999</v>
      </c>
      <c r="H263" s="60">
        <f t="shared" si="14"/>
        <v>0.18529724895178967</v>
      </c>
      <c r="I263" s="61">
        <v>5.2252237094955301E-2</v>
      </c>
      <c r="J263" t="s">
        <v>67</v>
      </c>
    </row>
    <row r="264" spans="1:10" ht="15" customHeight="1">
      <c r="A264" s="55">
        <v>46188</v>
      </c>
      <c r="B264">
        <v>9</v>
      </c>
      <c r="C264" s="60">
        <v>-3.5976136129163399</v>
      </c>
      <c r="D264" s="60">
        <v>-3.795302</v>
      </c>
      <c r="E264" s="60">
        <v>0.64365345288366305</v>
      </c>
      <c r="F264" s="60">
        <f t="shared" si="12"/>
        <v>3.5976136129163399</v>
      </c>
      <c r="G264" s="60">
        <f t="shared" si="13"/>
        <v>3.795302</v>
      </c>
      <c r="H264" s="60">
        <f t="shared" si="14"/>
        <v>0.1976883870836601</v>
      </c>
      <c r="I264" s="61">
        <v>5.2087656551089601E-2</v>
      </c>
      <c r="J264" t="s">
        <v>67</v>
      </c>
    </row>
    <row r="265" spans="1:10" ht="15" customHeight="1">
      <c r="A265" s="55">
        <v>46190</v>
      </c>
      <c r="B265">
        <v>14</v>
      </c>
      <c r="C265" s="60">
        <v>-4.0592451813683796</v>
      </c>
      <c r="D265" s="60">
        <v>-4.2779639999999999</v>
      </c>
      <c r="E265" s="60">
        <v>0.94342740063162001</v>
      </c>
      <c r="F265" s="60">
        <f t="shared" si="12"/>
        <v>4.0592451813683796</v>
      </c>
      <c r="G265" s="60">
        <f t="shared" si="13"/>
        <v>4.2779639999999999</v>
      </c>
      <c r="H265" s="60">
        <f t="shared" si="14"/>
        <v>0.21871881863162024</v>
      </c>
      <c r="I265" s="61">
        <v>5.1126848807428002E-2</v>
      </c>
      <c r="J265" t="s">
        <v>67</v>
      </c>
    </row>
    <row r="266" spans="1:10" ht="15" customHeight="1">
      <c r="A266" s="55">
        <v>46189</v>
      </c>
      <c r="B266">
        <v>15</v>
      </c>
      <c r="C266" s="60">
        <v>-4.3091335345560804</v>
      </c>
      <c r="D266" s="60">
        <v>-4.1000389999999998</v>
      </c>
      <c r="E266" s="60">
        <v>0.42756058244391998</v>
      </c>
      <c r="F266" s="60">
        <f t="shared" si="12"/>
        <v>4.3091335345560804</v>
      </c>
      <c r="G266" s="60">
        <f t="shared" si="13"/>
        <v>4.1000389999999998</v>
      </c>
      <c r="H266" s="60">
        <f t="shared" si="14"/>
        <v>0.20909453455608062</v>
      </c>
      <c r="I266" s="61">
        <v>5.0998181860240799E-2</v>
      </c>
      <c r="J266" t="s">
        <v>67</v>
      </c>
    </row>
    <row r="267" spans="1:10" ht="15" customHeight="1">
      <c r="A267" s="55">
        <v>46188</v>
      </c>
      <c r="B267">
        <v>10</v>
      </c>
      <c r="C267" s="60">
        <v>-4.1348843365588301</v>
      </c>
      <c r="D267" s="60">
        <v>-3.9382890000000002</v>
      </c>
      <c r="E267" s="60">
        <v>0.45851726704117401</v>
      </c>
      <c r="F267" s="60">
        <f t="shared" si="12"/>
        <v>4.1348843365588301</v>
      </c>
      <c r="G267" s="60">
        <f t="shared" si="13"/>
        <v>3.9382890000000002</v>
      </c>
      <c r="H267" s="60">
        <f t="shared" si="14"/>
        <v>0.19659533655882999</v>
      </c>
      <c r="I267" s="61">
        <v>4.9918971553084598E-2</v>
      </c>
      <c r="J267" t="s">
        <v>67</v>
      </c>
    </row>
    <row r="268" spans="1:10" ht="15" customHeight="1">
      <c r="A268" s="55">
        <v>46189</v>
      </c>
      <c r="B268">
        <v>16</v>
      </c>
      <c r="C268" s="60">
        <v>-4.2786151990516696</v>
      </c>
      <c r="D268" s="60">
        <v>-4.0767470000000001</v>
      </c>
      <c r="E268" s="60">
        <v>0.38492586294833198</v>
      </c>
      <c r="F268" s="60">
        <f t="shared" si="12"/>
        <v>4.2786151990516696</v>
      </c>
      <c r="G268" s="60">
        <f t="shared" si="13"/>
        <v>4.0767470000000001</v>
      </c>
      <c r="H268" s="60">
        <f t="shared" si="14"/>
        <v>0.20186819905166953</v>
      </c>
      <c r="I268" s="61">
        <v>4.95169798497841E-2</v>
      </c>
      <c r="J268" t="s">
        <v>67</v>
      </c>
    </row>
    <row r="269" spans="1:10" ht="15" customHeight="1">
      <c r="A269" s="55">
        <v>46184</v>
      </c>
      <c r="B269">
        <v>17</v>
      </c>
      <c r="C269" s="60">
        <v>-4.7087370575605103</v>
      </c>
      <c r="D269" s="60">
        <v>-4.4869450000000004</v>
      </c>
      <c r="E269" s="60">
        <v>0.178571542439487</v>
      </c>
      <c r="F269" s="60">
        <f t="shared" si="12"/>
        <v>4.7087370575605103</v>
      </c>
      <c r="G269" s="60">
        <f t="shared" si="13"/>
        <v>4.4869450000000004</v>
      </c>
      <c r="H269" s="60">
        <f t="shared" si="14"/>
        <v>0.2217920575605099</v>
      </c>
      <c r="I269" s="61">
        <v>4.9430527354472398E-2</v>
      </c>
      <c r="J269" t="s">
        <v>68</v>
      </c>
    </row>
    <row r="270" spans="1:10" ht="15" customHeight="1">
      <c r="A270" s="55">
        <v>46188</v>
      </c>
      <c r="B270">
        <v>17</v>
      </c>
      <c r="C270" s="60">
        <v>-4.2339929910879102</v>
      </c>
      <c r="D270" s="60">
        <v>-4.4390669999999997</v>
      </c>
      <c r="E270" s="60">
        <v>0.59612818471209095</v>
      </c>
      <c r="F270" s="60">
        <f t="shared" si="12"/>
        <v>4.2339929910879102</v>
      </c>
      <c r="G270" s="60">
        <f t="shared" si="13"/>
        <v>4.4390669999999997</v>
      </c>
      <c r="H270" s="60">
        <f t="shared" si="14"/>
        <v>0.20507400891208949</v>
      </c>
      <c r="I270" s="61">
        <v>4.61975475729677E-2</v>
      </c>
      <c r="J270" t="s">
        <v>68</v>
      </c>
    </row>
    <row r="271" spans="1:10" ht="15" customHeight="1">
      <c r="A271" s="55">
        <v>46183</v>
      </c>
      <c r="B271">
        <v>9</v>
      </c>
      <c r="C271" s="60">
        <v>-3.97457135261469</v>
      </c>
      <c r="D271" s="60">
        <v>-4.1640920000000001</v>
      </c>
      <c r="E271" s="60">
        <v>0.48174207938531199</v>
      </c>
      <c r="F271" s="60">
        <f t="shared" si="12"/>
        <v>3.97457135261469</v>
      </c>
      <c r="G271" s="60">
        <f t="shared" si="13"/>
        <v>4.1640920000000001</v>
      </c>
      <c r="H271" s="60">
        <f t="shared" si="14"/>
        <v>0.18952064738531016</v>
      </c>
      <c r="I271" s="61">
        <v>4.5513078814135799E-2</v>
      </c>
      <c r="J271" t="s">
        <v>68</v>
      </c>
    </row>
    <row r="272" spans="1:10" ht="15" customHeight="1">
      <c r="A272" s="55">
        <v>46191</v>
      </c>
      <c r="B272">
        <v>10</v>
      </c>
      <c r="C272" s="60">
        <v>-4.0535770269801201</v>
      </c>
      <c r="D272" s="60">
        <v>-4.2456139999999998</v>
      </c>
      <c r="E272" s="60">
        <v>0.75940615401988298</v>
      </c>
      <c r="F272" s="60">
        <f t="shared" si="12"/>
        <v>4.0535770269801201</v>
      </c>
      <c r="G272" s="60">
        <f t="shared" si="13"/>
        <v>4.2456139999999998</v>
      </c>
      <c r="H272" s="60">
        <f t="shared" si="14"/>
        <v>0.19203697301987965</v>
      </c>
      <c r="I272" s="61">
        <v>4.5231849390896799E-2</v>
      </c>
      <c r="J272" t="s">
        <v>68</v>
      </c>
    </row>
    <row r="273" spans="1:10" ht="15" customHeight="1">
      <c r="A273" s="55">
        <v>46190</v>
      </c>
      <c r="B273">
        <v>9</v>
      </c>
      <c r="C273" s="60">
        <v>-3.63500713859725</v>
      </c>
      <c r="D273" s="60">
        <v>-3.8069480000000002</v>
      </c>
      <c r="E273" s="60">
        <v>0.68204083740275201</v>
      </c>
      <c r="F273" s="60">
        <f t="shared" si="12"/>
        <v>3.63500713859725</v>
      </c>
      <c r="G273" s="60">
        <f t="shared" si="13"/>
        <v>3.8069480000000002</v>
      </c>
      <c r="H273" s="60">
        <f t="shared" si="14"/>
        <v>0.17194086140275022</v>
      </c>
      <c r="I273" s="61">
        <v>4.5165014442737898E-2</v>
      </c>
      <c r="J273" t="s">
        <v>68</v>
      </c>
    </row>
    <row r="274" spans="1:10" ht="15" customHeight="1">
      <c r="A274" s="55">
        <v>46179</v>
      </c>
      <c r="B274">
        <v>8</v>
      </c>
      <c r="C274" s="60">
        <v>-2.4170768690595099</v>
      </c>
      <c r="D274" s="60">
        <v>-2.5304169999999999</v>
      </c>
      <c r="E274" s="60">
        <v>0.64344172374049402</v>
      </c>
      <c r="F274" s="60">
        <f t="shared" si="12"/>
        <v>2.4170768690595099</v>
      </c>
      <c r="G274" s="60">
        <f t="shared" si="13"/>
        <v>2.5304169999999999</v>
      </c>
      <c r="H274" s="60">
        <f t="shared" si="14"/>
        <v>0.11334013094049</v>
      </c>
      <c r="I274" s="61">
        <v>4.4791088164715297E-2</v>
      </c>
      <c r="J274" t="s">
        <v>68</v>
      </c>
    </row>
    <row r="275" spans="1:10" ht="15" customHeight="1">
      <c r="A275" s="55">
        <v>46176</v>
      </c>
      <c r="B275">
        <v>15</v>
      </c>
      <c r="C275" s="60">
        <v>-4.1956327365407899</v>
      </c>
      <c r="D275" s="60">
        <v>-4.0301629999999999</v>
      </c>
      <c r="E275" s="60">
        <v>0.482973720459207</v>
      </c>
      <c r="F275" s="60">
        <f t="shared" si="12"/>
        <v>4.1956327365407899</v>
      </c>
      <c r="G275" s="60">
        <f t="shared" si="13"/>
        <v>4.0301629999999999</v>
      </c>
      <c r="H275" s="60">
        <f t="shared" si="14"/>
        <v>0.16546973654079</v>
      </c>
      <c r="I275" s="61">
        <v>4.1057827323806299E-2</v>
      </c>
      <c r="J275" t="s">
        <v>68</v>
      </c>
    </row>
    <row r="276" spans="1:10" ht="15" customHeight="1">
      <c r="A276" s="55">
        <v>46179</v>
      </c>
      <c r="B276">
        <v>12</v>
      </c>
      <c r="C276" s="60">
        <v>-3.42550298583649</v>
      </c>
      <c r="D276" s="60">
        <v>-3.5701459999999998</v>
      </c>
      <c r="E276" s="60">
        <v>1.1405566565635199</v>
      </c>
      <c r="F276" s="60">
        <f t="shared" si="12"/>
        <v>3.42550298583649</v>
      </c>
      <c r="G276" s="60">
        <f t="shared" si="13"/>
        <v>3.5701459999999998</v>
      </c>
      <c r="H276" s="60">
        <f t="shared" si="14"/>
        <v>0.14464301416350978</v>
      </c>
      <c r="I276" s="61">
        <v>4.0514593566625699E-2</v>
      </c>
      <c r="J276" t="s">
        <v>68</v>
      </c>
    </row>
    <row r="277" spans="1:10" ht="15" customHeight="1">
      <c r="A277" s="55">
        <v>46191</v>
      </c>
      <c r="B277">
        <v>17</v>
      </c>
      <c r="C277" s="60">
        <v>-4.4667608316293199</v>
      </c>
      <c r="D277" s="60">
        <v>-4.2967269999999997</v>
      </c>
      <c r="E277" s="60">
        <v>0.30034357937068301</v>
      </c>
      <c r="F277" s="60">
        <f t="shared" si="12"/>
        <v>4.4667608316293199</v>
      </c>
      <c r="G277" s="60">
        <f t="shared" si="13"/>
        <v>4.2967269999999997</v>
      </c>
      <c r="H277" s="60">
        <f t="shared" si="14"/>
        <v>0.17003383162932018</v>
      </c>
      <c r="I277" s="61">
        <v>3.9572872940104697E-2</v>
      </c>
      <c r="J277" t="s">
        <v>68</v>
      </c>
    </row>
    <row r="278" spans="1:10" ht="15" customHeight="1">
      <c r="A278" s="55">
        <v>46176</v>
      </c>
      <c r="B278">
        <v>14</v>
      </c>
      <c r="C278" s="60">
        <v>-4.14639897004822</v>
      </c>
      <c r="D278" s="60">
        <v>-3.9894020000000001</v>
      </c>
      <c r="E278" s="60">
        <v>0.46795197595177701</v>
      </c>
      <c r="F278" s="60">
        <f t="shared" si="12"/>
        <v>4.14639897004822</v>
      </c>
      <c r="G278" s="60">
        <f t="shared" si="13"/>
        <v>3.9894020000000001</v>
      </c>
      <c r="H278" s="60">
        <f t="shared" si="14"/>
        <v>0.15699697004821989</v>
      </c>
      <c r="I278" s="61">
        <v>3.93535096358359E-2</v>
      </c>
      <c r="J278" t="s">
        <v>68</v>
      </c>
    </row>
    <row r="279" spans="1:10" ht="15" customHeight="1">
      <c r="A279" s="55">
        <v>46179</v>
      </c>
      <c r="B279">
        <v>15</v>
      </c>
      <c r="C279" s="60">
        <v>-3.72422970766053</v>
      </c>
      <c r="D279" s="60">
        <v>-3.5882619999999998</v>
      </c>
      <c r="E279" s="60">
        <v>0.72870198473947401</v>
      </c>
      <c r="F279" s="60">
        <f t="shared" si="12"/>
        <v>3.72422970766053</v>
      </c>
      <c r="G279" s="60">
        <f t="shared" si="13"/>
        <v>3.5882619999999998</v>
      </c>
      <c r="H279" s="60">
        <f t="shared" si="14"/>
        <v>0.13596770766053012</v>
      </c>
      <c r="I279" s="61">
        <v>3.7892357821286901E-2</v>
      </c>
      <c r="J279" t="s">
        <v>68</v>
      </c>
    </row>
    <row r="280" spans="1:10" ht="15" customHeight="1">
      <c r="A280" s="55">
        <v>46189</v>
      </c>
      <c r="B280">
        <v>9</v>
      </c>
      <c r="C280" s="60">
        <v>-3.84490690268807</v>
      </c>
      <c r="D280" s="60">
        <v>-3.7047219999999998</v>
      </c>
      <c r="E280" s="60">
        <v>0.28269817931193397</v>
      </c>
      <c r="F280" s="60">
        <f t="shared" si="12"/>
        <v>3.84490690268807</v>
      </c>
      <c r="G280" s="60">
        <f t="shared" si="13"/>
        <v>3.7047219999999998</v>
      </c>
      <c r="H280" s="60">
        <f t="shared" si="14"/>
        <v>0.14018490268807016</v>
      </c>
      <c r="I280" s="61">
        <v>3.7839520128113799E-2</v>
      </c>
      <c r="J280" t="s">
        <v>68</v>
      </c>
    </row>
    <row r="281" spans="1:10" ht="15" customHeight="1">
      <c r="A281" s="55">
        <v>46178</v>
      </c>
      <c r="B281">
        <v>12</v>
      </c>
      <c r="C281" s="60">
        <v>-3.7077872122364299</v>
      </c>
      <c r="D281" s="60">
        <v>-3.5902029999999998</v>
      </c>
      <c r="E281" s="60">
        <v>0.70497147376356895</v>
      </c>
      <c r="F281" s="60">
        <f t="shared" si="12"/>
        <v>3.7077872122364299</v>
      </c>
      <c r="G281" s="60">
        <f t="shared" si="13"/>
        <v>3.5902029999999998</v>
      </c>
      <c r="H281" s="60">
        <f t="shared" si="14"/>
        <v>0.11758421223643012</v>
      </c>
      <c r="I281" s="61">
        <v>3.27514105014204E-2</v>
      </c>
      <c r="J281" t="s">
        <v>68</v>
      </c>
    </row>
    <row r="282" spans="1:10" ht="15" customHeight="1">
      <c r="A282" s="55">
        <v>46192</v>
      </c>
      <c r="B282">
        <v>17</v>
      </c>
      <c r="C282" s="60">
        <v>-4.5411092350336402</v>
      </c>
      <c r="D282" s="60">
        <v>-4.404776</v>
      </c>
      <c r="E282" s="60">
        <v>0.25722521896635903</v>
      </c>
      <c r="F282" s="60">
        <f t="shared" si="12"/>
        <v>4.5411092350336402</v>
      </c>
      <c r="G282" s="60">
        <f t="shared" si="13"/>
        <v>4.404776</v>
      </c>
      <c r="H282" s="60">
        <f t="shared" si="14"/>
        <v>0.13633323503364014</v>
      </c>
      <c r="I282" s="61">
        <v>3.0951229990728399E-2</v>
      </c>
      <c r="J282" t="s">
        <v>68</v>
      </c>
    </row>
    <row r="283" spans="1:10" ht="15" customHeight="1">
      <c r="A283" s="55">
        <v>46178</v>
      </c>
      <c r="B283">
        <v>13</v>
      </c>
      <c r="C283" s="60">
        <v>-3.71080036090004</v>
      </c>
      <c r="D283" s="60">
        <v>-3.6005549999999999</v>
      </c>
      <c r="E283" s="60">
        <v>0.66973643109995895</v>
      </c>
      <c r="F283" s="60">
        <f t="shared" si="12"/>
        <v>3.71080036090004</v>
      </c>
      <c r="G283" s="60">
        <f t="shared" si="13"/>
        <v>3.6005549999999999</v>
      </c>
      <c r="H283" s="60">
        <f t="shared" si="14"/>
        <v>0.11024536090004</v>
      </c>
      <c r="I283" s="61">
        <v>3.0618990933353799E-2</v>
      </c>
      <c r="J283" t="s">
        <v>68</v>
      </c>
    </row>
    <row r="284" spans="1:10" ht="15" customHeight="1">
      <c r="A284" s="55">
        <v>46190</v>
      </c>
      <c r="B284">
        <v>12</v>
      </c>
      <c r="C284" s="60">
        <v>-3.86385018914405</v>
      </c>
      <c r="D284" s="60">
        <v>-3.7577759999999998</v>
      </c>
      <c r="E284" s="60">
        <v>0.71368775085595404</v>
      </c>
      <c r="F284" s="60">
        <f t="shared" si="12"/>
        <v>3.86385018914405</v>
      </c>
      <c r="G284" s="60">
        <f t="shared" si="13"/>
        <v>3.7577759999999998</v>
      </c>
      <c r="H284" s="60">
        <f t="shared" si="14"/>
        <v>0.1060741891440502</v>
      </c>
      <c r="I284" s="61">
        <v>2.8227917029659499E-2</v>
      </c>
      <c r="J284" t="s">
        <v>68</v>
      </c>
    </row>
    <row r="285" spans="1:10" ht="15" customHeight="1">
      <c r="A285" s="55">
        <v>46194</v>
      </c>
      <c r="B285">
        <v>16</v>
      </c>
      <c r="C285" s="60">
        <v>-3.4856661931898301</v>
      </c>
      <c r="D285" s="60">
        <v>-3.576616</v>
      </c>
      <c r="E285" s="60">
        <v>0.81956782161017105</v>
      </c>
      <c r="F285" s="60">
        <f t="shared" si="12"/>
        <v>3.4856661931898301</v>
      </c>
      <c r="G285" s="60">
        <f t="shared" si="13"/>
        <v>3.576616</v>
      </c>
      <c r="H285" s="60">
        <f t="shared" si="14"/>
        <v>9.0949806810169953E-2</v>
      </c>
      <c r="I285" s="61">
        <v>2.5429010777274101E-2</v>
      </c>
      <c r="J285" t="s">
        <v>68</v>
      </c>
    </row>
    <row r="286" spans="1:10" ht="15" customHeight="1">
      <c r="A286" s="55">
        <v>46176</v>
      </c>
      <c r="B286">
        <v>12</v>
      </c>
      <c r="C286" s="60">
        <v>-3.7918993301957999</v>
      </c>
      <c r="D286" s="60">
        <v>-3.880706</v>
      </c>
      <c r="E286" s="60">
        <v>0.83864731980420204</v>
      </c>
      <c r="F286" s="60">
        <f t="shared" si="12"/>
        <v>3.7918993301957999</v>
      </c>
      <c r="G286" s="60">
        <f t="shared" si="13"/>
        <v>3.880706</v>
      </c>
      <c r="H286" s="60">
        <f t="shared" si="14"/>
        <v>8.8806669804200045E-2</v>
      </c>
      <c r="I286" s="61">
        <v>2.28841529876786E-2</v>
      </c>
      <c r="J286" t="s">
        <v>68</v>
      </c>
    </row>
    <row r="287" spans="1:10" ht="15" customHeight="1">
      <c r="A287" s="55">
        <v>46190</v>
      </c>
      <c r="B287">
        <v>13</v>
      </c>
      <c r="C287" s="60">
        <v>-3.8102489404062099</v>
      </c>
      <c r="D287" s="60">
        <v>-3.7467769999999998</v>
      </c>
      <c r="E287" s="60">
        <v>0.73668033539379496</v>
      </c>
      <c r="F287" s="60">
        <f t="shared" si="12"/>
        <v>3.8102489404062099</v>
      </c>
      <c r="G287" s="60">
        <f t="shared" si="13"/>
        <v>3.7467769999999998</v>
      </c>
      <c r="H287" s="60">
        <f t="shared" si="14"/>
        <v>6.347194040621007E-2</v>
      </c>
      <c r="I287" s="61">
        <v>1.6940410493126602E-2</v>
      </c>
      <c r="J287" t="s">
        <v>68</v>
      </c>
    </row>
    <row r="288" spans="1:10" ht="15" customHeight="1">
      <c r="A288" s="55">
        <v>46174</v>
      </c>
      <c r="B288">
        <v>12</v>
      </c>
      <c r="C288" s="60">
        <v>-3.7928034963441899</v>
      </c>
      <c r="D288" s="60">
        <v>-3.7344840000000001</v>
      </c>
      <c r="E288" s="60">
        <v>0.76728614765580705</v>
      </c>
      <c r="F288" s="60">
        <f t="shared" si="12"/>
        <v>3.7928034963441899</v>
      </c>
      <c r="G288" s="60">
        <f t="shared" si="13"/>
        <v>3.7344840000000001</v>
      </c>
      <c r="H288" s="60">
        <f t="shared" si="14"/>
        <v>5.8319496344189758E-2</v>
      </c>
      <c r="I288" s="61">
        <v>1.56164804412587E-2</v>
      </c>
      <c r="J288" t="s">
        <v>68</v>
      </c>
    </row>
    <row r="289" spans="1:10" ht="15" customHeight="1">
      <c r="A289" s="55">
        <v>46179</v>
      </c>
      <c r="B289">
        <v>14</v>
      </c>
      <c r="C289" s="60">
        <v>-3.6321277206747</v>
      </c>
      <c r="D289" s="60">
        <v>-3.5811449999999998</v>
      </c>
      <c r="E289" s="60">
        <v>0.91998130772530395</v>
      </c>
      <c r="F289" s="60">
        <f t="shared" si="12"/>
        <v>3.6321277206747</v>
      </c>
      <c r="G289" s="60">
        <f t="shared" si="13"/>
        <v>3.5811449999999998</v>
      </c>
      <c r="H289" s="60">
        <f t="shared" si="14"/>
        <v>5.0982720674700222E-2</v>
      </c>
      <c r="I289" s="61">
        <v>1.4236430157029601E-2</v>
      </c>
      <c r="J289" t="s">
        <v>68</v>
      </c>
    </row>
    <row r="290" spans="1:10" ht="15" customHeight="1">
      <c r="A290" s="55">
        <v>46189</v>
      </c>
      <c r="B290">
        <v>14</v>
      </c>
      <c r="C290" s="60">
        <v>-4.1313680556644599</v>
      </c>
      <c r="D290" s="60">
        <v>-4.0741589999999999</v>
      </c>
      <c r="E290" s="60">
        <v>0.62189767233554405</v>
      </c>
      <c r="F290" s="60">
        <f t="shared" si="12"/>
        <v>4.1313680556644599</v>
      </c>
      <c r="G290" s="60">
        <f t="shared" si="13"/>
        <v>4.0741589999999999</v>
      </c>
      <c r="H290" s="60">
        <f t="shared" si="14"/>
        <v>5.7209055664459996E-2</v>
      </c>
      <c r="I290" s="61">
        <v>1.40419300435884E-2</v>
      </c>
      <c r="J290" t="s">
        <v>68</v>
      </c>
    </row>
    <row r="291" spans="1:10" ht="15" customHeight="1">
      <c r="A291" s="55">
        <v>46176</v>
      </c>
      <c r="B291">
        <v>13</v>
      </c>
      <c r="C291" s="60">
        <v>-3.9758360692562902</v>
      </c>
      <c r="D291" s="60">
        <v>-3.929878</v>
      </c>
      <c r="E291" s="60">
        <v>0.70375965074370594</v>
      </c>
      <c r="F291" s="60">
        <f t="shared" si="12"/>
        <v>3.9758360692562902</v>
      </c>
      <c r="G291" s="60">
        <f t="shared" si="13"/>
        <v>3.929878</v>
      </c>
      <c r="H291" s="60">
        <f t="shared" si="14"/>
        <v>4.5958069256290202E-2</v>
      </c>
      <c r="I291" s="61">
        <v>1.16945282414096E-2</v>
      </c>
      <c r="J291" t="s">
        <v>68</v>
      </c>
    </row>
    <row r="292" spans="1:10" ht="15" customHeight="1">
      <c r="A292" s="55">
        <v>46192</v>
      </c>
      <c r="B292">
        <v>10</v>
      </c>
      <c r="C292" s="60">
        <v>-4.1016380614821299</v>
      </c>
      <c r="D292" s="60">
        <v>-4.0631599999999999</v>
      </c>
      <c r="E292" s="60">
        <v>0.68542824051786999</v>
      </c>
      <c r="F292" s="60">
        <f t="shared" si="12"/>
        <v>4.1016380614821299</v>
      </c>
      <c r="G292" s="60">
        <f t="shared" si="13"/>
        <v>4.0631599999999999</v>
      </c>
      <c r="H292" s="60">
        <f t="shared" si="14"/>
        <v>3.8478061482130066E-2</v>
      </c>
      <c r="I292" s="61">
        <v>9.4699843181488795E-3</v>
      </c>
      <c r="J292" t="s">
        <v>68</v>
      </c>
    </row>
    <row r="293" spans="1:10" ht="15" customHeight="1">
      <c r="A293" s="55">
        <v>46174</v>
      </c>
      <c r="B293">
        <v>11</v>
      </c>
      <c r="C293" s="60">
        <v>-3.7071184461106199</v>
      </c>
      <c r="D293" s="60">
        <v>-3.7416010000000002</v>
      </c>
      <c r="E293" s="60">
        <v>0.78100344688937895</v>
      </c>
      <c r="F293" s="60">
        <f t="shared" si="12"/>
        <v>3.7071184461106199</v>
      </c>
      <c r="G293" s="60">
        <f t="shared" si="13"/>
        <v>3.7416010000000002</v>
      </c>
      <c r="H293" s="60">
        <f t="shared" si="14"/>
        <v>3.4482553889380263E-2</v>
      </c>
      <c r="I293" s="61">
        <v>9.2159890617355706E-3</v>
      </c>
      <c r="J293" t="s">
        <v>68</v>
      </c>
    </row>
    <row r="294" spans="1:10" ht="15" customHeight="1">
      <c r="A294" s="55">
        <v>46174</v>
      </c>
      <c r="B294">
        <v>10</v>
      </c>
      <c r="C294" s="60">
        <v>-3.7073316642751899</v>
      </c>
      <c r="D294" s="60">
        <v>-3.7416010000000002</v>
      </c>
      <c r="E294" s="60">
        <v>0.59129751572480704</v>
      </c>
      <c r="F294" s="60">
        <f t="shared" si="12"/>
        <v>3.7073316642751899</v>
      </c>
      <c r="G294" s="60">
        <f t="shared" si="13"/>
        <v>3.7416010000000002</v>
      </c>
      <c r="H294" s="60">
        <f t="shared" si="14"/>
        <v>3.4269335724810279E-2</v>
      </c>
      <c r="I294" s="61">
        <v>9.1590032514976896E-3</v>
      </c>
      <c r="J294" t="s">
        <v>68</v>
      </c>
    </row>
    <row r="295" spans="1:10" ht="15" customHeight="1">
      <c r="A295" s="55">
        <v>46179</v>
      </c>
      <c r="B295">
        <v>13</v>
      </c>
      <c r="C295" s="60">
        <v>-3.5523918701647599</v>
      </c>
      <c r="D295" s="60">
        <v>-3.5811449999999998</v>
      </c>
      <c r="E295" s="60">
        <v>0.99342404803523698</v>
      </c>
      <c r="F295" s="60">
        <f t="shared" si="12"/>
        <v>3.5523918701647599</v>
      </c>
      <c r="G295" s="60">
        <f t="shared" si="13"/>
        <v>3.5811449999999998</v>
      </c>
      <c r="H295" s="60">
        <f t="shared" si="14"/>
        <v>2.8753129835239921E-2</v>
      </c>
      <c r="I295" s="61">
        <v>8.0290325678621707E-3</v>
      </c>
      <c r="J295" t="s">
        <v>68</v>
      </c>
    </row>
    <row r="296" spans="1:10" ht="15" customHeight="1">
      <c r="A296" s="55">
        <v>46202</v>
      </c>
      <c r="B296">
        <v>13</v>
      </c>
      <c r="C296" s="60">
        <v>-4.7266562540098498</v>
      </c>
      <c r="D296" s="60">
        <v>-4.6901029999999997</v>
      </c>
      <c r="E296" s="60">
        <v>0.75812514299014799</v>
      </c>
      <c r="F296" s="60">
        <f t="shared" si="12"/>
        <v>4.7266562540098498</v>
      </c>
      <c r="G296" s="60">
        <f t="shared" si="13"/>
        <v>4.6901029999999997</v>
      </c>
      <c r="H296" s="60">
        <f t="shared" si="14"/>
        <v>3.65532540098501E-2</v>
      </c>
      <c r="I296" s="61">
        <v>7.7936996287398998E-3</v>
      </c>
      <c r="J296" t="s">
        <v>68</v>
      </c>
    </row>
    <row r="297" spans="1:10" ht="15" customHeight="1">
      <c r="A297" s="55">
        <v>46189</v>
      </c>
      <c r="B297">
        <v>8</v>
      </c>
      <c r="C297" s="60">
        <v>-3.2514624477823402</v>
      </c>
      <c r="D297" s="60">
        <v>-3.2699379999999998</v>
      </c>
      <c r="E297" s="60">
        <v>0.39729275821766502</v>
      </c>
      <c r="F297" s="60">
        <f t="shared" si="12"/>
        <v>3.2514624477823402</v>
      </c>
      <c r="G297" s="60">
        <f t="shared" si="13"/>
        <v>3.2699379999999998</v>
      </c>
      <c r="H297" s="60">
        <f t="shared" si="14"/>
        <v>1.8475552217659619E-2</v>
      </c>
      <c r="I297" s="61">
        <v>5.65012309642101E-3</v>
      </c>
      <c r="J297" t="s">
        <v>68</v>
      </c>
    </row>
    <row r="298" spans="1:10" ht="15" customHeight="1">
      <c r="A298" s="55">
        <v>46202</v>
      </c>
      <c r="B298">
        <v>15</v>
      </c>
      <c r="C298" s="60">
        <v>-5.0024353121701699</v>
      </c>
      <c r="D298" s="60">
        <v>-4.9864290000000002</v>
      </c>
      <c r="E298" s="60">
        <v>0.50769230982983504</v>
      </c>
      <c r="F298" s="60">
        <f t="shared" si="12"/>
        <v>5.0024353121701699</v>
      </c>
      <c r="G298" s="60">
        <f t="shared" si="13"/>
        <v>4.9864290000000002</v>
      </c>
      <c r="H298" s="60">
        <f t="shared" si="14"/>
        <v>1.6006312170169679E-2</v>
      </c>
      <c r="I298" s="61">
        <v>3.2099749480369701E-3</v>
      </c>
      <c r="J298" t="s">
        <v>68</v>
      </c>
    </row>
    <row r="299" spans="1:10" ht="15" customHeight="1">
      <c r="A299" s="55">
        <v>46176</v>
      </c>
      <c r="B299">
        <v>11</v>
      </c>
      <c r="C299" s="60">
        <v>-3.8258860877637302</v>
      </c>
      <c r="D299" s="60">
        <v>-3.8380040000000002</v>
      </c>
      <c r="E299" s="60">
        <v>0.70800587923627001</v>
      </c>
      <c r="F299" s="60">
        <f t="shared" si="12"/>
        <v>3.8258860877637302</v>
      </c>
      <c r="G299" s="60">
        <f t="shared" si="13"/>
        <v>3.8380040000000002</v>
      </c>
      <c r="H299" s="60">
        <f t="shared" si="14"/>
        <v>1.2117912236270012E-2</v>
      </c>
      <c r="I299" s="61">
        <v>3.1573474744345398E-3</v>
      </c>
      <c r="J299" t="s">
        <v>68</v>
      </c>
    </row>
    <row r="300" spans="1:10" ht="15" customHeight="1">
      <c r="A300" s="55">
        <v>46174</v>
      </c>
      <c r="B300">
        <v>13</v>
      </c>
      <c r="C300" s="60">
        <v>-3.7406568283180599</v>
      </c>
      <c r="D300" s="60">
        <v>-3.7474240000000001</v>
      </c>
      <c r="E300" s="60">
        <v>0.81694704168193999</v>
      </c>
      <c r="F300" s="60">
        <f t="shared" si="12"/>
        <v>3.7406568283180599</v>
      </c>
      <c r="G300" s="60">
        <f t="shared" si="13"/>
        <v>3.7474240000000001</v>
      </c>
      <c r="H300" s="60">
        <f t="shared" si="14"/>
        <v>6.7671716819401873E-3</v>
      </c>
      <c r="I300" s="61">
        <v>1.8058195928561901E-3</v>
      </c>
      <c r="J300" t="s">
        <v>68</v>
      </c>
    </row>
    <row r="301" spans="1:10" ht="15" customHeight="1">
      <c r="A301" s="55">
        <v>46189</v>
      </c>
      <c r="B301">
        <v>17</v>
      </c>
      <c r="C301" s="60">
        <v>-6.9709995776248697</v>
      </c>
      <c r="D301" s="60">
        <v>-6.9610000000000003</v>
      </c>
      <c r="E301" s="60">
        <v>0.58549742237513502</v>
      </c>
      <c r="F301" s="60">
        <v>6.9709995776248697</v>
      </c>
      <c r="G301" s="60">
        <v>6.9610000000000003</v>
      </c>
      <c r="H301" s="60">
        <v>9.9995776248649193E-3</v>
      </c>
      <c r="I301" s="61">
        <v>1.4365145273473501E-3</v>
      </c>
      <c r="J301" t="s">
        <v>68</v>
      </c>
    </row>
    <row r="302" spans="1:10" ht="15" customHeight="1">
      <c r="C302" s="60"/>
      <c r="D302" s="60"/>
      <c r="E302" s="60"/>
      <c r="F302" s="60"/>
      <c r="G302" s="60"/>
      <c r="H302" s="60"/>
      <c r="I302" s="60"/>
    </row>
    <row r="303" spans="1:10" ht="15" customHeight="1">
      <c r="C303" s="60"/>
      <c r="D303" s="60"/>
      <c r="E303" s="60"/>
      <c r="F303" s="60"/>
      <c r="G303" s="60"/>
      <c r="H303" s="60"/>
      <c r="I303" s="60"/>
    </row>
    <row r="304" spans="1:10" ht="15" customHeight="1">
      <c r="C304" s="60"/>
      <c r="D304" s="60"/>
      <c r="E304" s="60"/>
      <c r="F304" s="60"/>
      <c r="G304" s="60"/>
      <c r="H304" s="60"/>
      <c r="I304" s="60"/>
    </row>
    <row r="305" spans="3:9" ht="15" customHeight="1">
      <c r="C305" s="60"/>
      <c r="D305" s="60"/>
      <c r="E305" s="60"/>
      <c r="F305" s="60"/>
      <c r="G305" s="60"/>
      <c r="H305" s="60"/>
      <c r="I305" s="60"/>
    </row>
    <row r="306" spans="3:9" ht="15" customHeight="1">
      <c r="C306" s="60"/>
      <c r="D306" s="60"/>
      <c r="E306" s="60"/>
      <c r="F306" s="60"/>
      <c r="G306" s="60"/>
      <c r="H306" s="60"/>
      <c r="I306" s="60"/>
    </row>
    <row r="307" spans="3:9" ht="15" customHeight="1">
      <c r="C307" s="60"/>
      <c r="D307" s="60"/>
      <c r="E307" s="60"/>
      <c r="F307" s="60"/>
      <c r="G307" s="60"/>
      <c r="H307" s="60"/>
      <c r="I307" s="60"/>
    </row>
    <row r="308" spans="3:9" ht="15" customHeight="1">
      <c r="C308" s="60"/>
      <c r="D308" s="60"/>
      <c r="E308" s="60"/>
      <c r="F308" s="60"/>
      <c r="G308" s="60"/>
      <c r="H308" s="60"/>
      <c r="I308" s="60"/>
    </row>
    <row r="309" spans="3:9" ht="15" customHeight="1">
      <c r="C309" s="60"/>
      <c r="D309" s="60"/>
      <c r="E309" s="60"/>
      <c r="F309" s="60"/>
      <c r="G309" s="60"/>
      <c r="H309" s="60"/>
      <c r="I309" s="60"/>
    </row>
    <row r="310" spans="3:9" ht="15" customHeight="1">
      <c r="C310" s="60"/>
      <c r="D310" s="60"/>
      <c r="E310" s="60"/>
      <c r="F310" s="60"/>
      <c r="G310" s="60"/>
      <c r="H310" s="60"/>
      <c r="I310" s="60"/>
    </row>
    <row r="311" spans="3:9" ht="15" customHeight="1">
      <c r="C311" s="60"/>
      <c r="D311" s="60"/>
      <c r="E311" s="60"/>
      <c r="F311" s="60"/>
      <c r="G311" s="60"/>
      <c r="H311" s="60"/>
      <c r="I311" s="60"/>
    </row>
    <row r="312" spans="3:9" ht="15" customHeight="1">
      <c r="C312" s="60"/>
      <c r="D312" s="60"/>
      <c r="E312" s="60"/>
      <c r="F312" s="60"/>
      <c r="G312" s="60"/>
      <c r="H312" s="60"/>
      <c r="I312" s="60"/>
    </row>
    <row r="313" spans="3:9" ht="15" customHeight="1">
      <c r="C313" s="60"/>
      <c r="D313" s="60"/>
      <c r="E313" s="60"/>
      <c r="F313" s="60"/>
      <c r="G313" s="60"/>
      <c r="H313" s="60"/>
      <c r="I313" s="60"/>
    </row>
    <row r="314" spans="3:9" ht="15" customHeight="1">
      <c r="C314" s="60"/>
      <c r="D314" s="60"/>
      <c r="E314" s="60"/>
      <c r="F314" s="60"/>
      <c r="G314" s="60"/>
      <c r="H314" s="60"/>
      <c r="I314" s="60"/>
    </row>
    <row r="315" spans="3:9" ht="15" customHeight="1">
      <c r="C315" s="60"/>
      <c r="D315" s="60"/>
      <c r="E315" s="60"/>
      <c r="F315" s="60"/>
      <c r="G315" s="60"/>
      <c r="H315" s="60"/>
      <c r="I315" s="60"/>
    </row>
    <row r="316" spans="3:9" ht="15" customHeight="1">
      <c r="C316" s="60"/>
      <c r="D316" s="60"/>
      <c r="E316" s="60"/>
      <c r="F316" s="60"/>
      <c r="G316" s="60"/>
      <c r="H316" s="60"/>
      <c r="I316" s="60"/>
    </row>
    <row r="317" spans="3:9" ht="15" customHeight="1">
      <c r="C317" s="60"/>
      <c r="D317" s="60"/>
      <c r="E317" s="60"/>
      <c r="F317" s="60"/>
      <c r="G317" s="60"/>
      <c r="H317" s="60"/>
      <c r="I317" s="60"/>
    </row>
    <row r="318" spans="3:9" ht="15" customHeight="1">
      <c r="C318" s="60"/>
      <c r="D318" s="60"/>
      <c r="E318" s="60"/>
      <c r="F318" s="60"/>
      <c r="G318" s="60"/>
      <c r="H318" s="60"/>
      <c r="I318" s="60"/>
    </row>
    <row r="319" spans="3:9" ht="15" customHeight="1">
      <c r="C319" s="60"/>
      <c r="D319" s="60"/>
      <c r="E319" s="60"/>
      <c r="F319" s="60"/>
      <c r="G319" s="60"/>
      <c r="H319" s="60"/>
      <c r="I319" s="60"/>
    </row>
    <row r="320" spans="3:9" ht="15" customHeight="1">
      <c r="C320" s="60"/>
      <c r="D320" s="60"/>
      <c r="E320" s="60"/>
      <c r="F320" s="60"/>
      <c r="G320" s="60"/>
      <c r="H320" s="60"/>
      <c r="I320" s="60"/>
    </row>
    <row r="321" spans="3:9" ht="15" customHeight="1">
      <c r="C321" s="60"/>
      <c r="D321" s="60"/>
      <c r="E321" s="60"/>
      <c r="F321" s="60"/>
      <c r="G321" s="60"/>
      <c r="H321" s="60"/>
      <c r="I321" s="60"/>
    </row>
    <row r="322" spans="3:9" ht="15" customHeight="1">
      <c r="C322" s="60"/>
      <c r="D322" s="60"/>
      <c r="E322" s="60"/>
      <c r="F322" s="60"/>
      <c r="G322" s="60"/>
      <c r="H322" s="60"/>
      <c r="I322" s="60"/>
    </row>
    <row r="323" spans="3:9" ht="15" customHeight="1">
      <c r="C323" s="60"/>
      <c r="D323" s="60"/>
      <c r="E323" s="60"/>
      <c r="F323" s="60"/>
      <c r="G323" s="60"/>
      <c r="H323" s="60"/>
      <c r="I323" s="60"/>
    </row>
    <row r="324" spans="3:9" ht="15" customHeight="1">
      <c r="C324" s="60"/>
      <c r="D324" s="60"/>
      <c r="E324" s="60"/>
      <c r="F324" s="60"/>
      <c r="G324" s="60"/>
      <c r="H324" s="60"/>
      <c r="I324" s="60"/>
    </row>
    <row r="325" spans="3:9" ht="15" customHeight="1">
      <c r="C325" s="60"/>
      <c r="D325" s="60"/>
      <c r="E325" s="60"/>
      <c r="F325" s="60"/>
      <c r="G325" s="60"/>
      <c r="H325" s="60"/>
      <c r="I325" s="60"/>
    </row>
    <row r="326" spans="3:9" ht="15" customHeight="1">
      <c r="C326" s="60"/>
      <c r="D326" s="60"/>
      <c r="E326" s="60"/>
      <c r="F326" s="60"/>
      <c r="G326" s="60"/>
      <c r="H326" s="60"/>
      <c r="I326" s="60"/>
    </row>
    <row r="327" spans="3:9" ht="15" customHeight="1">
      <c r="C327" s="60"/>
      <c r="D327" s="60"/>
      <c r="E327" s="60"/>
      <c r="F327" s="60"/>
      <c r="G327" s="60"/>
      <c r="H327" s="60"/>
      <c r="I327" s="60"/>
    </row>
    <row r="328" spans="3:9" ht="15" customHeight="1">
      <c r="C328" s="60"/>
      <c r="D328" s="60"/>
      <c r="E328" s="60"/>
      <c r="F328" s="60"/>
      <c r="G328" s="60"/>
      <c r="H328" s="60"/>
      <c r="I328" s="60"/>
    </row>
    <row r="329" spans="3:9" ht="15" customHeight="1">
      <c r="C329" s="60"/>
      <c r="D329" s="60"/>
      <c r="E329" s="60"/>
      <c r="F329" s="60"/>
      <c r="G329" s="60"/>
      <c r="H329" s="60"/>
      <c r="I329" s="60"/>
    </row>
    <row r="330" spans="3:9" ht="15" customHeight="1">
      <c r="C330" s="60"/>
      <c r="D330" s="60"/>
      <c r="E330" s="60"/>
      <c r="F330" s="60"/>
      <c r="G330" s="60"/>
      <c r="H330" s="60"/>
      <c r="I330" s="60"/>
    </row>
    <row r="331" spans="3:9" ht="15" customHeight="1">
      <c r="C331" s="60"/>
      <c r="D331" s="60"/>
      <c r="E331" s="60"/>
      <c r="F331" s="60"/>
      <c r="G331" s="60"/>
      <c r="H331" s="60"/>
      <c r="I331" s="60"/>
    </row>
    <row r="332" spans="3:9" ht="15" customHeight="1">
      <c r="C332" s="60"/>
      <c r="D332" s="60"/>
      <c r="E332" s="60"/>
      <c r="F332" s="60"/>
      <c r="G332" s="60"/>
      <c r="H332" s="60"/>
      <c r="I332" s="60"/>
    </row>
    <row r="333" spans="3:9" ht="15" customHeight="1">
      <c r="C333" s="60"/>
      <c r="D333" s="60"/>
      <c r="E333" s="60"/>
      <c r="F333" s="60"/>
      <c r="G333" s="60"/>
      <c r="H333" s="60"/>
      <c r="I333" s="60"/>
    </row>
    <row r="334" spans="3:9" ht="15" customHeight="1">
      <c r="C334" s="60"/>
      <c r="D334" s="60"/>
      <c r="E334" s="60"/>
      <c r="F334" s="60"/>
      <c r="G334" s="60"/>
      <c r="H334" s="60"/>
      <c r="I334" s="60"/>
    </row>
    <row r="335" spans="3:9" ht="15" customHeight="1">
      <c r="C335" s="60"/>
      <c r="D335" s="60"/>
      <c r="E335" s="60"/>
      <c r="F335" s="60"/>
      <c r="G335" s="60"/>
      <c r="H335" s="60"/>
      <c r="I335" s="60"/>
    </row>
    <row r="336" spans="3:9" ht="15" customHeight="1">
      <c r="C336" s="60"/>
      <c r="D336" s="60"/>
      <c r="E336" s="60"/>
      <c r="F336" s="60"/>
      <c r="G336" s="60"/>
      <c r="H336" s="60"/>
      <c r="I336" s="60"/>
    </row>
    <row r="337" spans="3:9" ht="15" customHeight="1">
      <c r="C337" s="60"/>
      <c r="D337" s="60"/>
      <c r="E337" s="60"/>
      <c r="F337" s="60"/>
      <c r="G337" s="60"/>
      <c r="H337" s="60"/>
      <c r="I337" s="60"/>
    </row>
    <row r="338" spans="3:9" ht="15" customHeight="1">
      <c r="C338" s="60"/>
      <c r="D338" s="60"/>
      <c r="E338" s="60"/>
      <c r="F338" s="60"/>
      <c r="G338" s="60"/>
      <c r="H338" s="60"/>
      <c r="I338" s="60"/>
    </row>
    <row r="339" spans="3:9" ht="15" customHeight="1">
      <c r="C339" s="60"/>
      <c r="D339" s="60"/>
      <c r="E339" s="60"/>
      <c r="F339" s="60"/>
      <c r="G339" s="60"/>
      <c r="H339" s="60"/>
      <c r="I339" s="60"/>
    </row>
    <row r="340" spans="3:9" ht="15" customHeight="1">
      <c r="C340" s="60"/>
      <c r="D340" s="60"/>
      <c r="E340" s="60"/>
      <c r="F340" s="60"/>
      <c r="G340" s="60"/>
      <c r="H340" s="60"/>
      <c r="I340" s="60"/>
    </row>
    <row r="341" spans="3:9" ht="15" customHeight="1">
      <c r="C341" s="60"/>
      <c r="D341" s="60"/>
      <c r="E341" s="60"/>
      <c r="F341" s="60"/>
      <c r="G341" s="60"/>
      <c r="H341" s="60"/>
      <c r="I341" s="60"/>
    </row>
    <row r="342" spans="3:9" ht="15" customHeight="1">
      <c r="C342" s="60"/>
      <c r="D342" s="60"/>
      <c r="E342" s="60"/>
      <c r="F342" s="60"/>
      <c r="G342" s="60"/>
      <c r="H342" s="60"/>
      <c r="I342" s="60"/>
    </row>
    <row r="343" spans="3:9" ht="15" customHeight="1">
      <c r="C343" s="60"/>
      <c r="D343" s="60"/>
      <c r="E343" s="60"/>
      <c r="F343" s="60"/>
      <c r="G343" s="60"/>
      <c r="H343" s="60"/>
      <c r="I343" s="60"/>
    </row>
    <row r="344" spans="3:9" ht="15" customHeight="1">
      <c r="C344" s="60"/>
      <c r="D344" s="60"/>
      <c r="E344" s="60"/>
      <c r="F344" s="60"/>
      <c r="G344" s="60"/>
      <c r="H344" s="60"/>
      <c r="I344" s="60"/>
    </row>
    <row r="345" spans="3:9" ht="15" customHeight="1">
      <c r="C345" s="60"/>
      <c r="D345" s="60"/>
      <c r="E345" s="60"/>
      <c r="F345" s="60"/>
      <c r="G345" s="60"/>
      <c r="H345" s="60"/>
      <c r="I345" s="60"/>
    </row>
    <row r="346" spans="3:9" ht="15" customHeight="1">
      <c r="C346" s="60"/>
      <c r="D346" s="60"/>
      <c r="E346" s="60"/>
      <c r="F346" s="60"/>
      <c r="G346" s="60"/>
      <c r="H346" s="60"/>
      <c r="I346" s="60"/>
    </row>
    <row r="347" spans="3:9" ht="15" customHeight="1">
      <c r="C347" s="60"/>
      <c r="D347" s="60"/>
      <c r="E347" s="60"/>
      <c r="F347" s="60"/>
      <c r="G347" s="60"/>
      <c r="H347" s="60"/>
      <c r="I347" s="60"/>
    </row>
    <row r="348" spans="3:9" ht="15" customHeight="1">
      <c r="C348" s="60"/>
      <c r="D348" s="60"/>
      <c r="E348" s="60"/>
      <c r="F348" s="60"/>
      <c r="G348" s="60"/>
      <c r="H348" s="60"/>
      <c r="I348" s="60"/>
    </row>
    <row r="349" spans="3:9" ht="15" customHeight="1">
      <c r="C349" s="60"/>
      <c r="D349" s="60"/>
      <c r="E349" s="60"/>
      <c r="F349" s="60"/>
      <c r="G349" s="60"/>
      <c r="H349" s="60"/>
      <c r="I349" s="60"/>
    </row>
    <row r="350" spans="3:9" ht="15" customHeight="1">
      <c r="C350" s="60"/>
      <c r="D350" s="60"/>
      <c r="E350" s="60"/>
      <c r="F350" s="60"/>
      <c r="G350" s="60"/>
      <c r="H350" s="60"/>
      <c r="I350" s="60"/>
    </row>
    <row r="351" spans="3:9" ht="15" customHeight="1">
      <c r="C351" s="60"/>
      <c r="D351" s="60"/>
      <c r="E351" s="60"/>
      <c r="F351" s="60"/>
      <c r="G351" s="60"/>
      <c r="H351" s="60"/>
      <c r="I351" s="60"/>
    </row>
    <row r="352" spans="3:9" ht="15" customHeight="1">
      <c r="C352" s="60"/>
      <c r="D352" s="60"/>
      <c r="E352" s="60"/>
      <c r="F352" s="60"/>
      <c r="G352" s="60"/>
      <c r="H352" s="60"/>
      <c r="I352" s="60"/>
    </row>
    <row r="353" spans="3:9" ht="15" customHeight="1">
      <c r="C353" s="60"/>
      <c r="D353" s="60"/>
      <c r="E353" s="60"/>
      <c r="F353" s="60"/>
      <c r="G353" s="60"/>
      <c r="H353" s="60"/>
      <c r="I353" s="60"/>
    </row>
    <row r="354" spans="3:9" ht="15" customHeight="1">
      <c r="C354" s="60"/>
      <c r="D354" s="60"/>
      <c r="E354" s="60"/>
      <c r="F354" s="60"/>
      <c r="G354" s="60"/>
      <c r="H354" s="60"/>
      <c r="I354" s="60"/>
    </row>
    <row r="355" spans="3:9" ht="15" customHeight="1">
      <c r="C355" s="60"/>
      <c r="D355" s="60"/>
      <c r="E355" s="60"/>
      <c r="F355" s="60"/>
      <c r="G355" s="60"/>
      <c r="H355" s="60"/>
      <c r="I355" s="60"/>
    </row>
    <row r="356" spans="3:9" ht="15" customHeight="1">
      <c r="C356" s="60"/>
      <c r="D356" s="60"/>
      <c r="E356" s="60"/>
      <c r="F356" s="60"/>
      <c r="G356" s="60"/>
      <c r="H356" s="60"/>
      <c r="I356" s="60"/>
    </row>
    <row r="357" spans="3:9" ht="15" customHeight="1">
      <c r="C357" s="60"/>
      <c r="D357" s="60"/>
      <c r="E357" s="60"/>
      <c r="F357" s="60"/>
      <c r="G357" s="60"/>
      <c r="H357" s="60"/>
      <c r="I357" s="60"/>
    </row>
    <row r="358" spans="3:9" ht="15" customHeight="1">
      <c r="C358" s="60"/>
      <c r="D358" s="60"/>
      <c r="E358" s="60"/>
      <c r="F358" s="60"/>
      <c r="G358" s="60"/>
      <c r="H358" s="60"/>
      <c r="I358" s="60"/>
    </row>
    <row r="359" spans="3:9" ht="15" customHeight="1">
      <c r="E359" s="60"/>
      <c r="F359" s="60"/>
      <c r="G359" s="60"/>
      <c r="H359" s="60"/>
      <c r="I359" s="60"/>
    </row>
    <row r="360" spans="3:9" ht="15" customHeight="1">
      <c r="E360" s="60"/>
      <c r="F360" s="60"/>
      <c r="G360" s="60"/>
      <c r="H360" s="60"/>
      <c r="I360" s="60"/>
    </row>
    <row r="361" spans="3:9" ht="15" customHeight="1">
      <c r="E361" s="60"/>
      <c r="F361" s="60"/>
      <c r="G361" s="60"/>
      <c r="H361" s="60"/>
      <c r="I361" s="60"/>
    </row>
    <row r="362" spans="3:9" ht="15" customHeight="1">
      <c r="E362" s="60"/>
      <c r="F362" s="60"/>
      <c r="G362" s="60"/>
      <c r="H362" s="60"/>
      <c r="I362" s="60"/>
    </row>
    <row r="363" spans="3:9" ht="15" customHeight="1">
      <c r="E363" s="60"/>
      <c r="F363" s="60"/>
      <c r="G363" s="60"/>
      <c r="H363" s="60"/>
      <c r="I363" s="60"/>
    </row>
    <row r="364" spans="3:9" ht="15" customHeight="1">
      <c r="E364" s="60"/>
      <c r="F364" s="60"/>
      <c r="G364" s="60"/>
      <c r="H364" s="60"/>
      <c r="I364" s="60"/>
    </row>
    <row r="365" spans="3:9" ht="15" customHeight="1">
      <c r="E365" s="60"/>
      <c r="F365" s="60"/>
      <c r="G365" s="60"/>
      <c r="H365" s="60"/>
      <c r="I365" s="60"/>
    </row>
    <row r="366" spans="3:9" ht="15" customHeight="1">
      <c r="E366" s="60"/>
      <c r="F366" s="60"/>
      <c r="G366" s="60"/>
      <c r="H366" s="60"/>
      <c r="I366" s="60"/>
    </row>
    <row r="367" spans="3:9" ht="15" customHeight="1">
      <c r="E367" s="60"/>
      <c r="F367" s="60"/>
      <c r="G367" s="60"/>
      <c r="H367" s="60"/>
      <c r="I367" s="60"/>
    </row>
    <row r="368" spans="3:9" ht="15" customHeight="1">
      <c r="E368" s="60"/>
      <c r="F368" s="60"/>
      <c r="G368" s="60"/>
      <c r="H368" s="60"/>
      <c r="I368" s="60"/>
    </row>
    <row r="369" spans="5:9" ht="15" customHeight="1">
      <c r="E369" s="60"/>
      <c r="F369" s="60"/>
      <c r="G369" s="60"/>
      <c r="H369" s="60"/>
      <c r="I369" s="60"/>
    </row>
    <row r="370" spans="5:9" ht="15" customHeight="1">
      <c r="E370" s="60"/>
      <c r="F370" s="60"/>
      <c r="G370" s="60"/>
      <c r="H370" s="60"/>
      <c r="I370" s="60"/>
    </row>
    <row r="371" spans="5:9" ht="15" customHeight="1">
      <c r="E371" s="60"/>
      <c r="F371" s="60"/>
      <c r="G371" s="60"/>
      <c r="H371" s="60"/>
      <c r="I371" s="60"/>
    </row>
    <row r="372" spans="5:9" ht="15" customHeight="1">
      <c r="E372" s="60"/>
      <c r="F372" s="60"/>
      <c r="G372" s="60"/>
      <c r="H372" s="60"/>
      <c r="I372" s="60"/>
    </row>
    <row r="373" spans="5:9" ht="15" customHeight="1">
      <c r="E373" s="60"/>
      <c r="F373" s="60"/>
      <c r="G373" s="60"/>
      <c r="H373" s="60"/>
      <c r="I373" s="60"/>
    </row>
    <row r="374" spans="5:9" ht="15" customHeight="1">
      <c r="E374" s="60"/>
      <c r="F374" s="60"/>
      <c r="G374" s="60"/>
      <c r="H374" s="60"/>
      <c r="I374" s="60"/>
    </row>
    <row r="375" spans="5:9" ht="15" customHeight="1">
      <c r="E375" s="60"/>
      <c r="F375" s="60"/>
      <c r="G375" s="60"/>
      <c r="H375" s="60"/>
      <c r="I375" s="60"/>
    </row>
    <row r="376" spans="5:9" ht="15" customHeight="1">
      <c r="E376" s="60"/>
      <c r="F376" s="60"/>
      <c r="G376" s="60"/>
      <c r="H376" s="60"/>
      <c r="I376" s="60"/>
    </row>
    <row r="377" spans="5:9" ht="15" customHeight="1">
      <c r="E377" s="60"/>
      <c r="F377" s="60"/>
      <c r="G377" s="60"/>
      <c r="H377" s="60"/>
      <c r="I377" s="60"/>
    </row>
    <row r="378" spans="5:9" ht="15" customHeight="1">
      <c r="E378" s="60"/>
      <c r="F378" s="60"/>
      <c r="G378" s="60"/>
      <c r="H378" s="60"/>
      <c r="I378" s="60"/>
    </row>
    <row r="379" spans="5:9" ht="15" customHeight="1">
      <c r="E379" s="60"/>
      <c r="F379" s="60"/>
      <c r="G379" s="60"/>
      <c r="H379" s="60"/>
      <c r="I379" s="60"/>
    </row>
    <row r="380" spans="5:9" ht="15" customHeight="1">
      <c r="E380" s="60"/>
      <c r="F380" s="60"/>
      <c r="G380" s="60"/>
      <c r="H380" s="60"/>
      <c r="I380" s="60"/>
    </row>
    <row r="381" spans="5:9" ht="15" customHeight="1">
      <c r="E381" s="60"/>
      <c r="F381" s="60"/>
      <c r="G381" s="60"/>
      <c r="H381" s="60"/>
      <c r="I381" s="60"/>
    </row>
    <row r="382" spans="5:9" ht="15" customHeight="1">
      <c r="E382" s="60"/>
      <c r="F382" s="60"/>
      <c r="G382" s="60"/>
      <c r="H382" s="60"/>
      <c r="I382" s="60"/>
    </row>
    <row r="383" spans="5:9" ht="15" customHeight="1">
      <c r="E383" s="60"/>
      <c r="F383" s="60"/>
      <c r="G383" s="60"/>
      <c r="H383" s="60"/>
      <c r="I383" s="60"/>
    </row>
    <row r="384" spans="5:9" ht="15" customHeight="1">
      <c r="E384" s="60"/>
      <c r="F384" s="60"/>
      <c r="G384" s="60"/>
      <c r="H384" s="60"/>
      <c r="I384" s="60"/>
    </row>
    <row r="385" spans="5:9" ht="15" customHeight="1">
      <c r="E385" s="60"/>
      <c r="F385" s="60"/>
      <c r="G385" s="60"/>
      <c r="H385" s="60"/>
      <c r="I385" s="60"/>
    </row>
    <row r="386" spans="5:9" ht="15" customHeight="1">
      <c r="E386" s="60"/>
      <c r="F386" s="60"/>
      <c r="G386" s="60"/>
      <c r="H386" s="60"/>
      <c r="I386" s="60"/>
    </row>
    <row r="387" spans="5:9" ht="15" customHeight="1">
      <c r="E387" s="60"/>
      <c r="F387" s="60"/>
      <c r="G387" s="60"/>
      <c r="H387" s="60"/>
      <c r="I387" s="60"/>
    </row>
    <row r="388" spans="5:9" ht="15" customHeight="1">
      <c r="E388" s="60"/>
      <c r="F388" s="60"/>
      <c r="G388" s="60"/>
      <c r="H388" s="60"/>
      <c r="I388" s="60"/>
    </row>
    <row r="389" spans="5:9" ht="15" customHeight="1">
      <c r="E389" s="60"/>
      <c r="F389" s="60"/>
      <c r="G389" s="60"/>
      <c r="H389" s="60"/>
      <c r="I389" s="60"/>
    </row>
    <row r="390" spans="5:9" ht="15" customHeight="1">
      <c r="E390" s="60"/>
      <c r="F390" s="60"/>
      <c r="G390" s="60"/>
      <c r="H390" s="60"/>
      <c r="I390" s="60"/>
    </row>
    <row r="391" spans="5:9" ht="15" customHeight="1">
      <c r="E391" s="60"/>
      <c r="F391" s="60"/>
      <c r="G391" s="60"/>
      <c r="H391" s="60"/>
      <c r="I391" s="60"/>
    </row>
    <row r="392" spans="5:9" ht="15" customHeight="1">
      <c r="E392" s="60"/>
      <c r="F392" s="60"/>
      <c r="G392" s="60"/>
      <c r="H392" s="60"/>
      <c r="I392" s="60"/>
    </row>
    <row r="393" spans="5:9" ht="15" customHeight="1">
      <c r="E393" s="60"/>
      <c r="F393" s="60"/>
      <c r="G393" s="60"/>
      <c r="H393" s="60"/>
      <c r="I393" s="60"/>
    </row>
    <row r="394" spans="5:9" ht="15" customHeight="1">
      <c r="E394" s="60"/>
      <c r="F394" s="60"/>
      <c r="G394" s="60"/>
      <c r="H394" s="60"/>
      <c r="I394" s="60"/>
    </row>
    <row r="395" spans="5:9" ht="15" customHeight="1">
      <c r="E395" s="60"/>
      <c r="F395" s="60"/>
      <c r="G395" s="60"/>
      <c r="H395" s="60"/>
      <c r="I395" s="60"/>
    </row>
    <row r="396" spans="5:9" ht="15" customHeight="1">
      <c r="E396" s="60"/>
      <c r="F396" s="60"/>
      <c r="G396" s="60"/>
      <c r="H396" s="60"/>
      <c r="I396" s="60"/>
    </row>
    <row r="397" spans="5:9" ht="15" customHeight="1">
      <c r="E397" s="60"/>
      <c r="F397" s="60"/>
      <c r="G397" s="60"/>
      <c r="H397" s="60"/>
      <c r="I397" s="60"/>
    </row>
    <row r="398" spans="5:9" ht="15" customHeight="1">
      <c r="E398" s="60"/>
      <c r="F398" s="60"/>
      <c r="G398" s="60"/>
      <c r="H398" s="60"/>
      <c r="I398" s="60"/>
    </row>
    <row r="399" spans="5:9" ht="15" customHeight="1">
      <c r="E399" s="60"/>
      <c r="F399" s="60"/>
      <c r="G399" s="60"/>
      <c r="H399" s="60"/>
      <c r="I399" s="60"/>
    </row>
    <row r="400" spans="5:9" ht="15" customHeight="1">
      <c r="E400" s="60"/>
      <c r="F400" s="60"/>
      <c r="G400" s="60"/>
      <c r="H400" s="60"/>
      <c r="I400" s="60"/>
    </row>
    <row r="401" spans="5:9" ht="15" customHeight="1">
      <c r="E401" s="60"/>
      <c r="F401" s="60"/>
      <c r="G401" s="60"/>
      <c r="H401" s="60"/>
      <c r="I401" s="60"/>
    </row>
    <row r="402" spans="5:9" ht="15" customHeight="1">
      <c r="E402" s="60"/>
      <c r="F402" s="60"/>
      <c r="G402" s="60"/>
      <c r="H402" s="60"/>
      <c r="I402" s="60"/>
    </row>
    <row r="403" spans="5:9" ht="15" customHeight="1">
      <c r="E403" s="60"/>
      <c r="F403" s="60"/>
      <c r="G403" s="60"/>
      <c r="H403" s="60"/>
      <c r="I403" s="60"/>
    </row>
    <row r="404" spans="5:9" ht="15" customHeight="1">
      <c r="E404" s="60"/>
      <c r="F404" s="60"/>
      <c r="G404" s="60"/>
      <c r="H404" s="60"/>
      <c r="I404" s="60"/>
    </row>
    <row r="405" spans="5:9" ht="15" customHeight="1">
      <c r="E405" s="60"/>
      <c r="F405" s="60"/>
      <c r="G405" s="60"/>
      <c r="H405" s="60"/>
      <c r="I405" s="60"/>
    </row>
    <row r="406" spans="5:9" ht="15" customHeight="1">
      <c r="E406" s="60"/>
      <c r="F406" s="60"/>
      <c r="G406" s="60"/>
      <c r="H406" s="60"/>
      <c r="I406" s="60"/>
    </row>
    <row r="407" spans="5:9" ht="15" customHeight="1">
      <c r="E407" s="60"/>
      <c r="F407" s="60"/>
      <c r="G407" s="60"/>
      <c r="H407" s="60"/>
      <c r="I407" s="60"/>
    </row>
    <row r="408" spans="5:9" ht="15" customHeight="1">
      <c r="E408" s="60"/>
      <c r="F408" s="60"/>
      <c r="G408" s="60"/>
      <c r="H408" s="60"/>
      <c r="I408" s="60"/>
    </row>
    <row r="409" spans="5:9" ht="15" customHeight="1">
      <c r="E409" s="60"/>
      <c r="F409" s="60"/>
      <c r="G409" s="60"/>
      <c r="H409" s="60"/>
      <c r="I409" s="60"/>
    </row>
    <row r="410" spans="5:9" ht="15" customHeight="1">
      <c r="E410" s="60"/>
      <c r="F410" s="60"/>
      <c r="G410" s="60"/>
      <c r="H410" s="60"/>
      <c r="I410" s="60"/>
    </row>
    <row r="411" spans="5:9" ht="15" customHeight="1">
      <c r="E411" s="60"/>
      <c r="F411" s="60"/>
      <c r="G411" s="60"/>
      <c r="H411" s="60"/>
      <c r="I411" s="60"/>
    </row>
    <row r="412" spans="5:9" ht="15" customHeight="1">
      <c r="E412" s="60"/>
      <c r="F412" s="60"/>
      <c r="G412" s="60"/>
      <c r="H412" s="60"/>
      <c r="I412" s="60"/>
    </row>
    <row r="413" spans="5:9" ht="15" customHeight="1">
      <c r="E413" s="60"/>
      <c r="F413" s="60"/>
      <c r="G413" s="60"/>
      <c r="H413" s="60"/>
      <c r="I413" s="60"/>
    </row>
    <row r="414" spans="5:9" ht="15" customHeight="1">
      <c r="E414" s="60"/>
      <c r="F414" s="60"/>
      <c r="G414" s="60"/>
      <c r="H414" s="60"/>
      <c r="I414" s="60"/>
    </row>
    <row r="415" spans="5:9" ht="15" customHeight="1">
      <c r="E415" s="60"/>
      <c r="F415" s="60"/>
      <c r="G415" s="60"/>
      <c r="H415" s="60"/>
      <c r="I415" s="60"/>
    </row>
    <row r="416" spans="5:9" ht="15" customHeight="1">
      <c r="E416" s="60"/>
      <c r="F416" s="60"/>
      <c r="G416" s="60"/>
      <c r="H416" s="60"/>
      <c r="I416" s="60"/>
    </row>
    <row r="417" spans="5:9" ht="15" customHeight="1">
      <c r="E417" s="60"/>
      <c r="F417" s="60"/>
      <c r="G417" s="60"/>
      <c r="H417" s="60"/>
      <c r="I417" s="60"/>
    </row>
    <row r="418" spans="5:9" ht="15" customHeight="1">
      <c r="E418" s="60"/>
      <c r="F418" s="60"/>
      <c r="G418" s="60"/>
      <c r="H418" s="60"/>
      <c r="I418" s="60"/>
    </row>
    <row r="419" spans="5:9" ht="15" customHeight="1">
      <c r="E419" s="60"/>
      <c r="F419" s="60"/>
      <c r="G419" s="60"/>
      <c r="H419" s="60"/>
      <c r="I419" s="60"/>
    </row>
    <row r="420" spans="5:9" ht="15" customHeight="1">
      <c r="E420" s="60"/>
      <c r="F420" s="60"/>
      <c r="G420" s="60"/>
      <c r="H420" s="60"/>
      <c r="I420" s="60"/>
    </row>
    <row r="421" spans="5:9" ht="15" customHeight="1">
      <c r="E421" s="60"/>
      <c r="F421" s="60"/>
      <c r="G421" s="60"/>
      <c r="H421" s="60"/>
      <c r="I421" s="60"/>
    </row>
    <row r="422" spans="5:9" ht="15" customHeight="1">
      <c r="E422" s="60"/>
      <c r="F422" s="60"/>
      <c r="G422" s="60"/>
      <c r="H422" s="60"/>
      <c r="I422" s="60"/>
    </row>
    <row r="423" spans="5:9" ht="15" customHeight="1">
      <c r="E423" s="60"/>
      <c r="F423" s="60"/>
      <c r="G423" s="60"/>
      <c r="H423" s="60"/>
      <c r="I423" s="60"/>
    </row>
    <row r="424" spans="5:9" ht="15" customHeight="1">
      <c r="E424" s="60"/>
      <c r="F424" s="60"/>
      <c r="G424" s="60"/>
      <c r="H424" s="60"/>
      <c r="I424" s="60"/>
    </row>
    <row r="425" spans="5:9" ht="15" customHeight="1">
      <c r="E425" s="60"/>
      <c r="F425" s="60"/>
      <c r="G425" s="60"/>
      <c r="H425" s="60"/>
      <c r="I425" s="60"/>
    </row>
    <row r="426" spans="5:9" ht="15" customHeight="1">
      <c r="E426" s="60"/>
      <c r="F426" s="60"/>
      <c r="G426" s="60"/>
      <c r="H426" s="60"/>
      <c r="I426" s="60"/>
    </row>
    <row r="427" spans="5:9" ht="15" customHeight="1">
      <c r="E427" s="60"/>
      <c r="F427" s="60"/>
      <c r="G427" s="60"/>
      <c r="H427" s="60"/>
      <c r="I427" s="60"/>
    </row>
    <row r="428" spans="5:9" ht="15" customHeight="1">
      <c r="E428" s="60"/>
      <c r="F428" s="60"/>
      <c r="G428" s="60"/>
      <c r="H428" s="60"/>
      <c r="I428" s="60"/>
    </row>
    <row r="429" spans="5:9" ht="15" customHeight="1">
      <c r="E429" s="60"/>
      <c r="F429" s="60"/>
      <c r="G429" s="60"/>
      <c r="H429" s="60"/>
      <c r="I429" s="60"/>
    </row>
    <row r="430" spans="5:9" ht="15" customHeight="1">
      <c r="E430" s="60"/>
      <c r="F430" s="60"/>
      <c r="G430" s="60"/>
      <c r="H430" s="60"/>
      <c r="I430" s="60"/>
    </row>
    <row r="431" spans="5:9" ht="15" customHeight="1">
      <c r="E431" s="60"/>
      <c r="F431" s="60"/>
      <c r="G431" s="60"/>
      <c r="H431" s="60"/>
      <c r="I431" s="60"/>
    </row>
    <row r="432" spans="5:9" ht="15" customHeight="1">
      <c r="E432" s="60"/>
      <c r="F432" s="60"/>
      <c r="G432" s="60"/>
      <c r="H432" s="60"/>
      <c r="I432" s="60"/>
    </row>
    <row r="433" spans="5:9" ht="15" customHeight="1">
      <c r="E433" s="60"/>
      <c r="F433" s="60"/>
      <c r="G433" s="60"/>
      <c r="H433" s="60"/>
      <c r="I433" s="60"/>
    </row>
    <row r="434" spans="5:9" ht="15" customHeight="1">
      <c r="E434" s="60"/>
      <c r="F434" s="60"/>
      <c r="G434" s="60"/>
      <c r="H434" s="60"/>
      <c r="I434" s="60"/>
    </row>
    <row r="435" spans="5:9" ht="15" customHeight="1">
      <c r="E435" s="60"/>
      <c r="F435" s="60"/>
      <c r="G435" s="60"/>
      <c r="H435" s="60"/>
      <c r="I435" s="60"/>
    </row>
    <row r="436" spans="5:9" ht="15" customHeight="1">
      <c r="E436" s="60"/>
      <c r="F436" s="60"/>
      <c r="G436" s="60"/>
      <c r="H436" s="60"/>
      <c r="I436" s="60"/>
    </row>
    <row r="437" spans="5:9" ht="15" customHeight="1">
      <c r="E437" s="60"/>
      <c r="F437" s="60"/>
      <c r="G437" s="60"/>
      <c r="H437" s="60"/>
      <c r="I437" s="60"/>
    </row>
    <row r="438" spans="5:9" ht="15" customHeight="1">
      <c r="E438" s="60"/>
      <c r="F438" s="60"/>
      <c r="G438" s="60"/>
      <c r="H438" s="60"/>
      <c r="I438" s="60"/>
    </row>
    <row r="439" spans="5:9" ht="15" customHeight="1">
      <c r="E439" s="60"/>
      <c r="F439" s="60"/>
      <c r="G439" s="60"/>
      <c r="H439" s="60"/>
      <c r="I439" s="60"/>
    </row>
    <row r="440" spans="5:9" ht="15" customHeight="1">
      <c r="E440" s="60"/>
      <c r="F440" s="60"/>
      <c r="G440" s="60"/>
      <c r="H440" s="60"/>
      <c r="I440" s="60"/>
    </row>
    <row r="441" spans="5:9" ht="15" customHeight="1">
      <c r="E441" s="60"/>
      <c r="F441" s="60"/>
      <c r="G441" s="60"/>
      <c r="H441" s="60"/>
      <c r="I441" s="60"/>
    </row>
    <row r="442" spans="5:9" ht="15" customHeight="1">
      <c r="E442" s="60"/>
      <c r="F442" s="60"/>
      <c r="G442" s="60"/>
      <c r="H442" s="60"/>
      <c r="I442" s="60"/>
    </row>
    <row r="443" spans="5:9" ht="15" customHeight="1">
      <c r="E443" s="60"/>
      <c r="F443" s="60"/>
      <c r="G443" s="60"/>
      <c r="H443" s="60"/>
      <c r="I443" s="60"/>
    </row>
    <row r="444" spans="5:9" ht="15" customHeight="1">
      <c r="E444" s="60"/>
      <c r="F444" s="60"/>
      <c r="G444" s="60"/>
      <c r="H444" s="60"/>
      <c r="I444" s="60"/>
    </row>
    <row r="445" spans="5:9" ht="15" customHeight="1">
      <c r="E445" s="60"/>
      <c r="F445" s="60"/>
      <c r="G445" s="60"/>
      <c r="H445" s="60"/>
      <c r="I445" s="60"/>
    </row>
    <row r="446" spans="5:9" ht="15" customHeight="1">
      <c r="E446" s="60"/>
      <c r="F446" s="60"/>
      <c r="G446" s="60"/>
      <c r="H446" s="60"/>
      <c r="I446" s="60"/>
    </row>
    <row r="447" spans="5:9" ht="15" customHeight="1">
      <c r="E447" s="60"/>
      <c r="F447" s="60"/>
      <c r="G447" s="60"/>
      <c r="H447" s="60"/>
      <c r="I447" s="60"/>
    </row>
    <row r="448" spans="5:9" ht="15" customHeight="1">
      <c r="E448" s="60"/>
      <c r="F448" s="60"/>
      <c r="G448" s="60"/>
      <c r="H448" s="60"/>
      <c r="I448" s="60"/>
    </row>
    <row r="449" spans="5:9" ht="15" customHeight="1">
      <c r="E449" s="60"/>
      <c r="F449" s="60"/>
      <c r="G449" s="60"/>
      <c r="H449" s="60"/>
      <c r="I449" s="60"/>
    </row>
    <row r="450" spans="5:9" ht="15" customHeight="1">
      <c r="E450" s="60"/>
      <c r="F450" s="60"/>
      <c r="G450" s="60"/>
      <c r="H450" s="60"/>
      <c r="I450" s="60"/>
    </row>
    <row r="451" spans="5:9" ht="15" customHeight="1">
      <c r="E451" s="60"/>
      <c r="F451" s="60"/>
      <c r="G451" s="60"/>
      <c r="H451" s="60"/>
      <c r="I451" s="60"/>
    </row>
    <row r="452" spans="5:9" ht="15" customHeight="1">
      <c r="E452" s="60"/>
      <c r="F452" s="60"/>
      <c r="G452" s="60"/>
      <c r="H452" s="60"/>
      <c r="I452" s="60"/>
    </row>
    <row r="453" spans="5:9" ht="15" customHeight="1">
      <c r="E453" s="60"/>
      <c r="F453" s="60"/>
      <c r="G453" s="60"/>
      <c r="H453" s="60"/>
      <c r="I453" s="60"/>
    </row>
    <row r="454" spans="5:9" ht="15" customHeight="1">
      <c r="E454" s="60"/>
      <c r="F454" s="60"/>
      <c r="G454" s="60"/>
      <c r="H454" s="60"/>
      <c r="I454" s="60"/>
    </row>
    <row r="455" spans="5:9" ht="15" customHeight="1">
      <c r="E455" s="60"/>
      <c r="F455" s="60"/>
      <c r="G455" s="60"/>
      <c r="H455" s="60"/>
      <c r="I455" s="60"/>
    </row>
    <row r="456" spans="5:9" ht="15" customHeight="1">
      <c r="E456" s="60"/>
      <c r="F456" s="60"/>
      <c r="G456" s="60"/>
      <c r="H456" s="60"/>
      <c r="I456" s="60"/>
    </row>
    <row r="457" spans="5:9" ht="15" customHeight="1">
      <c r="E457" s="60"/>
      <c r="F457" s="60"/>
      <c r="G457" s="60"/>
      <c r="H457" s="60"/>
      <c r="I457" s="60"/>
    </row>
    <row r="458" spans="5:9" ht="15" customHeight="1">
      <c r="E458" s="60"/>
      <c r="F458" s="60"/>
      <c r="G458" s="60"/>
      <c r="H458" s="60"/>
      <c r="I458" s="60"/>
    </row>
    <row r="459" spans="5:9" ht="15" customHeight="1">
      <c r="E459" s="60"/>
      <c r="F459" s="60"/>
      <c r="G459" s="60"/>
      <c r="H459" s="60"/>
      <c r="I459" s="60"/>
    </row>
    <row r="460" spans="5:9" ht="15" customHeight="1">
      <c r="E460" s="60"/>
      <c r="F460" s="60"/>
      <c r="G460" s="60"/>
      <c r="H460" s="60"/>
      <c r="I460" s="60"/>
    </row>
    <row r="461" spans="5:9" ht="15" customHeight="1">
      <c r="E461" s="60"/>
      <c r="F461" s="60"/>
      <c r="G461" s="60"/>
      <c r="H461" s="60"/>
      <c r="I461" s="60"/>
    </row>
    <row r="462" spans="5:9" ht="15" customHeight="1">
      <c r="E462" s="60"/>
      <c r="F462" s="60"/>
      <c r="G462" s="60"/>
      <c r="H462" s="60"/>
      <c r="I462" s="60"/>
    </row>
    <row r="463" spans="5:9" ht="15" customHeight="1">
      <c r="E463" s="60"/>
      <c r="F463" s="60"/>
      <c r="G463" s="60"/>
      <c r="H463" s="60"/>
      <c r="I463" s="60"/>
    </row>
    <row r="464" spans="5:9" ht="15" customHeight="1">
      <c r="E464" s="60"/>
      <c r="F464" s="60"/>
      <c r="G464" s="60"/>
      <c r="H464" s="60"/>
      <c r="I464" s="60"/>
    </row>
    <row r="465" spans="5:9" ht="15" customHeight="1">
      <c r="E465" s="60"/>
      <c r="F465" s="60"/>
      <c r="G465" s="60"/>
      <c r="H465" s="60"/>
      <c r="I465" s="60"/>
    </row>
    <row r="466" spans="5:9" ht="15" customHeight="1">
      <c r="E466" s="60"/>
      <c r="F466" s="60"/>
      <c r="G466" s="60"/>
      <c r="H466" s="60"/>
      <c r="I466" s="60"/>
    </row>
    <row r="467" spans="5:9" ht="15" customHeight="1">
      <c r="E467" s="60"/>
      <c r="F467" s="60"/>
      <c r="G467" s="60"/>
      <c r="H467" s="60"/>
      <c r="I467" s="60"/>
    </row>
    <row r="468" spans="5:9" ht="15" customHeight="1">
      <c r="E468" s="60"/>
      <c r="F468" s="60"/>
      <c r="G468" s="60"/>
      <c r="H468" s="60"/>
      <c r="I468" s="60"/>
    </row>
    <row r="469" spans="5:9" ht="15" customHeight="1">
      <c r="E469" s="60"/>
      <c r="F469" s="60"/>
      <c r="G469" s="60"/>
      <c r="H469" s="60"/>
      <c r="I469" s="60"/>
    </row>
    <row r="470" spans="5:9" ht="15" customHeight="1">
      <c r="E470" s="60"/>
      <c r="F470" s="60"/>
      <c r="G470" s="60"/>
      <c r="H470" s="60"/>
      <c r="I470" s="60"/>
    </row>
    <row r="471" spans="5:9" ht="15" customHeight="1">
      <c r="E471" s="60"/>
      <c r="F471" s="60"/>
      <c r="G471" s="60"/>
      <c r="H471" s="60"/>
      <c r="I471" s="60"/>
    </row>
    <row r="472" spans="5:9" ht="15" customHeight="1">
      <c r="E472" s="60"/>
      <c r="F472" s="60"/>
      <c r="G472" s="60"/>
      <c r="H472" s="60"/>
      <c r="I472" s="60"/>
    </row>
    <row r="473" spans="5:9" ht="15" customHeight="1">
      <c r="E473" s="60"/>
      <c r="F473" s="60"/>
      <c r="G473" s="60"/>
      <c r="H473" s="60"/>
      <c r="I473" s="60"/>
    </row>
    <row r="474" spans="5:9" ht="15" customHeight="1">
      <c r="E474" s="60"/>
      <c r="F474" s="60"/>
      <c r="G474" s="60"/>
      <c r="H474" s="60"/>
      <c r="I474" s="60"/>
    </row>
    <row r="475" spans="5:9" ht="15" customHeight="1">
      <c r="E475" s="60"/>
      <c r="F475" s="60"/>
      <c r="G475" s="60"/>
      <c r="H475" s="60"/>
      <c r="I475" s="60"/>
    </row>
    <row r="476" spans="5:9" ht="15" customHeight="1">
      <c r="E476" s="60"/>
      <c r="F476" s="60"/>
      <c r="G476" s="60"/>
      <c r="H476" s="60"/>
      <c r="I476" s="60"/>
    </row>
    <row r="477" spans="5:9" ht="15" customHeight="1">
      <c r="E477" s="60"/>
      <c r="F477" s="60"/>
      <c r="G477" s="60"/>
      <c r="H477" s="60"/>
      <c r="I477" s="60"/>
    </row>
    <row r="478" spans="5:9" ht="15" customHeight="1">
      <c r="E478" s="60"/>
      <c r="F478" s="60"/>
      <c r="G478" s="60"/>
      <c r="H478" s="60"/>
      <c r="I478" s="60"/>
    </row>
    <row r="479" spans="5:9" ht="15" customHeight="1">
      <c r="E479" s="60"/>
      <c r="F479" s="60"/>
      <c r="G479" s="60"/>
      <c r="H479" s="60"/>
      <c r="I479" s="60"/>
    </row>
    <row r="480" spans="5:9" ht="15" customHeight="1">
      <c r="E480" s="60"/>
      <c r="F480" s="60"/>
      <c r="G480" s="60"/>
      <c r="H480" s="60"/>
      <c r="I480" s="60"/>
    </row>
    <row r="481" spans="5:9" ht="15" customHeight="1">
      <c r="E481" s="60"/>
      <c r="F481" s="60"/>
      <c r="G481" s="60"/>
      <c r="H481" s="60"/>
      <c r="I481" s="60"/>
    </row>
    <row r="482" spans="5:9" ht="15" customHeight="1">
      <c r="E482" s="60"/>
      <c r="F482" s="60"/>
      <c r="G482" s="60"/>
      <c r="H482" s="60"/>
      <c r="I482" s="60"/>
    </row>
    <row r="483" spans="5:9" ht="15" customHeight="1">
      <c r="E483" s="60"/>
      <c r="F483" s="60"/>
      <c r="G483" s="60"/>
      <c r="H483" s="60"/>
      <c r="I483" s="60"/>
    </row>
    <row r="484" spans="5:9" ht="15" customHeight="1">
      <c r="E484" s="60"/>
      <c r="F484" s="60"/>
      <c r="G484" s="60"/>
      <c r="H484" s="60"/>
      <c r="I484" s="60"/>
    </row>
    <row r="485" spans="5:9" ht="15" customHeight="1">
      <c r="E485" s="60"/>
      <c r="F485" s="60"/>
      <c r="G485" s="60"/>
      <c r="H485" s="60"/>
      <c r="I485" s="60"/>
    </row>
    <row r="486" spans="5:9" ht="15" customHeight="1">
      <c r="E486" s="60"/>
      <c r="F486" s="60"/>
      <c r="G486" s="60"/>
      <c r="H486" s="60"/>
      <c r="I486" s="60"/>
    </row>
    <row r="487" spans="5:9" ht="15" customHeight="1">
      <c r="E487" s="60"/>
      <c r="F487" s="60"/>
      <c r="G487" s="60"/>
      <c r="H487" s="60"/>
      <c r="I487" s="60"/>
    </row>
    <row r="488" spans="5:9" ht="15" customHeight="1">
      <c r="E488" s="60"/>
      <c r="F488" s="60"/>
      <c r="G488" s="60"/>
      <c r="H488" s="60"/>
      <c r="I488" s="60"/>
    </row>
    <row r="489" spans="5:9" ht="15" customHeight="1">
      <c r="E489" s="60"/>
      <c r="F489" s="60"/>
      <c r="G489" s="60"/>
      <c r="H489" s="60"/>
      <c r="I489" s="60"/>
    </row>
    <row r="490" spans="5:9" ht="15" customHeight="1">
      <c r="E490" s="60"/>
      <c r="F490" s="60"/>
      <c r="G490" s="60"/>
      <c r="H490" s="60"/>
      <c r="I490" s="60"/>
    </row>
    <row r="491" spans="5:9" ht="15" customHeight="1">
      <c r="E491" s="60"/>
      <c r="F491" s="60"/>
      <c r="G491" s="60"/>
      <c r="H491" s="60"/>
      <c r="I491" s="60"/>
    </row>
    <row r="492" spans="5:9" ht="15" customHeight="1">
      <c r="E492" s="60"/>
      <c r="F492" s="60"/>
      <c r="G492" s="60"/>
      <c r="H492" s="60"/>
      <c r="I492" s="60"/>
    </row>
    <row r="493" spans="5:9" ht="15" customHeight="1">
      <c r="E493" s="60"/>
      <c r="F493" s="60"/>
      <c r="G493" s="60"/>
      <c r="H493" s="60"/>
      <c r="I493" s="60"/>
    </row>
    <row r="494" spans="5:9" ht="15" customHeight="1">
      <c r="E494" s="60"/>
      <c r="F494" s="60"/>
      <c r="G494" s="60"/>
      <c r="H494" s="60"/>
      <c r="I494" s="60"/>
    </row>
    <row r="495" spans="5:9" ht="15" customHeight="1">
      <c r="E495" s="60"/>
      <c r="F495" s="60"/>
      <c r="G495" s="60"/>
      <c r="H495" s="60"/>
      <c r="I495" s="60"/>
    </row>
    <row r="496" spans="5:9" ht="15" customHeight="1">
      <c r="E496" s="60"/>
      <c r="F496" s="60"/>
      <c r="G496" s="60"/>
      <c r="H496" s="60"/>
      <c r="I496" s="60"/>
    </row>
    <row r="497" spans="5:9" ht="15" customHeight="1">
      <c r="E497" s="60"/>
      <c r="F497" s="60"/>
      <c r="G497" s="60"/>
      <c r="H497" s="60"/>
      <c r="I497" s="60"/>
    </row>
    <row r="498" spans="5:9" ht="15" customHeight="1">
      <c r="E498" s="60"/>
      <c r="F498" s="60"/>
      <c r="G498" s="60"/>
      <c r="H498" s="60"/>
      <c r="I498" s="60"/>
    </row>
    <row r="499" spans="5:9" ht="15" customHeight="1">
      <c r="E499" s="60"/>
      <c r="F499" s="60"/>
      <c r="G499" s="60"/>
      <c r="H499" s="60"/>
      <c r="I499" s="60"/>
    </row>
    <row r="500" spans="5:9" ht="15" customHeight="1">
      <c r="E500" s="60"/>
      <c r="F500" s="60"/>
      <c r="G500" s="60"/>
      <c r="H500" s="60"/>
      <c r="I500" s="60"/>
    </row>
    <row r="501" spans="5:9" ht="15" customHeight="1">
      <c r="E501" s="60"/>
      <c r="F501" s="60"/>
      <c r="G501" s="60"/>
      <c r="H501" s="60"/>
      <c r="I501" s="60"/>
    </row>
    <row r="502" spans="5:9" ht="15" customHeight="1">
      <c r="E502" s="60"/>
      <c r="F502" s="60"/>
      <c r="G502" s="60"/>
      <c r="H502" s="60"/>
      <c r="I502" s="60"/>
    </row>
    <row r="503" spans="5:9" ht="15" customHeight="1">
      <c r="E503" s="60"/>
      <c r="F503" s="60"/>
      <c r="G503" s="60"/>
      <c r="H503" s="60"/>
      <c r="I503" s="60"/>
    </row>
    <row r="504" spans="5:9" ht="15" customHeight="1">
      <c r="E504" s="60"/>
      <c r="F504" s="60"/>
      <c r="G504" s="60"/>
      <c r="H504" s="60"/>
      <c r="I504" s="60"/>
    </row>
    <row r="505" spans="5:9" ht="15" customHeight="1">
      <c r="E505" s="60"/>
      <c r="F505" s="60"/>
      <c r="G505" s="60"/>
      <c r="H505" s="60"/>
      <c r="I505" s="60"/>
    </row>
    <row r="506" spans="5:9" ht="15" customHeight="1">
      <c r="E506" s="60"/>
      <c r="F506" s="60"/>
      <c r="G506" s="60"/>
      <c r="H506" s="60"/>
      <c r="I506" s="60"/>
    </row>
    <row r="507" spans="5:9" ht="15" customHeight="1">
      <c r="E507" s="60"/>
      <c r="F507" s="60"/>
      <c r="G507" s="60"/>
      <c r="H507" s="60"/>
      <c r="I507" s="60"/>
    </row>
    <row r="508" spans="5:9" ht="15" customHeight="1">
      <c r="E508" s="60"/>
      <c r="F508" s="60"/>
      <c r="G508" s="60"/>
      <c r="H508" s="60"/>
      <c r="I508" s="60"/>
    </row>
    <row r="509" spans="5:9" ht="15" customHeight="1">
      <c r="E509" s="60"/>
      <c r="F509" s="60"/>
      <c r="G509" s="60"/>
      <c r="H509" s="60"/>
      <c r="I509" s="60"/>
    </row>
    <row r="510" spans="5:9" ht="15" customHeight="1">
      <c r="E510" s="60"/>
      <c r="F510" s="60"/>
      <c r="G510" s="60"/>
      <c r="H510" s="60"/>
      <c r="I510" s="60"/>
    </row>
    <row r="511" spans="5:9" ht="15" customHeight="1">
      <c r="E511" s="60"/>
      <c r="F511" s="60"/>
      <c r="G511" s="60"/>
      <c r="H511" s="60"/>
      <c r="I511" s="60"/>
    </row>
    <row r="512" spans="5:9" ht="15" customHeight="1">
      <c r="E512" s="60"/>
      <c r="F512" s="60"/>
      <c r="G512" s="60"/>
      <c r="H512" s="60"/>
      <c r="I512" s="60"/>
    </row>
    <row r="513" spans="5:9" ht="15" customHeight="1">
      <c r="E513" s="60"/>
      <c r="F513" s="60"/>
      <c r="G513" s="60"/>
      <c r="H513" s="60"/>
      <c r="I513" s="60"/>
    </row>
    <row r="514" spans="5:9" ht="15" customHeight="1">
      <c r="E514" s="60"/>
      <c r="F514" s="60"/>
      <c r="G514" s="60"/>
      <c r="H514" s="60"/>
      <c r="I514" s="60"/>
    </row>
    <row r="515" spans="5:9" ht="15" customHeight="1">
      <c r="E515" s="60"/>
      <c r="F515" s="60"/>
      <c r="G515" s="60"/>
      <c r="H515" s="60"/>
      <c r="I515" s="60"/>
    </row>
    <row r="516" spans="5:9" ht="15" customHeight="1">
      <c r="E516" s="60"/>
      <c r="F516" s="60"/>
      <c r="G516" s="60"/>
      <c r="H516" s="60"/>
      <c r="I516" s="60"/>
    </row>
    <row r="517" spans="5:9" ht="15" customHeight="1">
      <c r="E517" s="60"/>
      <c r="F517" s="60"/>
      <c r="G517" s="60"/>
      <c r="H517" s="60"/>
      <c r="I517" s="60"/>
    </row>
    <row r="518" spans="5:9" ht="15" customHeight="1">
      <c r="E518" s="60"/>
      <c r="F518" s="60"/>
      <c r="G518" s="60"/>
      <c r="H518" s="60"/>
      <c r="I518" s="60"/>
    </row>
    <row r="519" spans="5:9" ht="15" customHeight="1">
      <c r="E519" s="60"/>
      <c r="F519" s="60"/>
      <c r="G519" s="60"/>
      <c r="H519" s="60"/>
      <c r="I519" s="60"/>
    </row>
    <row r="520" spans="5:9" ht="15" customHeight="1">
      <c r="E520" s="60"/>
      <c r="F520" s="60"/>
      <c r="G520" s="60"/>
      <c r="H520" s="60"/>
      <c r="I520" s="60"/>
    </row>
    <row r="521" spans="5:9" ht="15" customHeight="1">
      <c r="E521" s="60"/>
      <c r="F521" s="60"/>
      <c r="G521" s="60"/>
      <c r="H521" s="60"/>
      <c r="I521" s="60"/>
    </row>
    <row r="522" spans="5:9" ht="15" customHeight="1">
      <c r="E522" s="60"/>
      <c r="F522" s="60"/>
      <c r="G522" s="60"/>
      <c r="H522" s="60"/>
      <c r="I522" s="60"/>
    </row>
    <row r="523" spans="5:9" ht="15" customHeight="1">
      <c r="E523" s="60"/>
      <c r="F523" s="60"/>
      <c r="G523" s="60"/>
      <c r="H523" s="60"/>
      <c r="I523" s="60"/>
    </row>
    <row r="524" spans="5:9" ht="15" customHeight="1">
      <c r="E524" s="60"/>
      <c r="F524" s="60"/>
      <c r="G524" s="60"/>
      <c r="H524" s="60"/>
      <c r="I524" s="60"/>
    </row>
    <row r="525" spans="5:9" ht="15" customHeight="1">
      <c r="E525" s="60"/>
      <c r="F525" s="60"/>
      <c r="G525" s="60"/>
      <c r="H525" s="60"/>
      <c r="I525" s="60"/>
    </row>
    <row r="526" spans="5:9" ht="15" customHeight="1">
      <c r="E526" s="60"/>
      <c r="F526" s="60"/>
      <c r="G526" s="60"/>
      <c r="H526" s="60"/>
      <c r="I526" s="60"/>
    </row>
    <row r="527" spans="5:9" ht="15" customHeight="1">
      <c r="E527" s="60"/>
      <c r="F527" s="60"/>
      <c r="G527" s="60"/>
      <c r="H527" s="60"/>
      <c r="I527" s="60"/>
    </row>
    <row r="528" spans="5:9" ht="15" customHeight="1">
      <c r="E528" s="60"/>
      <c r="F528" s="60"/>
      <c r="G528" s="60"/>
      <c r="H528" s="60"/>
      <c r="I528" s="60"/>
    </row>
    <row r="529" spans="5:9" ht="15" customHeight="1">
      <c r="E529" s="60"/>
      <c r="F529" s="60"/>
      <c r="G529" s="60"/>
      <c r="H529" s="60"/>
      <c r="I529" s="60"/>
    </row>
    <row r="530" spans="5:9" ht="15" customHeight="1">
      <c r="E530" s="60"/>
      <c r="F530" s="60"/>
      <c r="G530" s="60"/>
      <c r="H530" s="60"/>
      <c r="I530" s="60"/>
    </row>
    <row r="531" spans="5:9" ht="15" customHeight="1">
      <c r="E531" s="60"/>
      <c r="F531" s="60"/>
      <c r="G531" s="60"/>
      <c r="H531" s="60"/>
      <c r="I531" s="60"/>
    </row>
    <row r="532" spans="5:9" ht="15" customHeight="1">
      <c r="E532" s="60"/>
      <c r="F532" s="60"/>
      <c r="G532" s="60"/>
      <c r="H532" s="60"/>
      <c r="I532" s="60"/>
    </row>
    <row r="533" spans="5:9" ht="15" customHeight="1">
      <c r="E533" s="60"/>
      <c r="F533" s="60"/>
      <c r="G533" s="60"/>
      <c r="H533" s="60"/>
      <c r="I533" s="60"/>
    </row>
    <row r="534" spans="5:9" ht="15" customHeight="1">
      <c r="E534" s="60"/>
      <c r="F534" s="60"/>
      <c r="G534" s="60"/>
      <c r="H534" s="60"/>
      <c r="I534" s="60"/>
    </row>
    <row r="535" spans="5:9" ht="15" customHeight="1">
      <c r="E535" s="60"/>
      <c r="F535" s="60"/>
      <c r="G535" s="60"/>
      <c r="H535" s="60"/>
      <c r="I535" s="60"/>
    </row>
    <row r="536" spans="5:9" ht="15" customHeight="1">
      <c r="E536" s="60"/>
      <c r="F536" s="60"/>
      <c r="G536" s="60"/>
      <c r="H536" s="60"/>
      <c r="I536" s="60"/>
    </row>
    <row r="537" spans="5:9" ht="15" customHeight="1">
      <c r="E537" s="60"/>
      <c r="F537" s="60"/>
      <c r="G537" s="60"/>
      <c r="H537" s="60"/>
      <c r="I537" s="60"/>
    </row>
    <row r="538" spans="5:9" ht="15" customHeight="1">
      <c r="E538" s="60"/>
      <c r="F538" s="60"/>
      <c r="G538" s="60"/>
      <c r="H538" s="60"/>
      <c r="I538" s="60"/>
    </row>
    <row r="539" spans="5:9" ht="15" customHeight="1">
      <c r="E539" s="60"/>
      <c r="F539" s="60"/>
      <c r="G539" s="60"/>
      <c r="H539" s="60"/>
      <c r="I539" s="60"/>
    </row>
    <row r="540" spans="5:9" ht="15" customHeight="1">
      <c r="E540" s="60"/>
      <c r="F540" s="60"/>
      <c r="G540" s="60"/>
      <c r="H540" s="60"/>
      <c r="I540" s="60"/>
    </row>
    <row r="541" spans="5:9" ht="15" customHeight="1">
      <c r="E541" s="60"/>
      <c r="F541" s="60"/>
      <c r="G541" s="60"/>
      <c r="H541" s="60"/>
      <c r="I541" s="60"/>
    </row>
    <row r="542" spans="5:9" ht="15" customHeight="1">
      <c r="E542" s="60"/>
      <c r="F542" s="60"/>
      <c r="G542" s="60"/>
      <c r="H542" s="60"/>
      <c r="I542" s="60"/>
    </row>
    <row r="543" spans="5:9" ht="15" customHeight="1">
      <c r="E543" s="60"/>
      <c r="F543" s="60"/>
      <c r="G543" s="60"/>
      <c r="H543" s="60"/>
      <c r="I543" s="60"/>
    </row>
    <row r="544" spans="5:9" ht="15" customHeight="1">
      <c r="E544" s="60"/>
      <c r="F544" s="60"/>
      <c r="G544" s="60"/>
      <c r="H544" s="60"/>
      <c r="I544" s="60"/>
    </row>
    <row r="545" spans="5:9" ht="15" customHeight="1">
      <c r="E545" s="60"/>
      <c r="F545" s="60"/>
      <c r="G545" s="60"/>
      <c r="H545" s="60"/>
      <c r="I545" s="60"/>
    </row>
    <row r="546" spans="5:9" ht="15" customHeight="1">
      <c r="E546" s="60"/>
      <c r="F546" s="60"/>
      <c r="G546" s="60"/>
      <c r="H546" s="60"/>
      <c r="I546" s="60"/>
    </row>
    <row r="547" spans="5:9" ht="15" customHeight="1">
      <c r="E547" s="60"/>
      <c r="F547" s="60"/>
      <c r="G547" s="60"/>
      <c r="H547" s="60"/>
      <c r="I547" s="60"/>
    </row>
    <row r="548" spans="5:9" ht="15" customHeight="1">
      <c r="E548" s="60"/>
      <c r="F548" s="60"/>
      <c r="G548" s="60"/>
      <c r="H548" s="60"/>
      <c r="I548" s="60"/>
    </row>
    <row r="549" spans="5:9" ht="15" customHeight="1">
      <c r="E549" s="60"/>
      <c r="F549" s="60"/>
      <c r="G549" s="60"/>
      <c r="H549" s="60"/>
      <c r="I549" s="60"/>
    </row>
    <row r="550" spans="5:9" ht="15" customHeight="1">
      <c r="E550" s="60"/>
      <c r="F550" s="60"/>
      <c r="G550" s="60"/>
      <c r="H550" s="60"/>
      <c r="I550" s="60"/>
    </row>
    <row r="551" spans="5:9" ht="15" customHeight="1">
      <c r="E551" s="60"/>
      <c r="F551" s="60"/>
      <c r="G551" s="60"/>
      <c r="H551" s="60"/>
      <c r="I551" s="60"/>
    </row>
    <row r="552" spans="5:9" ht="15" customHeight="1">
      <c r="E552" s="60"/>
      <c r="F552" s="60"/>
      <c r="G552" s="60"/>
      <c r="H552" s="60"/>
      <c r="I552" s="60"/>
    </row>
    <row r="553" spans="5:9" ht="15" customHeight="1">
      <c r="E553" s="60"/>
      <c r="F553" s="60"/>
      <c r="G553" s="60"/>
      <c r="H553" s="60"/>
      <c r="I553" s="60"/>
    </row>
    <row r="554" spans="5:9" ht="15" customHeight="1">
      <c r="E554" s="60"/>
      <c r="F554" s="60"/>
      <c r="G554" s="60"/>
      <c r="H554" s="60"/>
      <c r="I554" s="60"/>
    </row>
    <row r="555" spans="5:9" ht="15" customHeight="1">
      <c r="E555" s="60"/>
      <c r="F555" s="60"/>
      <c r="G555" s="60"/>
      <c r="H555" s="60"/>
      <c r="I555" s="60"/>
    </row>
    <row r="556" spans="5:9" ht="15" customHeight="1">
      <c r="E556" s="60"/>
      <c r="F556" s="60"/>
      <c r="G556" s="60"/>
      <c r="H556" s="60"/>
      <c r="I556" s="60"/>
    </row>
    <row r="557" spans="5:9" ht="15" customHeight="1">
      <c r="E557" s="60"/>
      <c r="F557" s="60"/>
      <c r="G557" s="60"/>
      <c r="H557" s="60"/>
      <c r="I557" s="60"/>
    </row>
    <row r="558" spans="5:9" ht="15" customHeight="1">
      <c r="E558" s="60"/>
      <c r="F558" s="60"/>
      <c r="G558" s="60"/>
      <c r="H558" s="60"/>
      <c r="I558" s="60"/>
    </row>
    <row r="559" spans="5:9" ht="15" customHeight="1">
      <c r="E559" s="60"/>
      <c r="F559" s="60"/>
      <c r="G559" s="60"/>
      <c r="H559" s="60"/>
      <c r="I559" s="60"/>
    </row>
    <row r="560" spans="5:9" ht="15" customHeight="1">
      <c r="E560" s="60"/>
      <c r="F560" s="60"/>
      <c r="G560" s="60"/>
      <c r="H560" s="60"/>
      <c r="I560" s="60"/>
    </row>
    <row r="561" spans="5:9" ht="15" customHeight="1">
      <c r="E561" s="60"/>
      <c r="F561" s="60"/>
      <c r="G561" s="60"/>
      <c r="H561" s="60"/>
      <c r="I561" s="60"/>
    </row>
    <row r="562" spans="5:9" ht="15" customHeight="1">
      <c r="E562" s="60"/>
      <c r="F562" s="60"/>
      <c r="G562" s="60"/>
      <c r="H562" s="60"/>
      <c r="I562" s="60"/>
    </row>
    <row r="563" spans="5:9" ht="15" customHeight="1">
      <c r="E563" s="60"/>
      <c r="F563" s="60"/>
      <c r="G563" s="60"/>
      <c r="H563" s="60"/>
      <c r="I563" s="60"/>
    </row>
    <row r="564" spans="5:9" ht="15" customHeight="1">
      <c r="E564" s="60"/>
      <c r="F564" s="60"/>
      <c r="G564" s="60"/>
      <c r="H564" s="60"/>
      <c r="I564" s="60"/>
    </row>
    <row r="565" spans="5:9" ht="15" customHeight="1">
      <c r="E565" s="60"/>
      <c r="F565" s="60"/>
      <c r="G565" s="60"/>
      <c r="H565" s="60"/>
      <c r="I565" s="60"/>
    </row>
    <row r="566" spans="5:9" ht="15" customHeight="1">
      <c r="E566" s="60"/>
      <c r="F566" s="60"/>
      <c r="G566" s="60"/>
      <c r="H566" s="60"/>
      <c r="I566" s="60"/>
    </row>
    <row r="567" spans="5:9" ht="15" customHeight="1">
      <c r="E567" s="60"/>
      <c r="F567" s="60"/>
      <c r="G567" s="60"/>
      <c r="H567" s="60"/>
      <c r="I567" s="60"/>
    </row>
    <row r="568" spans="5:9" ht="15" customHeight="1">
      <c r="E568" s="60"/>
      <c r="F568" s="60"/>
      <c r="G568" s="60"/>
      <c r="H568" s="60"/>
      <c r="I568" s="60"/>
    </row>
    <row r="569" spans="5:9" ht="15" customHeight="1">
      <c r="E569" s="60"/>
      <c r="F569" s="60"/>
      <c r="G569" s="60"/>
      <c r="H569" s="60"/>
      <c r="I569" s="60"/>
    </row>
    <row r="570" spans="5:9" ht="15" customHeight="1">
      <c r="E570" s="60"/>
      <c r="F570" s="60"/>
      <c r="G570" s="60"/>
      <c r="H570" s="60"/>
      <c r="I570" s="60"/>
    </row>
    <row r="571" spans="5:9" ht="15" customHeight="1">
      <c r="E571" s="60"/>
      <c r="F571" s="60"/>
      <c r="G571" s="60"/>
      <c r="H571" s="60"/>
      <c r="I571" s="60"/>
    </row>
    <row r="572" spans="5:9" ht="15" customHeight="1">
      <c r="E572" s="60"/>
      <c r="F572" s="60"/>
      <c r="G572" s="60"/>
      <c r="H572" s="60"/>
      <c r="I572" s="60"/>
    </row>
    <row r="573" spans="5:9" ht="15" customHeight="1">
      <c r="E573" s="60"/>
      <c r="F573" s="60"/>
      <c r="G573" s="60"/>
      <c r="H573" s="60"/>
      <c r="I573" s="60"/>
    </row>
    <row r="574" spans="5:9" ht="15" customHeight="1">
      <c r="E574" s="60"/>
      <c r="F574" s="60"/>
      <c r="G574" s="60"/>
      <c r="H574" s="60"/>
      <c r="I574" s="60"/>
    </row>
    <row r="575" spans="5:9" ht="15" customHeight="1">
      <c r="E575" s="60"/>
      <c r="F575" s="60"/>
      <c r="G575" s="60"/>
      <c r="H575" s="60"/>
      <c r="I575" s="60"/>
    </row>
    <row r="576" spans="5:9" ht="15" customHeight="1">
      <c r="E576" s="60"/>
      <c r="F576" s="60"/>
      <c r="G576" s="60"/>
      <c r="H576" s="60"/>
      <c r="I576" s="60"/>
    </row>
    <row r="577" spans="5:9" ht="15" customHeight="1">
      <c r="E577" s="60"/>
      <c r="F577" s="60"/>
      <c r="G577" s="60"/>
      <c r="H577" s="60"/>
      <c r="I577" s="60"/>
    </row>
    <row r="578" spans="5:9" ht="15" customHeight="1">
      <c r="E578" s="60"/>
      <c r="F578" s="60"/>
      <c r="G578" s="60"/>
      <c r="H578" s="60"/>
      <c r="I578" s="60"/>
    </row>
    <row r="579" spans="5:9" ht="15" customHeight="1">
      <c r="E579" s="60"/>
      <c r="F579" s="60"/>
      <c r="G579" s="60"/>
      <c r="H579" s="60"/>
      <c r="I579" s="60"/>
    </row>
    <row r="580" spans="5:9" ht="15" customHeight="1">
      <c r="E580" s="60"/>
      <c r="F580" s="60"/>
      <c r="G580" s="60"/>
      <c r="H580" s="60"/>
      <c r="I580" s="60"/>
    </row>
    <row r="581" spans="5:9" ht="15" customHeight="1">
      <c r="E581" s="60"/>
      <c r="F581" s="60"/>
      <c r="G581" s="60"/>
      <c r="H581" s="60"/>
      <c r="I581" s="60"/>
    </row>
    <row r="582" spans="5:9" ht="15" customHeight="1">
      <c r="E582" s="60"/>
      <c r="F582" s="60"/>
      <c r="G582" s="60"/>
      <c r="H582" s="60"/>
      <c r="I582" s="60"/>
    </row>
    <row r="583" spans="5:9" ht="15" customHeight="1">
      <c r="E583" s="60"/>
      <c r="F583" s="60"/>
      <c r="G583" s="60"/>
      <c r="H583" s="60"/>
      <c r="I583" s="60"/>
    </row>
    <row r="584" spans="5:9" ht="15" customHeight="1">
      <c r="E584" s="60"/>
      <c r="F584" s="60"/>
      <c r="G584" s="60"/>
      <c r="H584" s="60"/>
      <c r="I584" s="60"/>
    </row>
    <row r="585" spans="5:9" ht="15" customHeight="1">
      <c r="E585" s="60"/>
      <c r="F585" s="60"/>
      <c r="G585" s="60"/>
      <c r="H585" s="60"/>
      <c r="I585" s="60"/>
    </row>
    <row r="586" spans="5:9" ht="15" customHeight="1">
      <c r="E586" s="60"/>
      <c r="F586" s="60"/>
      <c r="G586" s="60"/>
      <c r="H586" s="60"/>
      <c r="I586" s="60"/>
    </row>
    <row r="587" spans="5:9" ht="15" customHeight="1">
      <c r="E587" s="60"/>
      <c r="F587" s="60"/>
      <c r="G587" s="60"/>
      <c r="H587" s="60"/>
      <c r="I587" s="60"/>
    </row>
    <row r="588" spans="5:9" ht="15" customHeight="1">
      <c r="E588" s="60"/>
      <c r="F588" s="60"/>
      <c r="G588" s="60"/>
      <c r="H588" s="60"/>
      <c r="I588" s="60"/>
    </row>
    <row r="589" spans="5:9" ht="15" customHeight="1">
      <c r="E589" s="60"/>
      <c r="F589" s="60"/>
      <c r="G589" s="60"/>
      <c r="H589" s="60"/>
      <c r="I589" s="60"/>
    </row>
    <row r="590" spans="5:9" ht="15" customHeight="1">
      <c r="E590" s="60"/>
      <c r="F590" s="60"/>
      <c r="G590" s="60"/>
      <c r="H590" s="60"/>
      <c r="I590" s="60"/>
    </row>
    <row r="591" spans="5:9" ht="15" customHeight="1">
      <c r="E591" s="60"/>
      <c r="F591" s="60"/>
      <c r="G591" s="60"/>
      <c r="H591" s="60"/>
      <c r="I591" s="60"/>
    </row>
    <row r="592" spans="5:9" ht="15" customHeight="1">
      <c r="E592" s="60"/>
      <c r="F592" s="60"/>
      <c r="G592" s="60"/>
      <c r="H592" s="60"/>
      <c r="I592" s="60"/>
    </row>
    <row r="593" spans="5:9" ht="15" customHeight="1">
      <c r="E593" s="60"/>
      <c r="F593" s="60"/>
      <c r="G593" s="60"/>
      <c r="H593" s="60"/>
      <c r="I593" s="60"/>
    </row>
    <row r="594" spans="5:9" ht="15" customHeight="1">
      <c r="E594" s="60"/>
      <c r="F594" s="60"/>
      <c r="G594" s="60"/>
      <c r="H594" s="60"/>
      <c r="I594" s="60"/>
    </row>
    <row r="595" spans="5:9" ht="15" customHeight="1">
      <c r="E595" s="60"/>
      <c r="F595" s="60"/>
      <c r="G595" s="60"/>
      <c r="H595" s="60"/>
      <c r="I595" s="60"/>
    </row>
    <row r="596" spans="5:9" ht="15" customHeight="1">
      <c r="E596" s="60"/>
      <c r="F596" s="60"/>
      <c r="G596" s="60"/>
      <c r="H596" s="60"/>
      <c r="I596" s="60"/>
    </row>
    <row r="597" spans="5:9" ht="15" customHeight="1">
      <c r="E597" s="60"/>
      <c r="F597" s="60"/>
      <c r="G597" s="60"/>
      <c r="H597" s="60"/>
      <c r="I597" s="60"/>
    </row>
    <row r="598" spans="5:9" ht="15" customHeight="1">
      <c r="E598" s="60"/>
      <c r="F598" s="60"/>
      <c r="G598" s="60"/>
      <c r="H598" s="60"/>
      <c r="I598" s="60"/>
    </row>
    <row r="599" spans="5:9" ht="15" customHeight="1">
      <c r="E599" s="60"/>
      <c r="F599" s="60"/>
      <c r="G599" s="60"/>
      <c r="H599" s="60"/>
      <c r="I599" s="60"/>
    </row>
    <row r="600" spans="5:9" ht="15" customHeight="1">
      <c r="E600" s="60"/>
      <c r="F600" s="60"/>
      <c r="G600" s="60"/>
      <c r="H600" s="60"/>
      <c r="I600" s="60"/>
    </row>
    <row r="601" spans="5:9" ht="15" customHeight="1">
      <c r="E601" s="60"/>
      <c r="F601" s="60"/>
      <c r="G601" s="60"/>
      <c r="H601" s="60"/>
      <c r="I601" s="60"/>
    </row>
    <row r="602" spans="5:9" ht="15" customHeight="1">
      <c r="E602" s="60"/>
      <c r="F602" s="60"/>
      <c r="G602" s="60"/>
      <c r="H602" s="60"/>
      <c r="I602" s="60"/>
    </row>
    <row r="603" spans="5:9" ht="15" customHeight="1">
      <c r="E603" s="60"/>
      <c r="F603" s="60"/>
      <c r="G603" s="60"/>
      <c r="H603" s="60"/>
      <c r="I603" s="60"/>
    </row>
    <row r="604" spans="5:9" ht="15" customHeight="1">
      <c r="E604" s="60"/>
      <c r="F604" s="60"/>
      <c r="G604" s="60"/>
      <c r="H604" s="60"/>
      <c r="I604" s="60"/>
    </row>
    <row r="605" spans="5:9" ht="15" customHeight="1">
      <c r="E605" s="60"/>
      <c r="F605" s="60"/>
      <c r="G605" s="60"/>
      <c r="H605" s="60"/>
      <c r="I605" s="60"/>
    </row>
    <row r="606" spans="5:9" ht="15" customHeight="1">
      <c r="E606" s="60"/>
      <c r="F606" s="60"/>
      <c r="G606" s="60"/>
      <c r="H606" s="60"/>
      <c r="I606" s="60"/>
    </row>
    <row r="607" spans="5:9" ht="15" customHeight="1">
      <c r="E607" s="60"/>
      <c r="F607" s="60"/>
      <c r="G607" s="60"/>
      <c r="H607" s="60"/>
      <c r="I607" s="60"/>
    </row>
    <row r="608" spans="5:9" ht="15" customHeight="1">
      <c r="E608" s="60"/>
      <c r="F608" s="60"/>
      <c r="G608" s="60"/>
      <c r="H608" s="60"/>
      <c r="I608" s="60"/>
    </row>
    <row r="609" spans="5:9" ht="15" customHeight="1">
      <c r="E609" s="60"/>
      <c r="F609" s="60"/>
      <c r="G609" s="60"/>
      <c r="H609" s="60"/>
      <c r="I609" s="60"/>
    </row>
    <row r="610" spans="5:9" ht="15" customHeight="1">
      <c r="E610" s="60"/>
      <c r="F610" s="60"/>
      <c r="G610" s="60"/>
      <c r="H610" s="60"/>
      <c r="I610" s="60"/>
    </row>
    <row r="611" spans="5:9" ht="15" customHeight="1">
      <c r="E611" s="60"/>
      <c r="F611" s="60"/>
      <c r="G611" s="60"/>
      <c r="H611" s="60"/>
      <c r="I611" s="60"/>
    </row>
    <row r="612" spans="5:9" ht="15" customHeight="1">
      <c r="E612" s="60"/>
      <c r="F612" s="60"/>
      <c r="G612" s="60"/>
      <c r="H612" s="60"/>
      <c r="I612" s="60"/>
    </row>
    <row r="613" spans="5:9" ht="15" customHeight="1">
      <c r="E613" s="60"/>
      <c r="F613" s="60"/>
      <c r="G613" s="60"/>
      <c r="H613" s="60"/>
      <c r="I613" s="60"/>
    </row>
    <row r="614" spans="5:9" ht="15" customHeight="1">
      <c r="E614" s="60"/>
      <c r="F614" s="60"/>
      <c r="G614" s="60"/>
      <c r="H614" s="60"/>
      <c r="I614" s="60"/>
    </row>
    <row r="615" spans="5:9" ht="15" customHeight="1">
      <c r="E615" s="60"/>
      <c r="F615" s="60"/>
      <c r="G615" s="60"/>
      <c r="H615" s="60"/>
      <c r="I615" s="60"/>
    </row>
    <row r="616" spans="5:9" ht="15" customHeight="1">
      <c r="E616" s="60"/>
      <c r="F616" s="60"/>
      <c r="G616" s="60"/>
      <c r="H616" s="60"/>
      <c r="I616" s="60"/>
    </row>
    <row r="617" spans="5:9" ht="15" customHeight="1">
      <c r="E617" s="60"/>
      <c r="F617" s="60"/>
      <c r="G617" s="60"/>
      <c r="H617" s="60"/>
      <c r="I617" s="60"/>
    </row>
    <row r="618" spans="5:9" ht="15" customHeight="1">
      <c r="E618" s="60"/>
      <c r="F618" s="60"/>
      <c r="G618" s="60"/>
      <c r="H618" s="60"/>
      <c r="I618" s="60"/>
    </row>
    <row r="619" spans="5:9" ht="15" customHeight="1">
      <c r="E619" s="60"/>
      <c r="F619" s="60"/>
      <c r="G619" s="60"/>
      <c r="H619" s="60"/>
      <c r="I619" s="60"/>
    </row>
    <row r="620" spans="5:9" ht="15" customHeight="1">
      <c r="E620" s="60"/>
      <c r="F620" s="60"/>
      <c r="G620" s="60"/>
      <c r="H620" s="60"/>
      <c r="I620" s="60"/>
    </row>
    <row r="621" spans="5:9" ht="15" customHeight="1">
      <c r="E621" s="60"/>
      <c r="F621" s="60"/>
      <c r="G621" s="60"/>
      <c r="H621" s="60"/>
      <c r="I621" s="60"/>
    </row>
    <row r="622" spans="5:9" ht="15" customHeight="1">
      <c r="E622" s="60"/>
      <c r="F622" s="60"/>
      <c r="G622" s="60"/>
      <c r="H622" s="60"/>
      <c r="I622" s="60"/>
    </row>
    <row r="623" spans="5:9" ht="15" customHeight="1">
      <c r="E623" s="60"/>
      <c r="F623" s="60"/>
      <c r="G623" s="60"/>
      <c r="H623" s="60"/>
      <c r="I623" s="60"/>
    </row>
    <row r="624" spans="5:9" ht="15" customHeight="1">
      <c r="E624" s="60"/>
      <c r="F624" s="60"/>
      <c r="G624" s="60"/>
      <c r="H624" s="60"/>
      <c r="I624" s="60"/>
    </row>
    <row r="625" spans="5:9" ht="15" customHeight="1">
      <c r="E625" s="60"/>
      <c r="F625" s="60"/>
      <c r="G625" s="60"/>
      <c r="H625" s="60"/>
      <c r="I625" s="60"/>
    </row>
    <row r="626" spans="5:9" ht="15" customHeight="1">
      <c r="E626" s="60"/>
      <c r="F626" s="60"/>
      <c r="G626" s="60"/>
      <c r="H626" s="60"/>
      <c r="I626" s="60"/>
    </row>
    <row r="627" spans="5:9" ht="15" customHeight="1">
      <c r="E627" s="60"/>
      <c r="F627" s="60"/>
      <c r="G627" s="60"/>
      <c r="H627" s="60"/>
      <c r="I627" s="60"/>
    </row>
    <row r="628" spans="5:9" ht="15" customHeight="1">
      <c r="E628" s="60"/>
      <c r="F628" s="60"/>
      <c r="G628" s="60"/>
      <c r="H628" s="60"/>
      <c r="I628" s="60"/>
    </row>
    <row r="629" spans="5:9" ht="15" customHeight="1">
      <c r="E629" s="60"/>
      <c r="F629" s="60"/>
      <c r="G629" s="60"/>
      <c r="H629" s="60"/>
      <c r="I629" s="60"/>
    </row>
    <row r="630" spans="5:9" ht="15" customHeight="1">
      <c r="E630" s="60"/>
      <c r="F630" s="60"/>
      <c r="G630" s="60"/>
      <c r="H630" s="60"/>
      <c r="I630" s="60"/>
    </row>
    <row r="631" spans="5:9" ht="15" customHeight="1">
      <c r="E631" s="60"/>
      <c r="F631" s="60"/>
      <c r="G631" s="60"/>
      <c r="H631" s="60"/>
      <c r="I631" s="60"/>
    </row>
    <row r="632" spans="5:9" ht="15" customHeight="1">
      <c r="E632" s="60"/>
      <c r="F632" s="60"/>
      <c r="G632" s="60"/>
      <c r="H632" s="60"/>
      <c r="I632" s="60"/>
    </row>
    <row r="633" spans="5:9" ht="15" customHeight="1">
      <c r="E633" s="60"/>
      <c r="F633" s="60"/>
      <c r="G633" s="60"/>
      <c r="H633" s="60"/>
      <c r="I633" s="60"/>
    </row>
    <row r="634" spans="5:9" ht="15" customHeight="1">
      <c r="E634" s="60"/>
      <c r="F634" s="60"/>
      <c r="G634" s="60"/>
      <c r="H634" s="60"/>
      <c r="I634" s="60"/>
    </row>
    <row r="635" spans="5:9" ht="15" customHeight="1">
      <c r="E635" s="60"/>
      <c r="F635" s="60"/>
      <c r="G635" s="60"/>
      <c r="H635" s="60"/>
      <c r="I635" s="60"/>
    </row>
    <row r="636" spans="5:9" ht="15" customHeight="1">
      <c r="E636" s="60"/>
      <c r="F636" s="60"/>
      <c r="G636" s="60"/>
      <c r="H636" s="60"/>
      <c r="I636" s="60"/>
    </row>
    <row r="637" spans="5:9" ht="15" customHeight="1">
      <c r="E637" s="60"/>
      <c r="F637" s="60"/>
      <c r="G637" s="60"/>
      <c r="H637" s="60"/>
      <c r="I637" s="60"/>
    </row>
    <row r="638" spans="5:9" ht="15" customHeight="1">
      <c r="E638" s="60"/>
      <c r="F638" s="60"/>
      <c r="G638" s="60"/>
      <c r="H638" s="60"/>
      <c r="I638" s="60"/>
    </row>
    <row r="639" spans="5:9" ht="15" customHeight="1">
      <c r="E639" s="60"/>
      <c r="F639" s="60"/>
      <c r="G639" s="60"/>
      <c r="H639" s="60"/>
      <c r="I639" s="60"/>
    </row>
    <row r="640" spans="5:9" ht="15" customHeight="1">
      <c r="E640" s="60"/>
      <c r="F640" s="60"/>
      <c r="G640" s="60"/>
      <c r="H640" s="60"/>
      <c r="I640" s="60"/>
    </row>
    <row r="641" spans="5:9" ht="15" customHeight="1">
      <c r="E641" s="60"/>
      <c r="F641" s="60"/>
      <c r="G641" s="60"/>
      <c r="H641" s="60"/>
      <c r="I641" s="60"/>
    </row>
    <row r="642" spans="5:9" ht="15" customHeight="1">
      <c r="E642" s="60"/>
      <c r="F642" s="60"/>
      <c r="G642" s="60"/>
      <c r="H642" s="60"/>
      <c r="I642" s="60"/>
    </row>
    <row r="643" spans="5:9" ht="15" customHeight="1">
      <c r="E643" s="60"/>
      <c r="F643" s="60"/>
      <c r="G643" s="60"/>
      <c r="H643" s="60"/>
      <c r="I643" s="60"/>
    </row>
    <row r="644" spans="5:9" ht="15" customHeight="1">
      <c r="E644" s="60"/>
      <c r="F644" s="60"/>
      <c r="G644" s="60"/>
      <c r="H644" s="60"/>
      <c r="I644" s="60"/>
    </row>
    <row r="645" spans="5:9" ht="15" customHeight="1">
      <c r="E645" s="60"/>
      <c r="F645" s="60"/>
      <c r="G645" s="60"/>
      <c r="H645" s="60"/>
      <c r="I645" s="60"/>
    </row>
    <row r="646" spans="5:9" ht="15" customHeight="1">
      <c r="E646" s="60"/>
      <c r="F646" s="60"/>
      <c r="G646" s="60"/>
      <c r="H646" s="60"/>
      <c r="I646" s="60"/>
    </row>
    <row r="647" spans="5:9" ht="15" customHeight="1">
      <c r="E647" s="60"/>
      <c r="F647" s="60"/>
      <c r="G647" s="60"/>
      <c r="H647" s="60"/>
      <c r="I647" s="60"/>
    </row>
    <row r="648" spans="5:9" ht="15" customHeight="1">
      <c r="E648" s="60"/>
      <c r="F648" s="60"/>
      <c r="G648" s="60"/>
      <c r="H648" s="60"/>
      <c r="I648" s="60"/>
    </row>
    <row r="649" spans="5:9" ht="15" customHeight="1">
      <c r="E649" s="60"/>
      <c r="F649" s="60"/>
      <c r="G649" s="60"/>
      <c r="H649" s="60"/>
      <c r="I649" s="60"/>
    </row>
    <row r="650" spans="5:9" ht="15" customHeight="1">
      <c r="E650" s="60"/>
      <c r="F650" s="60"/>
      <c r="G650" s="60"/>
      <c r="H650" s="60"/>
      <c r="I650" s="60"/>
    </row>
    <row r="651" spans="5:9" ht="15" customHeight="1">
      <c r="E651" s="60"/>
      <c r="F651" s="60"/>
      <c r="G651" s="60"/>
      <c r="H651" s="60"/>
      <c r="I651" s="60"/>
    </row>
    <row r="652" spans="5:9" ht="15" customHeight="1">
      <c r="E652" s="60"/>
      <c r="F652" s="60"/>
      <c r="G652" s="60"/>
      <c r="H652" s="60"/>
      <c r="I652" s="60"/>
    </row>
    <row r="653" spans="5:9" ht="15" customHeight="1">
      <c r="E653" s="60"/>
      <c r="F653" s="60"/>
      <c r="G653" s="60"/>
      <c r="H653" s="60"/>
      <c r="I653" s="60"/>
    </row>
    <row r="654" spans="5:9" ht="15" customHeight="1">
      <c r="E654" s="60"/>
      <c r="F654" s="60"/>
      <c r="G654" s="60"/>
      <c r="H654" s="60"/>
      <c r="I654" s="60"/>
    </row>
    <row r="655" spans="5:9" ht="15" customHeight="1">
      <c r="E655" s="60"/>
      <c r="F655" s="60"/>
      <c r="G655" s="60"/>
      <c r="H655" s="60"/>
      <c r="I655" s="60"/>
    </row>
    <row r="656" spans="5:9" ht="15" customHeight="1">
      <c r="E656" s="60"/>
      <c r="F656" s="60"/>
      <c r="G656" s="60"/>
      <c r="H656" s="60"/>
      <c r="I656" s="60"/>
    </row>
    <row r="657" spans="5:9" ht="15" customHeight="1">
      <c r="E657" s="60"/>
      <c r="F657" s="60"/>
      <c r="G657" s="60"/>
      <c r="H657" s="60"/>
      <c r="I657" s="60"/>
    </row>
    <row r="658" spans="5:9" ht="15" customHeight="1">
      <c r="E658" s="60"/>
      <c r="F658" s="60"/>
      <c r="G658" s="60"/>
      <c r="H658" s="60"/>
      <c r="I658" s="60"/>
    </row>
    <row r="659" spans="5:9" ht="15" customHeight="1">
      <c r="E659" s="60"/>
      <c r="F659" s="60"/>
      <c r="G659" s="60"/>
      <c r="H659" s="60"/>
      <c r="I659" s="60"/>
    </row>
    <row r="660" spans="5:9" ht="15" customHeight="1">
      <c r="E660" s="60"/>
      <c r="F660" s="60"/>
      <c r="G660" s="60"/>
      <c r="H660" s="60"/>
      <c r="I660" s="60"/>
    </row>
    <row r="661" spans="5:9" ht="15" customHeight="1">
      <c r="E661" s="60"/>
      <c r="F661" s="60"/>
      <c r="G661" s="60"/>
      <c r="H661" s="60"/>
      <c r="I661" s="60"/>
    </row>
    <row r="662" spans="5:9" ht="15" customHeight="1">
      <c r="E662" s="60"/>
      <c r="F662" s="60"/>
      <c r="G662" s="60"/>
      <c r="H662" s="60"/>
      <c r="I662" s="60"/>
    </row>
    <row r="663" spans="5:9" ht="15" customHeight="1">
      <c r="E663" s="60"/>
      <c r="F663" s="60"/>
      <c r="G663" s="60"/>
      <c r="H663" s="60"/>
      <c r="I663" s="60"/>
    </row>
    <row r="664" spans="5:9" ht="15" customHeight="1">
      <c r="E664" s="60"/>
      <c r="F664" s="60"/>
      <c r="G664" s="60"/>
      <c r="H664" s="60"/>
      <c r="I664" s="60"/>
    </row>
    <row r="665" spans="5:9" ht="15" customHeight="1">
      <c r="E665" s="60"/>
      <c r="F665" s="60"/>
      <c r="G665" s="60"/>
      <c r="H665" s="60"/>
      <c r="I665" s="60"/>
    </row>
    <row r="666" spans="5:9" ht="15" customHeight="1">
      <c r="E666" s="60"/>
      <c r="F666" s="60"/>
      <c r="G666" s="60"/>
      <c r="H666" s="60"/>
      <c r="I666" s="60"/>
    </row>
    <row r="667" spans="5:9" ht="15" customHeight="1">
      <c r="E667" s="60"/>
      <c r="F667" s="60"/>
      <c r="G667" s="60"/>
      <c r="H667" s="60"/>
      <c r="I667" s="60"/>
    </row>
    <row r="668" spans="5:9" ht="15" customHeight="1">
      <c r="E668" s="60"/>
      <c r="F668" s="60"/>
      <c r="G668" s="60"/>
      <c r="H668" s="60"/>
      <c r="I668" s="60"/>
    </row>
    <row r="669" spans="5:9" ht="15" customHeight="1">
      <c r="E669" s="60"/>
      <c r="F669" s="60"/>
      <c r="G669" s="60"/>
      <c r="H669" s="60"/>
      <c r="I669" s="60"/>
    </row>
    <row r="670" spans="5:9" ht="15" customHeight="1">
      <c r="E670" s="60"/>
      <c r="F670" s="60"/>
      <c r="G670" s="60"/>
      <c r="H670" s="60"/>
      <c r="I670" s="60"/>
    </row>
    <row r="671" spans="5:9" ht="15" customHeight="1">
      <c r="E671" s="60"/>
      <c r="F671" s="60"/>
      <c r="G671" s="60"/>
      <c r="H671" s="60"/>
      <c r="I671" s="60"/>
    </row>
    <row r="672" spans="5:9" ht="15" customHeight="1">
      <c r="E672" s="60"/>
      <c r="F672" s="60"/>
      <c r="G672" s="60"/>
      <c r="H672" s="60"/>
      <c r="I672" s="60"/>
    </row>
    <row r="673" spans="5:9" ht="15" customHeight="1">
      <c r="E673" s="60"/>
      <c r="F673" s="60"/>
      <c r="G673" s="60"/>
      <c r="H673" s="60"/>
      <c r="I673" s="60"/>
    </row>
    <row r="674" spans="5:9" ht="15" customHeight="1">
      <c r="E674" s="60"/>
      <c r="F674" s="60"/>
      <c r="G674" s="60"/>
      <c r="H674" s="60"/>
      <c r="I674" s="60"/>
    </row>
    <row r="675" spans="5:9" ht="15" customHeight="1">
      <c r="E675" s="60"/>
      <c r="F675" s="60"/>
      <c r="G675" s="60"/>
      <c r="H675" s="60"/>
      <c r="I675" s="60"/>
    </row>
    <row r="676" spans="5:9" ht="15" customHeight="1">
      <c r="E676" s="60"/>
      <c r="F676" s="60"/>
      <c r="G676" s="60"/>
      <c r="H676" s="60"/>
      <c r="I676" s="60"/>
    </row>
    <row r="677" spans="5:9" ht="15" customHeight="1">
      <c r="E677" s="60"/>
      <c r="F677" s="60"/>
      <c r="G677" s="60"/>
      <c r="H677" s="60"/>
      <c r="I677" s="60"/>
    </row>
    <row r="678" spans="5:9" ht="15" customHeight="1">
      <c r="E678" s="60"/>
      <c r="F678" s="60"/>
      <c r="G678" s="60"/>
      <c r="H678" s="60"/>
      <c r="I678" s="60"/>
    </row>
    <row r="679" spans="5:9" ht="15" customHeight="1">
      <c r="E679" s="60"/>
      <c r="F679" s="60"/>
      <c r="G679" s="60"/>
      <c r="H679" s="60"/>
      <c r="I679" s="60"/>
    </row>
    <row r="680" spans="5:9" ht="15" customHeight="1">
      <c r="E680" s="60"/>
      <c r="F680" s="60"/>
      <c r="G680" s="60"/>
      <c r="H680" s="60"/>
      <c r="I680" s="60"/>
    </row>
    <row r="681" spans="5:9" ht="15" customHeight="1">
      <c r="E681" s="60"/>
      <c r="F681" s="60"/>
      <c r="G681" s="60"/>
      <c r="H681" s="60"/>
      <c r="I681" s="60"/>
    </row>
    <row r="682" spans="5:9" ht="15" customHeight="1">
      <c r="E682" s="60"/>
      <c r="F682" s="60"/>
      <c r="G682" s="60"/>
      <c r="H682" s="60"/>
      <c r="I682" s="60"/>
    </row>
    <row r="683" spans="5:9" ht="15" customHeight="1">
      <c r="E683" s="60"/>
      <c r="F683" s="60"/>
      <c r="G683" s="60"/>
      <c r="H683" s="60"/>
      <c r="I683" s="60"/>
    </row>
    <row r="684" spans="5:9" ht="15" customHeight="1">
      <c r="E684" s="60"/>
      <c r="F684" s="60"/>
      <c r="G684" s="60"/>
      <c r="H684" s="60"/>
      <c r="I684" s="60"/>
    </row>
    <row r="685" spans="5:9" ht="15" customHeight="1">
      <c r="E685" s="60"/>
      <c r="F685" s="60"/>
      <c r="G685" s="60"/>
      <c r="H685" s="60"/>
      <c r="I685" s="60"/>
    </row>
    <row r="686" spans="5:9" ht="15" customHeight="1">
      <c r="E686" s="60"/>
      <c r="F686" s="60"/>
      <c r="G686" s="60"/>
      <c r="H686" s="60"/>
      <c r="I686" s="60"/>
    </row>
    <row r="687" spans="5:9" ht="15" customHeight="1">
      <c r="E687" s="60"/>
      <c r="F687" s="60"/>
      <c r="G687" s="60"/>
      <c r="H687" s="60"/>
      <c r="I687" s="60"/>
    </row>
    <row r="688" spans="5:9" ht="15" customHeight="1">
      <c r="E688" s="60"/>
      <c r="F688" s="60"/>
      <c r="G688" s="60"/>
      <c r="H688" s="60"/>
      <c r="I688" s="60"/>
    </row>
    <row r="689" spans="5:9" ht="15" customHeight="1">
      <c r="E689" s="60"/>
      <c r="F689" s="60"/>
      <c r="G689" s="60"/>
      <c r="H689" s="60"/>
      <c r="I689" s="60"/>
    </row>
    <row r="690" spans="5:9" ht="15" customHeight="1">
      <c r="E690" s="60"/>
      <c r="F690" s="60"/>
      <c r="G690" s="60"/>
      <c r="H690" s="60"/>
      <c r="I690" s="60"/>
    </row>
    <row r="691" spans="5:9" ht="15" customHeight="1">
      <c r="E691" s="60"/>
      <c r="F691" s="60"/>
      <c r="G691" s="60"/>
      <c r="H691" s="60"/>
      <c r="I691" s="60"/>
    </row>
    <row r="692" spans="5:9" ht="15" customHeight="1">
      <c r="E692" s="60"/>
      <c r="F692" s="60"/>
      <c r="G692" s="60"/>
      <c r="H692" s="60"/>
      <c r="I692" s="60"/>
    </row>
    <row r="693" spans="5:9" ht="15" customHeight="1">
      <c r="E693" s="60"/>
      <c r="F693" s="60"/>
      <c r="G693" s="60"/>
      <c r="H693" s="60"/>
      <c r="I693" s="60"/>
    </row>
    <row r="694" spans="5:9" ht="15" customHeight="1">
      <c r="E694" s="60"/>
      <c r="F694" s="60"/>
      <c r="G694" s="60"/>
      <c r="H694" s="60"/>
      <c r="I694" s="60"/>
    </row>
    <row r="695" spans="5:9" ht="15" customHeight="1">
      <c r="E695" s="60"/>
      <c r="F695" s="60"/>
      <c r="G695" s="60"/>
      <c r="H695" s="60"/>
      <c r="I695" s="60"/>
    </row>
    <row r="696" spans="5:9" ht="15" customHeight="1">
      <c r="E696" s="60"/>
      <c r="F696" s="60"/>
      <c r="G696" s="60"/>
      <c r="H696" s="60"/>
      <c r="I696" s="60"/>
    </row>
    <row r="697" spans="5:9" ht="15" customHeight="1">
      <c r="E697" s="60"/>
      <c r="F697" s="60"/>
      <c r="G697" s="60"/>
      <c r="H697" s="60"/>
      <c r="I697" s="60"/>
    </row>
    <row r="698" spans="5:9" ht="15" customHeight="1">
      <c r="E698" s="60"/>
      <c r="F698" s="60"/>
      <c r="G698" s="60"/>
      <c r="H698" s="60"/>
      <c r="I698" s="60"/>
    </row>
    <row r="699" spans="5:9" ht="15" customHeight="1">
      <c r="E699" s="60"/>
      <c r="F699" s="60"/>
      <c r="G699" s="60"/>
      <c r="H699" s="60"/>
      <c r="I699" s="60"/>
    </row>
    <row r="700" spans="5:9" ht="15" customHeight="1">
      <c r="E700" s="60"/>
      <c r="F700" s="60"/>
      <c r="G700" s="60"/>
      <c r="H700" s="60"/>
      <c r="I700" s="60"/>
    </row>
    <row r="701" spans="5:9" ht="15" customHeight="1">
      <c r="E701" s="60"/>
      <c r="F701" s="60"/>
      <c r="G701" s="60"/>
      <c r="H701" s="60"/>
      <c r="I701" s="60"/>
    </row>
    <row r="702" spans="5:9" ht="15" customHeight="1">
      <c r="E702" s="60"/>
      <c r="F702" s="60"/>
      <c r="G702" s="60"/>
      <c r="H702" s="60"/>
      <c r="I702" s="60"/>
    </row>
    <row r="703" spans="5:9" ht="15" customHeight="1">
      <c r="E703" s="60"/>
      <c r="F703" s="60"/>
      <c r="G703" s="60"/>
      <c r="H703" s="60"/>
      <c r="I703" s="60"/>
    </row>
    <row r="704" spans="5:9" ht="15" customHeight="1">
      <c r="E704" s="60"/>
      <c r="F704" s="60"/>
      <c r="G704" s="60"/>
      <c r="H704" s="60"/>
      <c r="I704" s="60"/>
    </row>
    <row r="705" spans="5:9" ht="15" customHeight="1">
      <c r="E705" s="60"/>
      <c r="F705" s="60"/>
      <c r="G705" s="60"/>
      <c r="H705" s="60"/>
      <c r="I705" s="60"/>
    </row>
    <row r="706" spans="5:9" ht="15" customHeight="1">
      <c r="E706" s="60"/>
      <c r="F706" s="60"/>
      <c r="G706" s="60"/>
      <c r="H706" s="60"/>
      <c r="I706" s="60"/>
    </row>
    <row r="707" spans="5:9" ht="15" customHeight="1">
      <c r="E707" s="60"/>
      <c r="F707" s="60"/>
      <c r="G707" s="60"/>
      <c r="H707" s="60"/>
      <c r="I707" s="60"/>
    </row>
    <row r="708" spans="5:9" ht="15" customHeight="1">
      <c r="E708" s="60"/>
      <c r="F708" s="60"/>
      <c r="G708" s="60"/>
      <c r="H708" s="60"/>
      <c r="I708" s="60"/>
    </row>
    <row r="709" spans="5:9" ht="15" customHeight="1">
      <c r="E709" s="60"/>
      <c r="F709" s="60"/>
      <c r="G709" s="60"/>
      <c r="H709" s="60"/>
      <c r="I709" s="60"/>
    </row>
    <row r="710" spans="5:9" ht="15" customHeight="1">
      <c r="E710" s="60"/>
      <c r="F710" s="60"/>
      <c r="G710" s="60"/>
      <c r="H710" s="60"/>
      <c r="I710" s="60"/>
    </row>
    <row r="711" spans="5:9" ht="15" customHeight="1">
      <c r="E711" s="60"/>
      <c r="F711" s="60"/>
      <c r="G711" s="60"/>
      <c r="H711" s="60"/>
      <c r="I711" s="60"/>
    </row>
    <row r="712" spans="5:9" ht="15" customHeight="1">
      <c r="E712" s="60"/>
      <c r="F712" s="60"/>
      <c r="G712" s="60"/>
      <c r="H712" s="60"/>
      <c r="I712" s="60"/>
    </row>
    <row r="713" spans="5:9" ht="15" customHeight="1">
      <c r="E713" s="60"/>
      <c r="F713" s="60"/>
      <c r="G713" s="60"/>
      <c r="H713" s="60"/>
      <c r="I713" s="60"/>
    </row>
    <row r="714" spans="5:9" ht="15" customHeight="1">
      <c r="E714" s="60"/>
      <c r="F714" s="60"/>
      <c r="G714" s="60"/>
      <c r="H714" s="60"/>
      <c r="I714" s="60"/>
    </row>
    <row r="715" spans="5:9" ht="15" customHeight="1">
      <c r="E715" s="60"/>
      <c r="F715" s="60"/>
      <c r="G715" s="60"/>
      <c r="H715" s="60"/>
      <c r="I715" s="60"/>
    </row>
    <row r="716" spans="5:9" ht="15" customHeight="1">
      <c r="E716" s="60"/>
      <c r="F716" s="60"/>
      <c r="G716" s="60"/>
      <c r="H716" s="60"/>
      <c r="I716" s="60"/>
    </row>
    <row r="717" spans="5:9" ht="15" customHeight="1">
      <c r="E717" s="60"/>
      <c r="F717" s="60"/>
      <c r="G717" s="60"/>
      <c r="H717" s="60"/>
      <c r="I717" s="60"/>
    </row>
    <row r="718" spans="5:9" ht="15" customHeight="1">
      <c r="E718" s="60"/>
      <c r="F718" s="60"/>
      <c r="G718" s="60"/>
      <c r="H718" s="60"/>
      <c r="I718" s="60"/>
    </row>
    <row r="719" spans="5:9" ht="15" customHeight="1">
      <c r="E719" s="60"/>
      <c r="F719" s="60"/>
      <c r="G719" s="60"/>
      <c r="H719" s="60"/>
      <c r="I719" s="60"/>
    </row>
    <row r="720" spans="5:9" ht="15" customHeight="1">
      <c r="E720" s="60"/>
      <c r="F720" s="60"/>
      <c r="G720" s="60"/>
      <c r="H720" s="60"/>
      <c r="I720" s="60"/>
    </row>
    <row r="721" spans="5:9" ht="15" customHeight="1">
      <c r="E721" s="60"/>
      <c r="F721" s="60"/>
      <c r="G721" s="60"/>
      <c r="H721" s="60"/>
      <c r="I721" s="60"/>
    </row>
    <row r="722" spans="5:9" ht="15" customHeight="1">
      <c r="E722" s="60"/>
      <c r="F722" s="60"/>
      <c r="G722" s="60"/>
      <c r="H722" s="60"/>
      <c r="I722" s="60"/>
    </row>
    <row r="723" spans="5:9" ht="15" customHeight="1">
      <c r="E723" s="60"/>
      <c r="F723" s="60"/>
      <c r="G723" s="60"/>
      <c r="H723" s="60"/>
      <c r="I723" s="60"/>
    </row>
    <row r="724" spans="5:9" ht="15" customHeight="1">
      <c r="E724" s="60"/>
      <c r="F724" s="60"/>
      <c r="G724" s="60"/>
      <c r="H724" s="60"/>
      <c r="I724" s="60"/>
    </row>
    <row r="725" spans="5:9" ht="15" customHeight="1">
      <c r="E725" s="60"/>
      <c r="F725" s="60"/>
      <c r="G725" s="60"/>
      <c r="H725" s="60"/>
      <c r="I725" s="60"/>
    </row>
    <row r="726" spans="5:9" ht="15" customHeight="1">
      <c r="E726" s="60"/>
      <c r="F726" s="60"/>
      <c r="G726" s="60"/>
      <c r="H726" s="60"/>
      <c r="I726" s="60"/>
    </row>
    <row r="727" spans="5:9" ht="15" customHeight="1">
      <c r="E727" s="60"/>
      <c r="F727" s="60"/>
      <c r="G727" s="60"/>
      <c r="H727" s="60"/>
      <c r="I727" s="60"/>
    </row>
    <row r="728" spans="5:9" ht="15" customHeight="1">
      <c r="E728" s="60"/>
      <c r="F728" s="60"/>
      <c r="G728" s="60"/>
      <c r="H728" s="60"/>
      <c r="I728" s="60"/>
    </row>
    <row r="729" spans="5:9" ht="15" customHeight="1">
      <c r="E729" s="60"/>
      <c r="F729" s="60"/>
      <c r="G729" s="60"/>
      <c r="H729" s="60"/>
      <c r="I729" s="60"/>
    </row>
    <row r="730" spans="5:9" ht="15" customHeight="1">
      <c r="E730" s="60"/>
      <c r="F730" s="60"/>
      <c r="G730" s="60"/>
      <c r="H730" s="60"/>
      <c r="I730" s="60"/>
    </row>
    <row r="731" spans="5:9" ht="15" customHeight="1">
      <c r="E731" s="60"/>
      <c r="F731" s="60"/>
      <c r="G731" s="60"/>
      <c r="H731" s="60"/>
      <c r="I731" s="60"/>
    </row>
    <row r="732" spans="5:9" ht="15" customHeight="1">
      <c r="E732" s="60"/>
      <c r="F732" s="60"/>
      <c r="G732" s="60"/>
      <c r="H732" s="60"/>
      <c r="I732" s="60"/>
    </row>
    <row r="733" spans="5:9" ht="15" customHeight="1">
      <c r="E733" s="60"/>
      <c r="F733" s="60"/>
      <c r="G733" s="60"/>
      <c r="H733" s="60"/>
      <c r="I733" s="60"/>
    </row>
    <row r="734" spans="5:9" ht="15" customHeight="1">
      <c r="E734" s="60"/>
      <c r="F734" s="60"/>
      <c r="G734" s="60"/>
      <c r="H734" s="60"/>
      <c r="I734" s="60"/>
    </row>
    <row r="735" spans="5:9" ht="15" customHeight="1">
      <c r="E735" s="60"/>
      <c r="F735" s="60"/>
      <c r="G735" s="60"/>
      <c r="H735" s="60"/>
      <c r="I735" s="60"/>
    </row>
    <row r="736" spans="5:9" ht="15" customHeight="1">
      <c r="E736" s="60"/>
      <c r="F736" s="60"/>
      <c r="G736" s="60"/>
      <c r="H736" s="60"/>
      <c r="I736" s="60"/>
    </row>
    <row r="737" spans="5:9" ht="15" customHeight="1">
      <c r="E737" s="60"/>
      <c r="F737" s="60"/>
      <c r="G737" s="60"/>
      <c r="H737" s="60"/>
      <c r="I737" s="60"/>
    </row>
    <row r="738" spans="5:9" ht="15" customHeight="1">
      <c r="E738" s="60"/>
      <c r="F738" s="60"/>
      <c r="G738" s="60"/>
      <c r="H738" s="60"/>
      <c r="I738" s="60"/>
    </row>
    <row r="739" spans="5:9" ht="15" customHeight="1">
      <c r="E739" s="60"/>
      <c r="F739" s="60"/>
      <c r="G739" s="60"/>
      <c r="H739" s="60"/>
      <c r="I739" s="60"/>
    </row>
    <row r="740" spans="5:9" ht="15" customHeight="1">
      <c r="E740" s="60"/>
      <c r="F740" s="60"/>
      <c r="G740" s="60"/>
      <c r="H740" s="60"/>
      <c r="I740" s="60"/>
    </row>
    <row r="741" spans="5:9" ht="15" customHeight="1">
      <c r="E741" s="60"/>
      <c r="F741" s="60"/>
      <c r="G741" s="60"/>
      <c r="H741" s="60"/>
      <c r="I741" s="60"/>
    </row>
    <row r="742" spans="5:9" ht="15" customHeight="1">
      <c r="E742" s="60"/>
      <c r="F742" s="60"/>
      <c r="G742" s="60"/>
      <c r="H742" s="60"/>
      <c r="I742" s="60"/>
    </row>
    <row r="743" spans="5:9" ht="15" customHeight="1">
      <c r="E743" s="60"/>
      <c r="F743" s="60"/>
      <c r="G743" s="60"/>
      <c r="H743" s="60"/>
      <c r="I743" s="60"/>
    </row>
    <row r="744" spans="5:9" ht="15" customHeight="1">
      <c r="E744" s="60"/>
      <c r="F744" s="60"/>
      <c r="G744" s="60"/>
      <c r="H744" s="60"/>
      <c r="I744" s="60"/>
    </row>
    <row r="745" spans="5:9" ht="15" customHeight="1">
      <c r="E745" s="60"/>
      <c r="F745" s="60"/>
      <c r="G745" s="60"/>
      <c r="H745" s="60"/>
      <c r="I745" s="60"/>
    </row>
    <row r="746" spans="5:9" ht="15" customHeight="1">
      <c r="E746" s="60"/>
      <c r="F746" s="60"/>
      <c r="G746" s="60"/>
      <c r="H746" s="60"/>
      <c r="I746" s="60"/>
    </row>
    <row r="747" spans="5:9" ht="15" customHeight="1">
      <c r="E747" s="60"/>
      <c r="F747" s="60"/>
      <c r="G747" s="60"/>
      <c r="H747" s="60"/>
      <c r="I747" s="60"/>
    </row>
    <row r="748" spans="5:9" ht="15" customHeight="1">
      <c r="E748" s="60"/>
      <c r="F748" s="60"/>
      <c r="G748" s="60"/>
      <c r="H748" s="60"/>
      <c r="I748" s="60"/>
    </row>
    <row r="749" spans="5:9" ht="15" customHeight="1">
      <c r="E749" s="60"/>
      <c r="F749" s="60"/>
      <c r="G749" s="60"/>
      <c r="H749" s="60"/>
      <c r="I749" s="60"/>
    </row>
    <row r="750" spans="5:9" ht="15" customHeight="1">
      <c r="E750" s="60"/>
      <c r="F750" s="60"/>
      <c r="G750" s="60"/>
      <c r="H750" s="60"/>
      <c r="I750" s="60"/>
    </row>
    <row r="751" spans="5:9" ht="15" customHeight="1">
      <c r="E751" s="60"/>
      <c r="F751" s="60"/>
      <c r="G751" s="60"/>
      <c r="H751" s="60"/>
      <c r="I751" s="60"/>
    </row>
    <row r="752" spans="5:9" ht="15" customHeight="1">
      <c r="E752" s="60"/>
      <c r="F752" s="60"/>
      <c r="G752" s="60"/>
      <c r="H752" s="60"/>
      <c r="I752" s="60"/>
    </row>
    <row r="753" spans="5:9" ht="15" customHeight="1">
      <c r="E753" s="60"/>
      <c r="F753" s="60"/>
      <c r="G753" s="60"/>
      <c r="H753" s="60"/>
      <c r="I753" s="60"/>
    </row>
    <row r="754" spans="5:9" ht="15" customHeight="1">
      <c r="E754" s="60"/>
      <c r="F754" s="60"/>
      <c r="G754" s="60"/>
      <c r="H754" s="60"/>
      <c r="I754" s="60"/>
    </row>
    <row r="755" spans="5:9" ht="15" customHeight="1">
      <c r="E755" s="60"/>
      <c r="F755" s="60"/>
      <c r="G755" s="60"/>
      <c r="H755" s="60"/>
      <c r="I755" s="60"/>
    </row>
    <row r="756" spans="5:9" ht="15" customHeight="1">
      <c r="E756" s="60"/>
      <c r="F756" s="60"/>
      <c r="G756" s="60"/>
      <c r="H756" s="60"/>
      <c r="I756" s="60"/>
    </row>
    <row r="757" spans="5:9" ht="15" customHeight="1">
      <c r="E757" s="60"/>
      <c r="F757" s="60"/>
      <c r="G757" s="60"/>
      <c r="H757" s="60"/>
      <c r="I757" s="60"/>
    </row>
    <row r="758" spans="5:9" ht="15" customHeight="1">
      <c r="E758" s="60"/>
      <c r="F758" s="60"/>
      <c r="G758" s="60"/>
      <c r="H758" s="60"/>
      <c r="I758" s="60"/>
    </row>
    <row r="759" spans="5:9" ht="15" customHeight="1">
      <c r="E759" s="60"/>
      <c r="F759" s="60"/>
      <c r="G759" s="60"/>
      <c r="H759" s="60"/>
      <c r="I759" s="60"/>
    </row>
    <row r="760" spans="5:9" ht="15" customHeight="1">
      <c r="E760" s="60"/>
      <c r="F760" s="60"/>
      <c r="G760" s="60"/>
      <c r="H760" s="60"/>
      <c r="I760" s="60"/>
    </row>
    <row r="761" spans="5:9" ht="15" customHeight="1">
      <c r="E761" s="60"/>
      <c r="F761" s="60"/>
      <c r="G761" s="60"/>
      <c r="H761" s="60"/>
      <c r="I761" s="60"/>
    </row>
    <row r="762" spans="5:9" ht="15" customHeight="1">
      <c r="E762" s="60"/>
      <c r="F762" s="60"/>
      <c r="G762" s="60"/>
      <c r="H762" s="60"/>
      <c r="I762" s="60"/>
    </row>
    <row r="763" spans="5:9" ht="15" customHeight="1">
      <c r="E763" s="60"/>
      <c r="F763" s="60"/>
      <c r="G763" s="60"/>
      <c r="H763" s="60"/>
      <c r="I763" s="60"/>
    </row>
    <row r="764" spans="5:9" ht="15" customHeight="1">
      <c r="E764" s="60"/>
      <c r="F764" s="60"/>
      <c r="G764" s="60"/>
      <c r="H764" s="60"/>
      <c r="I764" s="60"/>
    </row>
    <row r="765" spans="5:9" ht="15" customHeight="1">
      <c r="E765" s="60"/>
      <c r="F765" s="60"/>
      <c r="G765" s="60"/>
      <c r="H765" s="60"/>
      <c r="I765" s="60"/>
    </row>
    <row r="766" spans="5:9" ht="15" customHeight="1">
      <c r="E766" s="60"/>
      <c r="F766" s="60"/>
      <c r="G766" s="60"/>
      <c r="H766" s="60"/>
      <c r="I766" s="60"/>
    </row>
    <row r="767" spans="5:9" ht="15" customHeight="1">
      <c r="E767" s="60"/>
      <c r="F767" s="60"/>
      <c r="G767" s="60"/>
      <c r="H767" s="60"/>
      <c r="I767" s="60"/>
    </row>
    <row r="768" spans="5:9" ht="15" customHeight="1">
      <c r="E768" s="60"/>
      <c r="F768" s="60"/>
      <c r="G768" s="60"/>
      <c r="H768" s="60"/>
      <c r="I768" s="60"/>
    </row>
    <row r="769" spans="5:9" ht="15" customHeight="1">
      <c r="E769" s="60"/>
      <c r="F769" s="60"/>
      <c r="G769" s="60"/>
      <c r="H769" s="60"/>
      <c r="I769" s="60"/>
    </row>
    <row r="770" spans="5:9" ht="15" customHeight="1">
      <c r="E770" s="60"/>
      <c r="F770" s="60"/>
      <c r="G770" s="60"/>
      <c r="H770" s="60"/>
      <c r="I770" s="60"/>
    </row>
    <row r="771" spans="5:9" ht="15" customHeight="1">
      <c r="E771" s="60"/>
      <c r="F771" s="60"/>
      <c r="G771" s="60"/>
      <c r="H771" s="60"/>
      <c r="I771" s="60"/>
    </row>
    <row r="772" spans="5:9" ht="15" customHeight="1">
      <c r="E772" s="60"/>
      <c r="F772" s="60"/>
      <c r="G772" s="60"/>
      <c r="H772" s="60"/>
      <c r="I772" s="60"/>
    </row>
    <row r="773" spans="5:9" ht="15" customHeight="1">
      <c r="E773" s="60"/>
      <c r="F773" s="60"/>
      <c r="G773" s="60"/>
      <c r="H773" s="60"/>
      <c r="I773" s="60"/>
    </row>
    <row r="774" spans="5:9" ht="15" customHeight="1">
      <c r="E774" s="60"/>
      <c r="F774" s="60"/>
      <c r="G774" s="60"/>
      <c r="H774" s="60"/>
      <c r="I774" s="60"/>
    </row>
    <row r="775" spans="5:9" ht="15" customHeight="1">
      <c r="E775" s="60"/>
      <c r="F775" s="60"/>
      <c r="G775" s="60"/>
      <c r="H775" s="60"/>
      <c r="I775" s="60"/>
    </row>
    <row r="776" spans="5:9" ht="15" customHeight="1">
      <c r="E776" s="60"/>
      <c r="F776" s="60"/>
      <c r="G776" s="60"/>
      <c r="H776" s="60"/>
      <c r="I776" s="60"/>
    </row>
    <row r="777" spans="5:9" ht="15" customHeight="1">
      <c r="E777" s="60"/>
      <c r="F777" s="60"/>
      <c r="G777" s="60"/>
      <c r="H777" s="60"/>
      <c r="I777" s="60"/>
    </row>
    <row r="778" spans="5:9" ht="15" customHeight="1">
      <c r="E778" s="60"/>
      <c r="F778" s="60"/>
      <c r="G778" s="60"/>
      <c r="H778" s="60"/>
      <c r="I778" s="60"/>
    </row>
    <row r="779" spans="5:9" ht="15" customHeight="1">
      <c r="E779" s="60"/>
      <c r="F779" s="60"/>
      <c r="G779" s="60"/>
      <c r="H779" s="60"/>
      <c r="I779" s="60"/>
    </row>
    <row r="780" spans="5:9" ht="15" customHeight="1">
      <c r="E780" s="60"/>
      <c r="F780" s="60"/>
      <c r="G780" s="60"/>
      <c r="H780" s="60"/>
      <c r="I780" s="60"/>
    </row>
    <row r="781" spans="5:9" ht="15" customHeight="1">
      <c r="E781" s="60"/>
      <c r="F781" s="60"/>
      <c r="G781" s="60"/>
      <c r="H781" s="60"/>
      <c r="I781" s="60"/>
    </row>
    <row r="782" spans="5:9" ht="15" customHeight="1">
      <c r="E782" s="60"/>
      <c r="F782" s="60"/>
      <c r="G782" s="60"/>
      <c r="H782" s="60"/>
      <c r="I782" s="60"/>
    </row>
    <row r="783" spans="5:9" ht="15" customHeight="1">
      <c r="E783" s="60"/>
      <c r="F783" s="60"/>
      <c r="G783" s="60"/>
      <c r="H783" s="60"/>
      <c r="I783" s="60"/>
    </row>
    <row r="784" spans="5:9" ht="15" customHeight="1">
      <c r="E784" s="60"/>
      <c r="F784" s="60"/>
      <c r="G784" s="60"/>
      <c r="H784" s="60"/>
      <c r="I784" s="60"/>
    </row>
    <row r="785" spans="5:9" ht="15" customHeight="1">
      <c r="E785" s="60"/>
      <c r="F785" s="60"/>
      <c r="G785" s="60"/>
      <c r="H785" s="60"/>
      <c r="I785" s="60"/>
    </row>
    <row r="786" spans="5:9" ht="15" customHeight="1">
      <c r="E786" s="60"/>
      <c r="F786" s="60"/>
      <c r="G786" s="60"/>
      <c r="H786" s="60"/>
      <c r="I786" s="60"/>
    </row>
    <row r="787" spans="5:9" ht="15" customHeight="1">
      <c r="E787" s="60"/>
      <c r="F787" s="60"/>
      <c r="G787" s="60"/>
      <c r="H787" s="60"/>
      <c r="I787" s="60"/>
    </row>
    <row r="788" spans="5:9" ht="15" customHeight="1">
      <c r="E788" s="60"/>
      <c r="F788" s="60"/>
      <c r="G788" s="60"/>
      <c r="H788" s="60"/>
      <c r="I788" s="60"/>
    </row>
    <row r="789" spans="5:9" ht="15" customHeight="1">
      <c r="E789" s="60"/>
      <c r="F789" s="60"/>
      <c r="G789" s="60"/>
      <c r="H789" s="60"/>
      <c r="I789" s="60"/>
    </row>
    <row r="790" spans="5:9" ht="15" customHeight="1">
      <c r="E790" s="60"/>
      <c r="F790" s="60"/>
      <c r="G790" s="60"/>
      <c r="H790" s="60"/>
      <c r="I790" s="60"/>
    </row>
    <row r="791" spans="5:9" ht="15" customHeight="1">
      <c r="E791" s="60"/>
      <c r="F791" s="60"/>
      <c r="G791" s="60"/>
      <c r="H791" s="60"/>
      <c r="I791" s="60"/>
    </row>
    <row r="792" spans="5:9" ht="15" customHeight="1">
      <c r="E792" s="60"/>
      <c r="F792" s="60"/>
      <c r="G792" s="60"/>
      <c r="H792" s="60"/>
      <c r="I792" s="60"/>
    </row>
    <row r="793" spans="5:9" ht="15" customHeight="1">
      <c r="E793" s="60"/>
      <c r="F793" s="60"/>
      <c r="G793" s="60"/>
      <c r="H793" s="60"/>
      <c r="I793" s="60"/>
    </row>
    <row r="794" spans="5:9" ht="15" customHeight="1">
      <c r="E794" s="60"/>
      <c r="F794" s="60"/>
      <c r="G794" s="60"/>
      <c r="H794" s="60"/>
      <c r="I794" s="60"/>
    </row>
    <row r="795" spans="5:9" ht="15" customHeight="1">
      <c r="E795" s="60"/>
      <c r="F795" s="60"/>
      <c r="G795" s="60"/>
      <c r="H795" s="60"/>
      <c r="I795" s="60"/>
    </row>
    <row r="796" spans="5:9" ht="15" customHeight="1">
      <c r="E796" s="60"/>
      <c r="F796" s="60"/>
      <c r="G796" s="60"/>
      <c r="H796" s="60"/>
      <c r="I796" s="60"/>
    </row>
    <row r="797" spans="5:9" ht="15" customHeight="1">
      <c r="E797" s="60"/>
      <c r="F797" s="60"/>
      <c r="G797" s="60"/>
      <c r="H797" s="60"/>
      <c r="I797" s="60"/>
    </row>
    <row r="798" spans="5:9" ht="15" customHeight="1">
      <c r="E798" s="60"/>
      <c r="F798" s="60"/>
      <c r="G798" s="60"/>
      <c r="H798" s="60"/>
      <c r="I798" s="60"/>
    </row>
    <row r="799" spans="5:9" ht="15" customHeight="1">
      <c r="E799" s="60"/>
      <c r="F799" s="60"/>
      <c r="G799" s="60"/>
      <c r="H799" s="60"/>
      <c r="I799" s="60"/>
    </row>
    <row r="800" spans="5:9" ht="15" customHeight="1">
      <c r="E800" s="60"/>
      <c r="F800" s="60"/>
      <c r="G800" s="60"/>
      <c r="H800" s="60"/>
      <c r="I800" s="60"/>
    </row>
    <row r="801" spans="5:9" ht="15" customHeight="1">
      <c r="E801" s="60"/>
      <c r="F801" s="60"/>
      <c r="G801" s="60"/>
      <c r="H801" s="60"/>
      <c r="I801" s="60"/>
    </row>
    <row r="802" spans="5:9" ht="15" customHeight="1">
      <c r="E802" s="60"/>
      <c r="F802" s="60"/>
      <c r="G802" s="60"/>
      <c r="H802" s="60"/>
      <c r="I802" s="60"/>
    </row>
    <row r="803" spans="5:9" ht="15" customHeight="1">
      <c r="E803" s="60"/>
      <c r="F803" s="60"/>
      <c r="G803" s="60"/>
      <c r="H803" s="60"/>
      <c r="I803" s="60"/>
    </row>
    <row r="804" spans="5:9" ht="15" customHeight="1">
      <c r="E804" s="60"/>
      <c r="F804" s="60"/>
      <c r="G804" s="60"/>
      <c r="H804" s="60"/>
      <c r="I804" s="60"/>
    </row>
    <row r="805" spans="5:9" ht="15" customHeight="1">
      <c r="E805" s="60"/>
      <c r="F805" s="60"/>
      <c r="G805" s="60"/>
      <c r="H805" s="60"/>
      <c r="I805" s="60"/>
    </row>
    <row r="806" spans="5:9" ht="15" customHeight="1">
      <c r="E806" s="60"/>
      <c r="F806" s="60"/>
      <c r="G806" s="60"/>
      <c r="H806" s="60"/>
      <c r="I806" s="60"/>
    </row>
    <row r="807" spans="5:9" ht="15" customHeight="1">
      <c r="E807" s="60"/>
      <c r="F807" s="60"/>
      <c r="G807" s="60"/>
      <c r="H807" s="60"/>
      <c r="I807" s="60"/>
    </row>
    <row r="808" spans="5:9" ht="15" customHeight="1">
      <c r="E808" s="60"/>
      <c r="F808" s="60"/>
      <c r="G808" s="60"/>
      <c r="H808" s="60"/>
      <c r="I808" s="60"/>
    </row>
    <row r="809" spans="5:9" ht="15" customHeight="1">
      <c r="E809" s="60"/>
      <c r="F809" s="60"/>
      <c r="G809" s="60"/>
      <c r="H809" s="60"/>
      <c r="I809" s="60"/>
    </row>
    <row r="810" spans="5:9" ht="15" customHeight="1">
      <c r="E810" s="60"/>
      <c r="F810" s="60"/>
      <c r="G810" s="60"/>
      <c r="H810" s="60"/>
      <c r="I810" s="60"/>
    </row>
    <row r="811" spans="5:9" ht="15" customHeight="1">
      <c r="E811" s="60"/>
      <c r="F811" s="60"/>
      <c r="G811" s="60"/>
      <c r="H811" s="60"/>
      <c r="I811" s="60"/>
    </row>
    <row r="812" spans="5:9" ht="15" customHeight="1">
      <c r="E812" s="60"/>
      <c r="F812" s="60"/>
      <c r="G812" s="60"/>
      <c r="H812" s="60"/>
      <c r="I812" s="60"/>
    </row>
    <row r="813" spans="5:9" ht="15" customHeight="1">
      <c r="E813" s="60"/>
      <c r="F813" s="60"/>
      <c r="G813" s="60"/>
      <c r="H813" s="60"/>
      <c r="I813" s="60"/>
    </row>
    <row r="814" spans="5:9" ht="15" customHeight="1">
      <c r="E814" s="60"/>
      <c r="F814" s="60"/>
      <c r="G814" s="60"/>
      <c r="H814" s="60"/>
      <c r="I814" s="60"/>
    </row>
    <row r="815" spans="5:9" ht="15" customHeight="1">
      <c r="E815" s="60"/>
      <c r="F815" s="60"/>
      <c r="G815" s="60"/>
      <c r="H815" s="60"/>
      <c r="I815" s="60"/>
    </row>
    <row r="816" spans="5:9" ht="15" customHeight="1">
      <c r="E816" s="60"/>
      <c r="F816" s="60"/>
      <c r="G816" s="60"/>
      <c r="H816" s="60"/>
      <c r="I816" s="60"/>
    </row>
    <row r="817" spans="5:9" ht="15" customHeight="1">
      <c r="E817" s="60"/>
      <c r="F817" s="60"/>
      <c r="G817" s="60"/>
      <c r="H817" s="60"/>
      <c r="I817" s="60"/>
    </row>
    <row r="818" spans="5:9" ht="15" customHeight="1">
      <c r="E818" s="60"/>
      <c r="F818" s="60"/>
      <c r="G818" s="60"/>
      <c r="H818" s="60"/>
      <c r="I818" s="60"/>
    </row>
    <row r="819" spans="5:9" ht="15" customHeight="1">
      <c r="E819" s="60"/>
      <c r="F819" s="60"/>
      <c r="G819" s="60"/>
      <c r="H819" s="60"/>
      <c r="I819" s="60"/>
    </row>
    <row r="820" spans="5:9" ht="15" customHeight="1">
      <c r="E820" s="60"/>
      <c r="F820" s="60"/>
      <c r="G820" s="60"/>
      <c r="H820" s="60"/>
      <c r="I820" s="60"/>
    </row>
    <row r="821" spans="5:9" ht="15" customHeight="1">
      <c r="E821" s="60"/>
      <c r="F821" s="60"/>
      <c r="G821" s="60"/>
      <c r="H821" s="60"/>
      <c r="I821" s="60"/>
    </row>
    <row r="822" spans="5:9" ht="15" customHeight="1">
      <c r="E822" s="60"/>
      <c r="F822" s="60"/>
      <c r="G822" s="60"/>
      <c r="H822" s="60"/>
      <c r="I822" s="60"/>
    </row>
    <row r="823" spans="5:9" ht="15" customHeight="1">
      <c r="E823" s="60"/>
      <c r="F823" s="60"/>
      <c r="G823" s="60"/>
      <c r="H823" s="60"/>
      <c r="I823" s="60"/>
    </row>
    <row r="824" spans="5:9" ht="15" customHeight="1">
      <c r="E824" s="60"/>
      <c r="F824" s="60"/>
      <c r="G824" s="60"/>
      <c r="H824" s="60"/>
      <c r="I824" s="60"/>
    </row>
    <row r="825" spans="5:9" ht="15" customHeight="1">
      <c r="E825" s="60"/>
      <c r="F825" s="60"/>
      <c r="G825" s="60"/>
      <c r="H825" s="60"/>
      <c r="I825" s="60"/>
    </row>
    <row r="826" spans="5:9" ht="15" customHeight="1">
      <c r="E826" s="60"/>
      <c r="F826" s="60"/>
      <c r="G826" s="60"/>
      <c r="H826" s="60"/>
      <c r="I826" s="60"/>
    </row>
    <row r="827" spans="5:9" ht="15" customHeight="1">
      <c r="E827" s="60"/>
      <c r="F827" s="60"/>
      <c r="G827" s="60"/>
      <c r="H827" s="60"/>
      <c r="I827" s="60"/>
    </row>
    <row r="828" spans="5:9" ht="15" customHeight="1">
      <c r="E828" s="60"/>
      <c r="F828" s="60"/>
      <c r="G828" s="60"/>
      <c r="H828" s="60"/>
      <c r="I828" s="60"/>
    </row>
    <row r="829" spans="5:9" ht="15" customHeight="1">
      <c r="E829" s="60"/>
      <c r="F829" s="60"/>
      <c r="G829" s="60"/>
      <c r="H829" s="60"/>
      <c r="I829" s="60"/>
    </row>
    <row r="830" spans="5:9" ht="15" customHeight="1">
      <c r="E830" s="60"/>
      <c r="F830" s="60"/>
      <c r="G830" s="60"/>
      <c r="H830" s="60"/>
      <c r="I830" s="60"/>
    </row>
    <row r="831" spans="5:9" ht="15" customHeight="1">
      <c r="E831" s="60"/>
      <c r="F831" s="60"/>
      <c r="G831" s="60"/>
      <c r="H831" s="60"/>
      <c r="I831" s="60"/>
    </row>
    <row r="832" spans="5:9" ht="15" customHeight="1">
      <c r="E832" s="60"/>
      <c r="F832" s="60"/>
      <c r="G832" s="60"/>
      <c r="H832" s="60"/>
      <c r="I832" s="60"/>
    </row>
    <row r="833" spans="5:9" ht="15" customHeight="1">
      <c r="E833" s="60"/>
      <c r="F833" s="60"/>
      <c r="G833" s="60"/>
      <c r="H833" s="60"/>
      <c r="I833" s="60"/>
    </row>
    <row r="834" spans="5:9" ht="15" customHeight="1">
      <c r="E834" s="60"/>
      <c r="F834" s="60"/>
      <c r="G834" s="60"/>
      <c r="H834" s="60"/>
      <c r="I834" s="60"/>
    </row>
    <row r="835" spans="5:9" ht="15" customHeight="1">
      <c r="E835" s="60"/>
      <c r="F835" s="60"/>
      <c r="G835" s="60"/>
      <c r="H835" s="60"/>
      <c r="I835" s="60"/>
    </row>
    <row r="836" spans="5:9" ht="15" customHeight="1">
      <c r="E836" s="60"/>
      <c r="F836" s="60"/>
      <c r="G836" s="60"/>
      <c r="H836" s="60"/>
      <c r="I836" s="60"/>
    </row>
    <row r="837" spans="5:9" ht="15" customHeight="1">
      <c r="E837" s="60"/>
      <c r="F837" s="60"/>
      <c r="G837" s="60"/>
      <c r="H837" s="60"/>
      <c r="I837" s="60"/>
    </row>
    <row r="838" spans="5:9" ht="15" customHeight="1">
      <c r="E838" s="60"/>
      <c r="F838" s="60"/>
      <c r="G838" s="60"/>
      <c r="H838" s="60"/>
      <c r="I838" s="60"/>
    </row>
    <row r="839" spans="5:9" ht="15" customHeight="1">
      <c r="E839" s="60"/>
      <c r="F839" s="60"/>
      <c r="G839" s="60"/>
      <c r="H839" s="60"/>
      <c r="I839" s="60"/>
    </row>
    <row r="840" spans="5:9" ht="15" customHeight="1">
      <c r="E840" s="60"/>
      <c r="F840" s="60"/>
      <c r="G840" s="60"/>
      <c r="H840" s="60"/>
      <c r="I840" s="60"/>
    </row>
    <row r="841" spans="5:9" ht="15" customHeight="1">
      <c r="E841" s="60"/>
      <c r="F841" s="60"/>
      <c r="G841" s="60"/>
      <c r="H841" s="60"/>
      <c r="I841" s="60"/>
    </row>
    <row r="842" spans="5:9" ht="15" customHeight="1">
      <c r="E842" s="60"/>
      <c r="F842" s="60"/>
      <c r="G842" s="60"/>
      <c r="H842" s="60"/>
      <c r="I842" s="60"/>
    </row>
    <row r="843" spans="5:9" ht="15" customHeight="1">
      <c r="E843" s="60"/>
      <c r="F843" s="60"/>
      <c r="G843" s="60"/>
      <c r="H843" s="60"/>
      <c r="I843" s="60"/>
    </row>
    <row r="844" spans="5:9" ht="15" customHeight="1">
      <c r="E844" s="60"/>
      <c r="F844" s="60"/>
      <c r="G844" s="60"/>
      <c r="H844" s="60"/>
      <c r="I844" s="60"/>
    </row>
    <row r="845" spans="5:9" ht="15" customHeight="1">
      <c r="E845" s="60"/>
      <c r="F845" s="60"/>
      <c r="G845" s="60"/>
      <c r="H845" s="60"/>
      <c r="I845" s="60"/>
    </row>
    <row r="846" spans="5:9" ht="15" customHeight="1">
      <c r="E846" s="60"/>
      <c r="F846" s="60"/>
      <c r="G846" s="60"/>
      <c r="H846" s="60"/>
      <c r="I846" s="60"/>
    </row>
    <row r="847" spans="5:9" ht="15" customHeight="1">
      <c r="E847" s="60"/>
      <c r="F847" s="60"/>
      <c r="G847" s="60"/>
      <c r="H847" s="60"/>
      <c r="I847" s="60"/>
    </row>
    <row r="848" spans="5:9" ht="15" customHeight="1">
      <c r="E848" s="60"/>
      <c r="F848" s="60"/>
      <c r="G848" s="60"/>
      <c r="H848" s="60"/>
      <c r="I848" s="60"/>
    </row>
    <row r="849" spans="5:9" ht="15" customHeight="1">
      <c r="E849" s="60"/>
      <c r="F849" s="60"/>
      <c r="G849" s="60"/>
      <c r="H849" s="60"/>
      <c r="I849" s="60"/>
    </row>
    <row r="850" spans="5:9" ht="15" customHeight="1">
      <c r="E850" s="60"/>
      <c r="F850" s="60"/>
      <c r="G850" s="60"/>
      <c r="H850" s="60"/>
      <c r="I850" s="60"/>
    </row>
    <row r="851" spans="5:9" ht="15" customHeight="1">
      <c r="E851" s="60"/>
      <c r="F851" s="60"/>
      <c r="G851" s="60"/>
      <c r="H851" s="60"/>
      <c r="I851" s="60"/>
    </row>
    <row r="852" spans="5:9" ht="15" customHeight="1">
      <c r="E852" s="60"/>
      <c r="F852" s="60"/>
      <c r="G852" s="60"/>
      <c r="H852" s="60"/>
      <c r="I852" s="60"/>
    </row>
    <row r="853" spans="5:9" ht="15" customHeight="1">
      <c r="E853" s="60"/>
      <c r="F853" s="60"/>
      <c r="G853" s="60"/>
      <c r="H853" s="60"/>
      <c r="I853" s="60"/>
    </row>
    <row r="854" spans="5:9" ht="15" customHeight="1">
      <c r="E854" s="60"/>
      <c r="F854" s="60"/>
      <c r="G854" s="60"/>
      <c r="H854" s="60"/>
      <c r="I854" s="60"/>
    </row>
    <row r="855" spans="5:9" ht="15" customHeight="1">
      <c r="E855" s="60"/>
      <c r="F855" s="60"/>
      <c r="G855" s="60"/>
      <c r="H855" s="60"/>
      <c r="I855" s="60"/>
    </row>
    <row r="856" spans="5:9" ht="15" customHeight="1">
      <c r="E856" s="60"/>
      <c r="F856" s="60"/>
      <c r="G856" s="60"/>
      <c r="H856" s="60"/>
      <c r="I856" s="60"/>
    </row>
    <row r="857" spans="5:9" ht="15" customHeight="1">
      <c r="E857" s="60"/>
      <c r="F857" s="60"/>
      <c r="G857" s="60"/>
      <c r="H857" s="60"/>
      <c r="I857" s="60"/>
    </row>
    <row r="858" spans="5:9" ht="15" customHeight="1">
      <c r="E858" s="60"/>
      <c r="F858" s="60"/>
      <c r="G858" s="60"/>
      <c r="H858" s="60"/>
      <c r="I858" s="60"/>
    </row>
    <row r="859" spans="5:9" ht="15" customHeight="1">
      <c r="E859" s="60"/>
      <c r="F859" s="60"/>
      <c r="G859" s="60"/>
      <c r="H859" s="60"/>
      <c r="I859" s="60"/>
    </row>
    <row r="860" spans="5:9" ht="15" customHeight="1">
      <c r="E860" s="60"/>
      <c r="F860" s="60"/>
      <c r="G860" s="60"/>
      <c r="H860" s="60"/>
      <c r="I860" s="60"/>
    </row>
    <row r="861" spans="5:9" ht="15" customHeight="1">
      <c r="E861" s="60"/>
      <c r="F861" s="60"/>
      <c r="G861" s="60"/>
      <c r="H861" s="60"/>
      <c r="I861" s="60"/>
    </row>
    <row r="862" spans="5:9" ht="15" customHeight="1">
      <c r="E862" s="60"/>
      <c r="F862" s="60"/>
      <c r="G862" s="60"/>
      <c r="H862" s="60"/>
      <c r="I862" s="60"/>
    </row>
    <row r="863" spans="5:9" ht="15" customHeight="1">
      <c r="E863" s="60"/>
      <c r="F863" s="60"/>
      <c r="G863" s="60"/>
      <c r="H863" s="60"/>
      <c r="I863" s="60"/>
    </row>
    <row r="864" spans="5:9" ht="15" customHeight="1">
      <c r="E864" s="60"/>
      <c r="F864" s="60"/>
      <c r="G864" s="60"/>
      <c r="H864" s="60"/>
      <c r="I864" s="60"/>
    </row>
    <row r="865" spans="5:9" ht="15" customHeight="1">
      <c r="E865" s="60"/>
      <c r="F865" s="60"/>
      <c r="G865" s="60"/>
      <c r="H865" s="60"/>
      <c r="I865" s="60"/>
    </row>
    <row r="866" spans="5:9" ht="15" customHeight="1">
      <c r="E866" s="60"/>
      <c r="F866" s="60"/>
      <c r="G866" s="60"/>
      <c r="H866" s="60"/>
      <c r="I866" s="60"/>
    </row>
    <row r="867" spans="5:9" ht="15" customHeight="1">
      <c r="E867" s="60"/>
      <c r="F867" s="60"/>
      <c r="G867" s="60"/>
      <c r="H867" s="60"/>
      <c r="I867" s="60"/>
    </row>
    <row r="868" spans="5:9" ht="15" customHeight="1">
      <c r="E868" s="60"/>
      <c r="F868" s="60"/>
      <c r="G868" s="60"/>
      <c r="H868" s="60"/>
      <c r="I868" s="60"/>
    </row>
    <row r="869" spans="5:9" ht="15" customHeight="1">
      <c r="E869" s="60"/>
      <c r="F869" s="60"/>
      <c r="G869" s="60"/>
      <c r="H869" s="60"/>
      <c r="I869" s="60"/>
    </row>
    <row r="870" spans="5:9" ht="15" customHeight="1">
      <c r="E870" s="60"/>
      <c r="F870" s="60"/>
      <c r="G870" s="60"/>
      <c r="H870" s="60"/>
      <c r="I870" s="60"/>
    </row>
    <row r="871" spans="5:9" ht="15" customHeight="1">
      <c r="E871" s="60"/>
      <c r="F871" s="60"/>
      <c r="G871" s="60"/>
      <c r="H871" s="60"/>
      <c r="I871" s="60"/>
    </row>
    <row r="872" spans="5:9" ht="15" customHeight="1">
      <c r="E872" s="60"/>
      <c r="F872" s="60"/>
      <c r="G872" s="60"/>
      <c r="H872" s="60"/>
      <c r="I872" s="60"/>
    </row>
    <row r="873" spans="5:9" ht="15" customHeight="1">
      <c r="E873" s="60"/>
      <c r="F873" s="60"/>
      <c r="G873" s="60"/>
      <c r="H873" s="60"/>
      <c r="I873" s="60"/>
    </row>
    <row r="874" spans="5:9" ht="15" customHeight="1">
      <c r="E874" s="60"/>
      <c r="F874" s="60"/>
      <c r="G874" s="60"/>
      <c r="H874" s="60"/>
      <c r="I874" s="60"/>
    </row>
    <row r="875" spans="5:9" ht="15" customHeight="1">
      <c r="E875" s="60"/>
      <c r="F875" s="60"/>
      <c r="G875" s="60"/>
      <c r="H875" s="60"/>
      <c r="I875" s="60"/>
    </row>
    <row r="876" spans="5:9" ht="15" customHeight="1">
      <c r="E876" s="60"/>
      <c r="F876" s="60"/>
      <c r="G876" s="60"/>
      <c r="H876" s="60"/>
      <c r="I876" s="60"/>
    </row>
    <row r="877" spans="5:9" ht="15" customHeight="1">
      <c r="E877" s="60"/>
      <c r="F877" s="60"/>
      <c r="G877" s="60"/>
      <c r="H877" s="60"/>
      <c r="I877" s="60"/>
    </row>
    <row r="878" spans="5:9" ht="15" customHeight="1">
      <c r="E878" s="60"/>
      <c r="F878" s="60"/>
      <c r="G878" s="60"/>
      <c r="H878" s="60"/>
      <c r="I878" s="60"/>
    </row>
    <row r="879" spans="5:9" ht="15" customHeight="1">
      <c r="E879" s="60"/>
      <c r="F879" s="60"/>
      <c r="G879" s="60"/>
      <c r="H879" s="60"/>
      <c r="I879" s="60"/>
    </row>
    <row r="880" spans="5:9" ht="15" customHeight="1">
      <c r="E880" s="60"/>
      <c r="F880" s="60"/>
      <c r="G880" s="60"/>
      <c r="H880" s="60"/>
      <c r="I880" s="60"/>
    </row>
    <row r="881" spans="5:9" ht="15" customHeight="1">
      <c r="E881" s="60"/>
      <c r="F881" s="60"/>
      <c r="G881" s="60"/>
      <c r="H881" s="60"/>
      <c r="I881" s="60"/>
    </row>
    <row r="882" spans="5:9" ht="15" customHeight="1">
      <c r="E882" s="60"/>
      <c r="F882" s="60"/>
      <c r="G882" s="60"/>
      <c r="H882" s="60"/>
      <c r="I882" s="60"/>
    </row>
    <row r="883" spans="5:9" ht="15" customHeight="1">
      <c r="E883" s="60"/>
      <c r="F883" s="60"/>
      <c r="G883" s="60"/>
      <c r="H883" s="60"/>
      <c r="I883" s="60"/>
    </row>
    <row r="884" spans="5:9" ht="15" customHeight="1">
      <c r="E884" s="60"/>
      <c r="F884" s="60"/>
      <c r="G884" s="60"/>
      <c r="H884" s="60"/>
      <c r="I884" s="60"/>
    </row>
    <row r="885" spans="5:9" ht="15" customHeight="1">
      <c r="E885" s="60"/>
      <c r="F885" s="60"/>
      <c r="G885" s="60"/>
      <c r="H885" s="60"/>
      <c r="I885" s="60"/>
    </row>
    <row r="886" spans="5:9" ht="15" customHeight="1">
      <c r="E886" s="60"/>
      <c r="F886" s="60"/>
      <c r="G886" s="60"/>
      <c r="H886" s="60"/>
      <c r="I886" s="60"/>
    </row>
    <row r="887" spans="5:9" ht="15" customHeight="1">
      <c r="E887" s="60"/>
      <c r="F887" s="60"/>
      <c r="G887" s="60"/>
      <c r="H887" s="60"/>
      <c r="I887" s="60"/>
    </row>
    <row r="888" spans="5:9" ht="15" customHeight="1">
      <c r="E888" s="60"/>
      <c r="F888" s="60"/>
      <c r="G888" s="60"/>
      <c r="H888" s="60"/>
      <c r="I888" s="60"/>
    </row>
    <row r="889" spans="5:9" ht="15" customHeight="1">
      <c r="E889" s="60"/>
      <c r="F889" s="60"/>
      <c r="G889" s="60"/>
      <c r="H889" s="60"/>
      <c r="I889" s="60"/>
    </row>
    <row r="890" spans="5:9" ht="15" customHeight="1">
      <c r="E890" s="60"/>
      <c r="F890" s="60"/>
      <c r="G890" s="60"/>
      <c r="H890" s="60"/>
      <c r="I890" s="60"/>
    </row>
    <row r="891" spans="5:9" ht="15" customHeight="1">
      <c r="E891" s="60"/>
      <c r="F891" s="60"/>
      <c r="G891" s="60"/>
      <c r="H891" s="60"/>
      <c r="I891" s="60"/>
    </row>
    <row r="892" spans="5:9" ht="15" customHeight="1">
      <c r="E892" s="60"/>
      <c r="F892" s="60"/>
      <c r="G892" s="60"/>
      <c r="H892" s="60"/>
      <c r="I892" s="60"/>
    </row>
    <row r="893" spans="5:9" ht="15" customHeight="1">
      <c r="E893" s="60"/>
      <c r="F893" s="60"/>
      <c r="G893" s="60"/>
      <c r="H893" s="60"/>
      <c r="I893" s="60"/>
    </row>
    <row r="894" spans="5:9" ht="15" customHeight="1">
      <c r="E894" s="60"/>
      <c r="F894" s="60"/>
      <c r="G894" s="60"/>
      <c r="H894" s="60"/>
      <c r="I894" s="60"/>
    </row>
    <row r="895" spans="5:9" ht="15" customHeight="1">
      <c r="E895" s="60"/>
      <c r="F895" s="60"/>
      <c r="G895" s="60"/>
      <c r="H895" s="60"/>
      <c r="I895" s="60"/>
    </row>
    <row r="896" spans="5:9" ht="15" customHeight="1">
      <c r="E896" s="60"/>
      <c r="F896" s="60"/>
      <c r="G896" s="60"/>
      <c r="H896" s="60"/>
      <c r="I896" s="60"/>
    </row>
    <row r="897" spans="5:9" ht="15" customHeight="1">
      <c r="E897" s="60"/>
      <c r="F897" s="60"/>
      <c r="G897" s="60"/>
      <c r="H897" s="60"/>
      <c r="I897" s="60"/>
    </row>
    <row r="898" spans="5:9" ht="15" customHeight="1">
      <c r="E898" s="60"/>
      <c r="F898" s="60"/>
      <c r="G898" s="60"/>
      <c r="H898" s="60"/>
      <c r="I898" s="60"/>
    </row>
    <row r="899" spans="5:9" ht="15" customHeight="1">
      <c r="E899" s="60"/>
      <c r="F899" s="60"/>
      <c r="G899" s="60"/>
      <c r="H899" s="60"/>
      <c r="I899" s="60"/>
    </row>
    <row r="900" spans="5:9" ht="15" customHeight="1">
      <c r="E900" s="60"/>
      <c r="F900" s="60"/>
      <c r="G900" s="60"/>
      <c r="H900" s="60"/>
      <c r="I900" s="60"/>
    </row>
    <row r="901" spans="5:9" ht="15" customHeight="1">
      <c r="E901" s="60"/>
      <c r="F901" s="60"/>
      <c r="G901" s="60"/>
      <c r="H901" s="60"/>
      <c r="I901" s="60"/>
    </row>
    <row r="902" spans="5:9" ht="15" customHeight="1">
      <c r="E902" s="60"/>
      <c r="F902" s="60"/>
      <c r="G902" s="60"/>
      <c r="H902" s="60"/>
      <c r="I902" s="60"/>
    </row>
    <row r="903" spans="5:9" ht="15" customHeight="1">
      <c r="E903" s="60"/>
      <c r="F903" s="60"/>
      <c r="G903" s="60"/>
      <c r="H903" s="60"/>
      <c r="I903" s="60"/>
    </row>
    <row r="904" spans="5:9" ht="15" customHeight="1">
      <c r="E904" s="60"/>
      <c r="F904" s="60"/>
      <c r="G904" s="60"/>
      <c r="H904" s="60"/>
      <c r="I904" s="60"/>
    </row>
    <row r="905" spans="5:9" ht="15" customHeight="1">
      <c r="E905" s="60"/>
      <c r="F905" s="60"/>
      <c r="G905" s="60"/>
      <c r="H905" s="60"/>
      <c r="I905" s="60"/>
    </row>
    <row r="906" spans="5:9" ht="15" customHeight="1">
      <c r="E906" s="60"/>
      <c r="F906" s="60"/>
      <c r="G906" s="60"/>
      <c r="H906" s="60"/>
      <c r="I906" s="60"/>
    </row>
    <row r="907" spans="5:9" ht="15" customHeight="1">
      <c r="E907" s="60"/>
      <c r="F907" s="60"/>
      <c r="G907" s="60"/>
      <c r="H907" s="60"/>
      <c r="I907" s="60"/>
    </row>
    <row r="908" spans="5:9" ht="15" customHeight="1">
      <c r="E908" s="60"/>
      <c r="F908" s="60"/>
      <c r="G908" s="60"/>
      <c r="H908" s="60"/>
      <c r="I908" s="60"/>
    </row>
    <row r="909" spans="5:9" ht="15" customHeight="1">
      <c r="E909" s="60"/>
      <c r="F909" s="60"/>
      <c r="G909" s="60"/>
      <c r="H909" s="60"/>
      <c r="I909" s="60"/>
    </row>
    <row r="910" spans="5:9" ht="15" customHeight="1">
      <c r="E910" s="60"/>
      <c r="F910" s="60"/>
      <c r="G910" s="60"/>
      <c r="H910" s="60"/>
      <c r="I910" s="60"/>
    </row>
    <row r="911" spans="5:9" ht="15" customHeight="1">
      <c r="E911" s="60"/>
      <c r="F911" s="60"/>
      <c r="G911" s="60"/>
      <c r="H911" s="60"/>
      <c r="I911" s="60"/>
    </row>
    <row r="912" spans="5:9" ht="15" customHeight="1">
      <c r="E912" s="60"/>
      <c r="F912" s="60"/>
      <c r="G912" s="60"/>
      <c r="H912" s="60"/>
      <c r="I912" s="60"/>
    </row>
    <row r="913" spans="5:9" ht="15" customHeight="1">
      <c r="E913" s="60"/>
      <c r="F913" s="60"/>
      <c r="G913" s="60"/>
      <c r="H913" s="60"/>
      <c r="I913" s="60"/>
    </row>
    <row r="914" spans="5:9" ht="15" customHeight="1">
      <c r="E914" s="60"/>
      <c r="F914" s="60"/>
      <c r="G914" s="60"/>
      <c r="H914" s="60"/>
      <c r="I914" s="60"/>
    </row>
    <row r="915" spans="5:9" ht="15" customHeight="1">
      <c r="E915" s="60"/>
      <c r="F915" s="60"/>
      <c r="G915" s="60"/>
      <c r="H915" s="60"/>
      <c r="I915" s="60"/>
    </row>
    <row r="916" spans="5:9" ht="15" customHeight="1">
      <c r="E916" s="60"/>
      <c r="F916" s="60"/>
      <c r="G916" s="60"/>
      <c r="H916" s="60"/>
      <c r="I916" s="60"/>
    </row>
    <row r="917" spans="5:9" ht="15" customHeight="1">
      <c r="E917" s="60"/>
      <c r="F917" s="60"/>
      <c r="G917" s="60"/>
      <c r="H917" s="60"/>
      <c r="I917" s="60"/>
    </row>
    <row r="918" spans="5:9" ht="15" customHeight="1">
      <c r="E918" s="60"/>
      <c r="F918" s="60"/>
      <c r="G918" s="60"/>
      <c r="H918" s="60"/>
      <c r="I918" s="60"/>
    </row>
    <row r="919" spans="5:9" ht="15" customHeight="1">
      <c r="E919" s="60"/>
      <c r="F919" s="60"/>
      <c r="G919" s="60"/>
      <c r="H919" s="60"/>
      <c r="I919" s="60"/>
    </row>
    <row r="920" spans="5:9" ht="15" customHeight="1">
      <c r="E920" s="60"/>
      <c r="F920" s="60"/>
      <c r="G920" s="60"/>
      <c r="H920" s="60"/>
      <c r="I920" s="60"/>
    </row>
    <row r="921" spans="5:9" ht="15" customHeight="1">
      <c r="E921" s="60"/>
      <c r="F921" s="60"/>
      <c r="G921" s="60"/>
      <c r="H921" s="60"/>
      <c r="I921" s="60"/>
    </row>
    <row r="922" spans="5:9" ht="15" customHeight="1">
      <c r="E922" s="60"/>
      <c r="F922" s="60"/>
      <c r="G922" s="60"/>
      <c r="H922" s="60"/>
      <c r="I922" s="60"/>
    </row>
    <row r="923" spans="5:9" ht="15" customHeight="1">
      <c r="E923" s="60"/>
      <c r="F923" s="60"/>
      <c r="G923" s="60"/>
      <c r="H923" s="60"/>
      <c r="I923" s="60"/>
    </row>
    <row r="924" spans="5:9" ht="15" customHeight="1">
      <c r="E924" s="60"/>
      <c r="F924" s="60"/>
      <c r="G924" s="60"/>
      <c r="H924" s="60"/>
      <c r="I924" s="60"/>
    </row>
    <row r="925" spans="5:9" ht="15" customHeight="1">
      <c r="E925" s="60"/>
      <c r="F925" s="60"/>
      <c r="G925" s="60"/>
      <c r="H925" s="60"/>
      <c r="I925" s="60"/>
    </row>
    <row r="926" spans="5:9" ht="15" customHeight="1">
      <c r="E926" s="60"/>
      <c r="F926" s="60"/>
      <c r="G926" s="60"/>
      <c r="H926" s="60"/>
      <c r="I926" s="60"/>
    </row>
    <row r="927" spans="5:9" ht="15" customHeight="1">
      <c r="E927" s="60"/>
      <c r="F927" s="60"/>
      <c r="G927" s="60"/>
      <c r="H927" s="60"/>
      <c r="I927" s="60"/>
    </row>
    <row r="928" spans="5:9" ht="15" customHeight="1">
      <c r="E928" s="60"/>
      <c r="F928" s="60"/>
      <c r="G928" s="60"/>
      <c r="H928" s="60"/>
      <c r="I928" s="60"/>
    </row>
    <row r="929" spans="5:9" ht="15" customHeight="1">
      <c r="E929" s="60"/>
      <c r="F929" s="60"/>
      <c r="G929" s="60"/>
      <c r="H929" s="60"/>
      <c r="I929" s="60"/>
    </row>
    <row r="930" spans="5:9" ht="15" customHeight="1">
      <c r="E930" s="60"/>
      <c r="F930" s="60"/>
      <c r="G930" s="60"/>
      <c r="H930" s="60"/>
      <c r="I930" s="60"/>
    </row>
    <row r="931" spans="5:9" ht="15" customHeight="1">
      <c r="E931" s="60"/>
      <c r="F931" s="60"/>
      <c r="G931" s="60"/>
      <c r="H931" s="60"/>
      <c r="I931" s="60"/>
    </row>
    <row r="932" spans="5:9" ht="15" customHeight="1">
      <c r="E932" s="60"/>
      <c r="F932" s="60"/>
      <c r="G932" s="60"/>
      <c r="H932" s="60"/>
      <c r="I932" s="60"/>
    </row>
    <row r="933" spans="5:9" ht="15" customHeight="1">
      <c r="E933" s="60"/>
      <c r="F933" s="60"/>
      <c r="G933" s="60"/>
      <c r="H933" s="60"/>
      <c r="I933" s="60"/>
    </row>
    <row r="934" spans="5:9" ht="15" customHeight="1">
      <c r="E934" s="60"/>
      <c r="F934" s="60"/>
      <c r="G934" s="60"/>
      <c r="H934" s="60"/>
      <c r="I934" s="60"/>
    </row>
    <row r="935" spans="5:9" ht="15" customHeight="1">
      <c r="E935" s="60"/>
      <c r="F935" s="60"/>
      <c r="G935" s="60"/>
      <c r="H935" s="60"/>
      <c r="I935" s="60"/>
    </row>
    <row r="936" spans="5:9" ht="15" customHeight="1">
      <c r="E936" s="60"/>
      <c r="F936" s="60"/>
      <c r="G936" s="60"/>
      <c r="H936" s="60"/>
      <c r="I936" s="60"/>
    </row>
    <row r="937" spans="5:9" ht="15" customHeight="1">
      <c r="E937" s="60"/>
      <c r="F937" s="60"/>
      <c r="G937" s="60"/>
      <c r="H937" s="60"/>
      <c r="I937" s="60"/>
    </row>
    <row r="938" spans="5:9" ht="15" customHeight="1">
      <c r="E938" s="60"/>
      <c r="F938" s="60"/>
      <c r="G938" s="60"/>
      <c r="H938" s="60"/>
      <c r="I938" s="60"/>
    </row>
    <row r="939" spans="5:9" ht="15" customHeight="1">
      <c r="E939" s="60"/>
      <c r="F939" s="60"/>
      <c r="G939" s="60"/>
      <c r="H939" s="60"/>
      <c r="I939" s="60"/>
    </row>
    <row r="940" spans="5:9" ht="15" customHeight="1">
      <c r="E940" s="60"/>
      <c r="F940" s="60"/>
      <c r="G940" s="60"/>
      <c r="H940" s="60"/>
      <c r="I940" s="60"/>
    </row>
    <row r="941" spans="5:9" ht="15" customHeight="1">
      <c r="E941" s="60"/>
      <c r="F941" s="60"/>
      <c r="G941" s="60"/>
      <c r="H941" s="60"/>
      <c r="I941" s="60"/>
    </row>
    <row r="942" spans="5:9" ht="15" customHeight="1">
      <c r="E942" s="60"/>
      <c r="F942" s="60"/>
      <c r="G942" s="60"/>
      <c r="H942" s="60"/>
      <c r="I942" s="60"/>
    </row>
    <row r="943" spans="5:9" ht="15" customHeight="1">
      <c r="E943" s="60"/>
      <c r="F943" s="60"/>
      <c r="G943" s="60"/>
      <c r="H943" s="60"/>
      <c r="I943" s="60"/>
    </row>
    <row r="944" spans="5:9" ht="15" customHeight="1">
      <c r="E944" s="60"/>
      <c r="F944" s="60"/>
      <c r="G944" s="60"/>
      <c r="H944" s="60"/>
      <c r="I944" s="60"/>
    </row>
    <row r="945" spans="5:9" ht="15" customHeight="1">
      <c r="E945" s="60"/>
      <c r="F945" s="60"/>
      <c r="G945" s="60"/>
      <c r="H945" s="60"/>
      <c r="I945" s="60"/>
    </row>
    <row r="946" spans="5:9" ht="15" customHeight="1">
      <c r="E946" s="60"/>
      <c r="F946" s="60"/>
      <c r="G946" s="60"/>
      <c r="H946" s="60"/>
      <c r="I946" s="60"/>
    </row>
    <row r="947" spans="5:9" ht="15" customHeight="1">
      <c r="E947" s="60"/>
      <c r="F947" s="60"/>
      <c r="G947" s="60"/>
      <c r="H947" s="60"/>
      <c r="I947" s="60"/>
    </row>
    <row r="948" spans="5:9" ht="15" customHeight="1">
      <c r="E948" s="60"/>
      <c r="F948" s="60"/>
      <c r="G948" s="60"/>
      <c r="H948" s="60"/>
      <c r="I948" s="60"/>
    </row>
    <row r="949" spans="5:9" ht="15" customHeight="1">
      <c r="E949" s="60"/>
      <c r="F949" s="60"/>
      <c r="G949" s="60"/>
      <c r="H949" s="60"/>
      <c r="I949" s="60"/>
    </row>
    <row r="950" spans="5:9" ht="15" customHeight="1">
      <c r="E950" s="60"/>
      <c r="F950" s="60"/>
      <c r="G950" s="60"/>
      <c r="H950" s="60"/>
      <c r="I950" s="60"/>
    </row>
    <row r="951" spans="5:9" ht="15" customHeight="1">
      <c r="E951" s="60"/>
      <c r="F951" s="60"/>
      <c r="G951" s="60"/>
      <c r="H951" s="60"/>
      <c r="I951" s="60"/>
    </row>
    <row r="952" spans="5:9" ht="15" customHeight="1">
      <c r="E952" s="60"/>
      <c r="F952" s="60"/>
      <c r="G952" s="60"/>
      <c r="H952" s="60"/>
      <c r="I952" s="60"/>
    </row>
    <row r="953" spans="5:9" ht="15" customHeight="1">
      <c r="E953" s="60"/>
      <c r="F953" s="60"/>
      <c r="G953" s="60"/>
      <c r="H953" s="60"/>
      <c r="I953" s="60"/>
    </row>
    <row r="954" spans="5:9" ht="15" customHeight="1">
      <c r="E954" s="60"/>
      <c r="F954" s="60"/>
      <c r="G954" s="60"/>
      <c r="H954" s="60"/>
      <c r="I954" s="60"/>
    </row>
    <row r="955" spans="5:9" ht="15" customHeight="1">
      <c r="E955" s="60"/>
      <c r="F955" s="60"/>
      <c r="G955" s="60"/>
      <c r="H955" s="60"/>
      <c r="I955" s="60"/>
    </row>
    <row r="956" spans="5:9" ht="15" customHeight="1">
      <c r="E956" s="60"/>
      <c r="F956" s="60"/>
      <c r="G956" s="60"/>
      <c r="H956" s="60"/>
      <c r="I956" s="60"/>
    </row>
    <row r="957" spans="5:9" ht="15" customHeight="1">
      <c r="E957" s="60"/>
      <c r="F957" s="60"/>
      <c r="G957" s="60"/>
      <c r="H957" s="60"/>
      <c r="I957" s="60"/>
    </row>
    <row r="958" spans="5:9" ht="15" customHeight="1">
      <c r="E958" s="60"/>
      <c r="F958" s="60"/>
      <c r="G958" s="60"/>
      <c r="H958" s="60"/>
      <c r="I958" s="60"/>
    </row>
    <row r="959" spans="5:9" ht="15" customHeight="1">
      <c r="E959" s="60"/>
      <c r="F959" s="60"/>
      <c r="G959" s="60"/>
      <c r="H959" s="60"/>
      <c r="I959" s="60"/>
    </row>
    <row r="960" spans="5:9" ht="15" customHeight="1">
      <c r="E960" s="60"/>
      <c r="F960" s="60"/>
      <c r="G960" s="60"/>
      <c r="H960" s="60"/>
      <c r="I960" s="60"/>
    </row>
    <row r="961" spans="5:9" ht="15" customHeight="1">
      <c r="E961" s="60"/>
      <c r="F961" s="60"/>
      <c r="G961" s="60"/>
      <c r="H961" s="60"/>
      <c r="I961" s="60"/>
    </row>
    <row r="962" spans="5:9" ht="15" customHeight="1">
      <c r="E962" s="60"/>
      <c r="F962" s="60"/>
      <c r="G962" s="60"/>
      <c r="H962" s="60"/>
      <c r="I962" s="60"/>
    </row>
    <row r="963" spans="5:9" ht="15" customHeight="1">
      <c r="E963" s="60"/>
      <c r="F963" s="60"/>
      <c r="G963" s="60"/>
      <c r="H963" s="60"/>
      <c r="I963" s="60"/>
    </row>
    <row r="964" spans="5:9" ht="15" customHeight="1">
      <c r="E964" s="60"/>
      <c r="F964" s="60"/>
      <c r="G964" s="60"/>
      <c r="H964" s="60"/>
      <c r="I964" s="60"/>
    </row>
    <row r="965" spans="5:9" ht="15" customHeight="1">
      <c r="E965" s="60"/>
      <c r="F965" s="60"/>
      <c r="G965" s="60"/>
      <c r="H965" s="60"/>
      <c r="I965" s="60"/>
    </row>
    <row r="966" spans="5:9" ht="15" customHeight="1">
      <c r="E966" s="60"/>
      <c r="F966" s="60"/>
      <c r="G966" s="60"/>
      <c r="H966" s="60"/>
      <c r="I966" s="60"/>
    </row>
    <row r="967" spans="5:9" ht="15" customHeight="1">
      <c r="E967" s="60"/>
      <c r="F967" s="60"/>
      <c r="G967" s="60"/>
      <c r="H967" s="60"/>
      <c r="I967" s="60"/>
    </row>
    <row r="968" spans="5:9" ht="15" customHeight="1">
      <c r="E968" s="60"/>
      <c r="F968" s="60"/>
      <c r="G968" s="60"/>
      <c r="H968" s="60"/>
      <c r="I968" s="60"/>
    </row>
    <row r="969" spans="5:9" ht="15" customHeight="1">
      <c r="E969" s="60"/>
      <c r="F969" s="60"/>
      <c r="G969" s="60"/>
      <c r="H969" s="60"/>
      <c r="I969" s="60"/>
    </row>
    <row r="970" spans="5:9" ht="15" customHeight="1">
      <c r="E970" s="60"/>
      <c r="F970" s="60"/>
      <c r="G970" s="60"/>
      <c r="H970" s="60"/>
      <c r="I970" s="60"/>
    </row>
    <row r="971" spans="5:9" ht="15" customHeight="1">
      <c r="E971" s="60"/>
      <c r="F971" s="60"/>
      <c r="G971" s="60"/>
      <c r="H971" s="60"/>
      <c r="I971" s="60"/>
    </row>
    <row r="972" spans="5:9" ht="15" customHeight="1">
      <c r="E972" s="60"/>
      <c r="F972" s="60"/>
      <c r="G972" s="60"/>
      <c r="H972" s="60"/>
      <c r="I972" s="60"/>
    </row>
    <row r="973" spans="5:9" ht="15" customHeight="1">
      <c r="E973" s="60"/>
      <c r="F973" s="60"/>
      <c r="G973" s="60"/>
      <c r="H973" s="60"/>
      <c r="I973" s="60"/>
    </row>
    <row r="974" spans="5:9" ht="15" customHeight="1">
      <c r="E974" s="60"/>
      <c r="F974" s="60"/>
      <c r="G974" s="60"/>
      <c r="H974" s="60"/>
      <c r="I974" s="60"/>
    </row>
    <row r="975" spans="5:9" ht="15" customHeight="1">
      <c r="E975" s="60"/>
      <c r="F975" s="60"/>
      <c r="G975" s="60"/>
      <c r="H975" s="60"/>
      <c r="I975" s="60"/>
    </row>
    <row r="976" spans="5:9" ht="15" customHeight="1">
      <c r="E976" s="60"/>
      <c r="F976" s="60"/>
      <c r="G976" s="60"/>
      <c r="H976" s="60"/>
      <c r="I976" s="60"/>
    </row>
    <row r="977" spans="5:9" ht="15" customHeight="1">
      <c r="E977" s="60"/>
      <c r="F977" s="60"/>
      <c r="G977" s="60"/>
      <c r="H977" s="60"/>
      <c r="I977" s="60"/>
    </row>
    <row r="978" spans="5:9" ht="15" customHeight="1">
      <c r="E978" s="60"/>
      <c r="F978" s="60"/>
      <c r="G978" s="60"/>
      <c r="H978" s="60"/>
      <c r="I978" s="60"/>
    </row>
    <row r="979" spans="5:9" ht="15" customHeight="1">
      <c r="E979" s="60"/>
      <c r="F979" s="60"/>
      <c r="G979" s="60"/>
      <c r="H979" s="60"/>
      <c r="I979" s="60"/>
    </row>
    <row r="980" spans="5:9" ht="15" customHeight="1">
      <c r="E980" s="60"/>
      <c r="F980" s="60"/>
      <c r="G980" s="60"/>
      <c r="H980" s="60"/>
      <c r="I980" s="60"/>
    </row>
    <row r="981" spans="5:9" ht="15" customHeight="1">
      <c r="E981" s="60"/>
      <c r="F981" s="60"/>
      <c r="G981" s="60"/>
      <c r="H981" s="60"/>
      <c r="I981" s="60"/>
    </row>
    <row r="982" spans="5:9" ht="15" customHeight="1">
      <c r="E982" s="60"/>
      <c r="F982" s="60"/>
      <c r="G982" s="60"/>
      <c r="H982" s="60"/>
      <c r="I982" s="60"/>
    </row>
    <row r="983" spans="5:9" ht="15" customHeight="1">
      <c r="E983" s="60"/>
      <c r="F983" s="60"/>
      <c r="G983" s="60"/>
      <c r="H983" s="60"/>
      <c r="I983" s="60"/>
    </row>
    <row r="984" spans="5:9" ht="15" customHeight="1">
      <c r="E984" s="60"/>
      <c r="F984" s="60"/>
      <c r="G984" s="60"/>
      <c r="H984" s="60"/>
      <c r="I984" s="60"/>
    </row>
    <row r="985" spans="5:9" ht="15" customHeight="1">
      <c r="E985" s="60"/>
      <c r="F985" s="60"/>
      <c r="G985" s="60"/>
      <c r="H985" s="60"/>
      <c r="I985" s="60"/>
    </row>
    <row r="986" spans="5:9" ht="15" customHeight="1">
      <c r="E986" s="60"/>
      <c r="F986" s="60"/>
      <c r="G986" s="60"/>
      <c r="H986" s="60"/>
      <c r="I986" s="60"/>
    </row>
    <row r="987" spans="5:9" ht="15" customHeight="1">
      <c r="E987" s="60"/>
      <c r="F987" s="60"/>
      <c r="G987" s="60"/>
      <c r="H987" s="60"/>
      <c r="I987" s="60"/>
    </row>
    <row r="988" spans="5:9" ht="15" customHeight="1">
      <c r="E988" s="60"/>
      <c r="F988" s="60"/>
      <c r="G988" s="60"/>
      <c r="H988" s="60"/>
      <c r="I988" s="60"/>
    </row>
    <row r="989" spans="5:9" ht="15" customHeight="1">
      <c r="E989" s="60"/>
      <c r="F989" s="60"/>
      <c r="G989" s="60"/>
      <c r="H989" s="60"/>
      <c r="I989" s="60"/>
    </row>
    <row r="990" spans="5:9" ht="15" customHeight="1">
      <c r="E990" s="60"/>
      <c r="F990" s="60"/>
      <c r="G990" s="60"/>
      <c r="H990" s="60"/>
      <c r="I990" s="60"/>
    </row>
    <row r="991" spans="5:9" ht="15" customHeight="1">
      <c r="E991" s="60"/>
      <c r="F991" s="60"/>
      <c r="G991" s="60"/>
      <c r="H991" s="60"/>
      <c r="I991" s="60"/>
    </row>
    <row r="992" spans="5:9" ht="15" customHeight="1">
      <c r="E992" s="60"/>
      <c r="F992" s="60"/>
      <c r="G992" s="60"/>
      <c r="H992" s="60"/>
      <c r="I992" s="60"/>
    </row>
    <row r="993" spans="5:9" ht="15" customHeight="1">
      <c r="E993" s="60"/>
      <c r="F993" s="60"/>
      <c r="G993" s="60"/>
      <c r="H993" s="60"/>
      <c r="I993" s="60"/>
    </row>
    <row r="994" spans="5:9" ht="15" customHeight="1">
      <c r="E994" s="60"/>
      <c r="F994" s="60"/>
      <c r="G994" s="60"/>
      <c r="H994" s="60"/>
      <c r="I994" s="60"/>
    </row>
    <row r="995" spans="5:9" ht="15" customHeight="1">
      <c r="E995" s="60"/>
      <c r="F995" s="60"/>
      <c r="G995" s="60"/>
      <c r="H995" s="60"/>
      <c r="I995" s="60"/>
    </row>
    <row r="996" spans="5:9" ht="15" customHeight="1">
      <c r="E996" s="60"/>
      <c r="F996" s="60"/>
      <c r="G996" s="60"/>
      <c r="H996" s="60"/>
      <c r="I996" s="60"/>
    </row>
    <row r="997" spans="5:9" ht="15" customHeight="1">
      <c r="E997" s="60"/>
      <c r="F997" s="60"/>
      <c r="G997" s="60"/>
      <c r="H997" s="60"/>
      <c r="I997" s="60"/>
    </row>
    <row r="998" spans="5:9" ht="15" customHeight="1">
      <c r="E998" s="60"/>
      <c r="F998" s="60"/>
      <c r="G998" s="60"/>
      <c r="H998" s="60"/>
      <c r="I998" s="60"/>
    </row>
    <row r="999" spans="5:9" ht="15" customHeight="1">
      <c r="E999" s="60"/>
      <c r="F999" s="60"/>
      <c r="G999" s="60"/>
      <c r="H999" s="60"/>
      <c r="I999" s="60"/>
    </row>
    <row r="1000" spans="5:9" ht="15" customHeight="1">
      <c r="E1000" s="60"/>
      <c r="F1000" s="60"/>
      <c r="G1000" s="60"/>
      <c r="H1000" s="60"/>
      <c r="I1000" s="60"/>
    </row>
    <row r="1001" spans="5:9" ht="15" customHeight="1">
      <c r="E1001" s="60"/>
      <c r="F1001" s="60"/>
      <c r="G1001" s="60"/>
      <c r="H1001" s="60"/>
      <c r="I1001" s="60"/>
    </row>
    <row r="1002" spans="5:9" ht="15" customHeight="1">
      <c r="E1002" s="60"/>
      <c r="F1002" s="60"/>
      <c r="G1002" s="60"/>
      <c r="H1002" s="60"/>
      <c r="I1002" s="60"/>
    </row>
    <row r="1003" spans="5:9" ht="15" customHeight="1">
      <c r="E1003" s="60"/>
      <c r="F1003" s="60"/>
      <c r="G1003" s="60"/>
      <c r="H1003" s="60"/>
      <c r="I1003" s="60"/>
    </row>
    <row r="1004" spans="5:9" ht="15" customHeight="1">
      <c r="E1004" s="60"/>
      <c r="F1004" s="60"/>
      <c r="G1004" s="60"/>
      <c r="H1004" s="60"/>
      <c r="I1004" s="60"/>
    </row>
    <row r="1005" spans="5:9" ht="15" customHeight="1">
      <c r="E1005" s="60"/>
      <c r="F1005" s="60"/>
      <c r="G1005" s="60"/>
      <c r="H1005" s="60"/>
      <c r="I1005" s="60"/>
    </row>
    <row r="1006" spans="5:9" ht="15" customHeight="1">
      <c r="E1006" s="60"/>
      <c r="F1006" s="60"/>
      <c r="G1006" s="60"/>
      <c r="H1006" s="60"/>
      <c r="I1006" s="60"/>
    </row>
    <row r="1007" spans="5:9" ht="15" customHeight="1">
      <c r="E1007" s="60"/>
      <c r="F1007" s="60"/>
      <c r="G1007" s="60"/>
      <c r="H1007" s="60"/>
      <c r="I1007" s="60"/>
    </row>
    <row r="1008" spans="5:9" ht="15" customHeight="1">
      <c r="E1008" s="60"/>
      <c r="F1008" s="60"/>
      <c r="G1008" s="60"/>
      <c r="H1008" s="60"/>
      <c r="I1008" s="60"/>
    </row>
    <row r="1009" spans="5:9" ht="15" customHeight="1">
      <c r="E1009" s="60"/>
      <c r="F1009" s="60"/>
      <c r="G1009" s="60"/>
      <c r="H1009" s="60"/>
      <c r="I1009" s="60"/>
    </row>
    <row r="1010" spans="5:9" ht="15" customHeight="1">
      <c r="E1010" s="60"/>
      <c r="F1010" s="60"/>
      <c r="G1010" s="60"/>
      <c r="H1010" s="60"/>
      <c r="I1010" s="60"/>
    </row>
    <row r="1011" spans="5:9" ht="15" customHeight="1">
      <c r="E1011" s="60"/>
      <c r="F1011" s="60"/>
      <c r="G1011" s="60"/>
      <c r="H1011" s="60"/>
      <c r="I1011" s="60"/>
    </row>
    <row r="1012" spans="5:9" ht="15" customHeight="1">
      <c r="E1012" s="60"/>
      <c r="F1012" s="60"/>
      <c r="G1012" s="60"/>
      <c r="H1012" s="60"/>
      <c r="I1012" s="60"/>
    </row>
    <row r="1013" spans="5:9" ht="15" customHeight="1">
      <c r="E1013" s="60"/>
      <c r="F1013" s="60"/>
      <c r="G1013" s="60"/>
      <c r="H1013" s="60"/>
      <c r="I1013" s="60"/>
    </row>
    <row r="1014" spans="5:9" ht="15" customHeight="1">
      <c r="E1014" s="60"/>
      <c r="F1014" s="60"/>
      <c r="G1014" s="60"/>
      <c r="H1014" s="60"/>
      <c r="I1014" s="60"/>
    </row>
    <row r="1015" spans="5:9" ht="15" customHeight="1">
      <c r="E1015" s="60"/>
      <c r="F1015" s="60"/>
      <c r="G1015" s="60"/>
      <c r="H1015" s="60"/>
      <c r="I1015" s="60"/>
    </row>
    <row r="1016" spans="5:9" ht="15" customHeight="1">
      <c r="E1016" s="60"/>
      <c r="F1016" s="60"/>
      <c r="G1016" s="60"/>
      <c r="H1016" s="60"/>
      <c r="I1016" s="60"/>
    </row>
    <row r="1017" spans="5:9" ht="15" customHeight="1">
      <c r="E1017" s="60"/>
      <c r="F1017" s="60"/>
      <c r="G1017" s="60"/>
      <c r="H1017" s="60"/>
      <c r="I1017" s="60"/>
    </row>
    <row r="1018" spans="5:9" ht="15" customHeight="1">
      <c r="E1018" s="60"/>
      <c r="F1018" s="60"/>
      <c r="G1018" s="60"/>
      <c r="H1018" s="60"/>
      <c r="I1018" s="60"/>
    </row>
    <row r="1019" spans="5:9" ht="15" customHeight="1">
      <c r="E1019" s="60"/>
      <c r="F1019" s="60"/>
      <c r="G1019" s="60"/>
      <c r="H1019" s="60"/>
      <c r="I1019" s="60"/>
    </row>
    <row r="1020" spans="5:9" ht="15" customHeight="1">
      <c r="E1020" s="60"/>
      <c r="F1020" s="60"/>
      <c r="G1020" s="60"/>
      <c r="H1020" s="60"/>
      <c r="I1020" s="60"/>
    </row>
    <row r="1021" spans="5:9" ht="15" customHeight="1">
      <c r="E1021" s="60"/>
      <c r="F1021" s="60"/>
      <c r="G1021" s="60"/>
      <c r="H1021" s="60"/>
      <c r="I1021" s="60"/>
    </row>
    <row r="1022" spans="5:9" ht="15" customHeight="1">
      <c r="E1022" s="60"/>
      <c r="F1022" s="60"/>
      <c r="G1022" s="60"/>
      <c r="H1022" s="60"/>
      <c r="I1022" s="60"/>
    </row>
    <row r="1023" spans="5:9" ht="15" customHeight="1">
      <c r="E1023" s="60"/>
      <c r="F1023" s="60"/>
      <c r="G1023" s="60"/>
      <c r="H1023" s="60"/>
      <c r="I1023" s="60"/>
    </row>
    <row r="1024" spans="5:9" ht="15" customHeight="1">
      <c r="E1024" s="60"/>
      <c r="F1024" s="60"/>
      <c r="G1024" s="60"/>
      <c r="H1024" s="60"/>
      <c r="I1024" s="60"/>
    </row>
    <row r="1025" spans="5:9" ht="15" customHeight="1">
      <c r="E1025" s="60"/>
      <c r="F1025" s="60"/>
      <c r="G1025" s="60"/>
      <c r="H1025" s="60"/>
      <c r="I1025" s="60"/>
    </row>
    <row r="1026" spans="5:9" ht="15" customHeight="1">
      <c r="E1026" s="60"/>
      <c r="F1026" s="60"/>
      <c r="G1026" s="60"/>
      <c r="H1026" s="60"/>
      <c r="I1026" s="60"/>
    </row>
    <row r="1027" spans="5:9" ht="15" customHeight="1">
      <c r="E1027" s="60"/>
      <c r="F1027" s="60"/>
      <c r="G1027" s="60"/>
      <c r="H1027" s="60"/>
      <c r="I1027" s="60"/>
    </row>
    <row r="1028" spans="5:9" ht="15" customHeight="1">
      <c r="E1028" s="60"/>
      <c r="F1028" s="60"/>
      <c r="G1028" s="60"/>
      <c r="H1028" s="60"/>
      <c r="I1028" s="60"/>
    </row>
    <row r="1029" spans="5:9" ht="15" customHeight="1">
      <c r="E1029" s="60"/>
      <c r="F1029" s="60"/>
      <c r="G1029" s="60"/>
      <c r="H1029" s="60"/>
      <c r="I1029" s="60"/>
    </row>
    <row r="1030" spans="5:9" ht="15" customHeight="1">
      <c r="E1030" s="60"/>
      <c r="F1030" s="60"/>
      <c r="G1030" s="60"/>
      <c r="H1030" s="60"/>
      <c r="I1030" s="60"/>
    </row>
    <row r="1031" spans="5:9" ht="15" customHeight="1">
      <c r="E1031" s="60"/>
      <c r="F1031" s="60"/>
      <c r="G1031" s="60"/>
      <c r="H1031" s="60"/>
      <c r="I1031" s="60"/>
    </row>
    <row r="1032" spans="5:9" ht="15" customHeight="1">
      <c r="E1032" s="60"/>
      <c r="F1032" s="60"/>
      <c r="G1032" s="60"/>
      <c r="H1032" s="60"/>
      <c r="I1032" s="60"/>
    </row>
    <row r="1033" spans="5:9" ht="15" customHeight="1">
      <c r="E1033" s="60"/>
      <c r="F1033" s="60"/>
      <c r="G1033" s="60"/>
      <c r="H1033" s="60"/>
      <c r="I1033" s="60"/>
    </row>
    <row r="1034" spans="5:9" ht="15" customHeight="1">
      <c r="E1034" s="60"/>
      <c r="F1034" s="60"/>
      <c r="G1034" s="60"/>
      <c r="H1034" s="60"/>
      <c r="I1034" s="60"/>
    </row>
    <row r="1035" spans="5:9" ht="15" customHeight="1">
      <c r="E1035" s="60"/>
      <c r="F1035" s="60"/>
      <c r="G1035" s="60"/>
      <c r="H1035" s="60"/>
      <c r="I1035" s="60"/>
    </row>
    <row r="1036" spans="5:9" ht="15" customHeight="1">
      <c r="E1036" s="60"/>
      <c r="F1036" s="60"/>
      <c r="G1036" s="60"/>
      <c r="H1036" s="60"/>
      <c r="I1036" s="60"/>
    </row>
    <row r="1037" spans="5:9" ht="15" customHeight="1">
      <c r="E1037" s="60"/>
      <c r="F1037" s="60"/>
      <c r="G1037" s="60"/>
      <c r="H1037" s="60"/>
      <c r="I1037" s="60"/>
    </row>
    <row r="1038" spans="5:9" ht="15" customHeight="1">
      <c r="E1038" s="60"/>
      <c r="F1038" s="60"/>
      <c r="G1038" s="60"/>
      <c r="H1038" s="60"/>
      <c r="I1038" s="60"/>
    </row>
    <row r="1039" spans="5:9" ht="15" customHeight="1">
      <c r="E1039" s="60"/>
      <c r="F1039" s="60"/>
      <c r="G1039" s="60"/>
      <c r="H1039" s="60"/>
      <c r="I1039" s="60"/>
    </row>
    <row r="1040" spans="5:9" ht="15" customHeight="1">
      <c r="E1040" s="60"/>
      <c r="F1040" s="60"/>
      <c r="G1040" s="60"/>
      <c r="H1040" s="60"/>
      <c r="I1040" s="60"/>
    </row>
    <row r="1041" spans="5:9" ht="15" customHeight="1">
      <c r="E1041" s="60"/>
      <c r="F1041" s="60"/>
      <c r="G1041" s="60"/>
      <c r="H1041" s="60"/>
      <c r="I1041" s="60"/>
    </row>
    <row r="1042" spans="5:9" ht="15" customHeight="1">
      <c r="E1042" s="60"/>
      <c r="F1042" s="60"/>
      <c r="G1042" s="60"/>
      <c r="H1042" s="60"/>
      <c r="I1042" s="60"/>
    </row>
    <row r="1043" spans="5:9" ht="15" customHeight="1">
      <c r="E1043" s="60"/>
      <c r="F1043" s="60"/>
      <c r="G1043" s="60"/>
      <c r="H1043" s="60"/>
      <c r="I1043" s="60"/>
    </row>
    <row r="1044" spans="5:9" ht="15" customHeight="1">
      <c r="E1044" s="60"/>
      <c r="F1044" s="60"/>
      <c r="G1044" s="60"/>
      <c r="H1044" s="60"/>
      <c r="I1044" s="60"/>
    </row>
    <row r="1045" spans="5:9" ht="15" customHeight="1">
      <c r="E1045" s="60"/>
      <c r="F1045" s="60"/>
      <c r="G1045" s="60"/>
      <c r="H1045" s="60"/>
      <c r="I1045" s="60"/>
    </row>
    <row r="1046" spans="5:9" ht="15" customHeight="1">
      <c r="E1046" s="60"/>
      <c r="F1046" s="60"/>
      <c r="G1046" s="60"/>
      <c r="H1046" s="60"/>
      <c r="I1046" s="60"/>
    </row>
    <row r="1047" spans="5:9" ht="15" customHeight="1">
      <c r="E1047" s="60"/>
      <c r="F1047" s="60"/>
      <c r="G1047" s="60"/>
      <c r="H1047" s="60"/>
      <c r="I1047" s="60"/>
    </row>
    <row r="1048" spans="5:9" ht="15" customHeight="1">
      <c r="E1048" s="60"/>
      <c r="F1048" s="60"/>
      <c r="G1048" s="60"/>
      <c r="H1048" s="60"/>
      <c r="I1048" s="60"/>
    </row>
    <row r="1049" spans="5:9" ht="15" customHeight="1">
      <c r="E1049" s="60"/>
      <c r="F1049" s="60"/>
      <c r="G1049" s="60"/>
      <c r="H1049" s="60"/>
      <c r="I1049" s="60"/>
    </row>
    <row r="1050" spans="5:9" ht="15" customHeight="1">
      <c r="E1050" s="60"/>
      <c r="F1050" s="60"/>
      <c r="G1050" s="60"/>
      <c r="H1050" s="60"/>
      <c r="I1050" s="60"/>
    </row>
    <row r="1051" spans="5:9" ht="15" customHeight="1">
      <c r="E1051" s="60"/>
      <c r="F1051" s="60"/>
      <c r="G1051" s="60"/>
      <c r="H1051" s="60"/>
      <c r="I1051" s="60"/>
    </row>
    <row r="1052" spans="5:9" ht="15" customHeight="1">
      <c r="E1052" s="60"/>
      <c r="F1052" s="60"/>
      <c r="G1052" s="60"/>
      <c r="H1052" s="60"/>
      <c r="I1052" s="60"/>
    </row>
    <row r="1053" spans="5:9" ht="15" customHeight="1">
      <c r="E1053" s="60"/>
      <c r="F1053" s="60"/>
      <c r="G1053" s="60"/>
      <c r="H1053" s="60"/>
      <c r="I1053" s="60"/>
    </row>
    <row r="1054" spans="5:9" ht="15" customHeight="1">
      <c r="E1054" s="60"/>
      <c r="F1054" s="60"/>
      <c r="G1054" s="60"/>
      <c r="H1054" s="60"/>
      <c r="I1054" s="60"/>
    </row>
    <row r="1055" spans="5:9" ht="15" customHeight="1">
      <c r="E1055" s="60"/>
      <c r="F1055" s="60"/>
      <c r="G1055" s="60"/>
      <c r="H1055" s="60"/>
      <c r="I1055" s="60"/>
    </row>
    <row r="1056" spans="5:9" ht="15" customHeight="1">
      <c r="E1056" s="60"/>
      <c r="F1056" s="60"/>
      <c r="G1056" s="60"/>
      <c r="H1056" s="60"/>
      <c r="I1056" s="60"/>
    </row>
    <row r="1057" spans="5:9" ht="15" customHeight="1">
      <c r="E1057" s="60"/>
      <c r="F1057" s="60"/>
      <c r="G1057" s="60"/>
      <c r="H1057" s="60"/>
      <c r="I1057" s="60"/>
    </row>
    <row r="1058" spans="5:9" ht="15" customHeight="1">
      <c r="E1058" s="60"/>
      <c r="F1058" s="60"/>
      <c r="G1058" s="60"/>
      <c r="H1058" s="60"/>
      <c r="I1058" s="60"/>
    </row>
    <row r="1059" spans="5:9" ht="15" customHeight="1">
      <c r="E1059" s="60"/>
      <c r="F1059" s="60"/>
      <c r="G1059" s="60"/>
      <c r="H1059" s="60"/>
      <c r="I1059" s="60"/>
    </row>
    <row r="1060" spans="5:9" ht="15" customHeight="1">
      <c r="E1060" s="60"/>
      <c r="F1060" s="60"/>
      <c r="G1060" s="60"/>
      <c r="H1060" s="60"/>
      <c r="I1060" s="60"/>
    </row>
    <row r="1061" spans="5:9" ht="15" customHeight="1">
      <c r="E1061" s="60"/>
      <c r="F1061" s="60"/>
      <c r="G1061" s="60"/>
      <c r="H1061" s="60"/>
      <c r="I1061" s="60"/>
    </row>
    <row r="1062" spans="5:9" ht="15" customHeight="1">
      <c r="E1062" s="60"/>
      <c r="F1062" s="60"/>
      <c r="G1062" s="60"/>
      <c r="H1062" s="60"/>
      <c r="I1062" s="60"/>
    </row>
    <row r="1063" spans="5:9" ht="15" customHeight="1">
      <c r="E1063" s="60"/>
      <c r="F1063" s="60"/>
      <c r="G1063" s="60"/>
      <c r="H1063" s="60"/>
      <c r="I1063" s="60"/>
    </row>
    <row r="1064" spans="5:9" ht="15" customHeight="1">
      <c r="E1064" s="60"/>
      <c r="F1064" s="60"/>
      <c r="G1064" s="60"/>
      <c r="H1064" s="60"/>
      <c r="I1064" s="60"/>
    </row>
    <row r="1065" spans="5:9" ht="15" customHeight="1">
      <c r="E1065" s="60"/>
      <c r="F1065" s="60"/>
      <c r="G1065" s="60"/>
      <c r="H1065" s="60"/>
      <c r="I1065" s="60"/>
    </row>
    <row r="1066" spans="5:9" ht="15" customHeight="1">
      <c r="E1066" s="60"/>
      <c r="F1066" s="60"/>
      <c r="G1066" s="60"/>
      <c r="H1066" s="60"/>
      <c r="I1066" s="60"/>
    </row>
    <row r="1067" spans="5:9" ht="15" customHeight="1">
      <c r="E1067" s="60"/>
      <c r="F1067" s="60"/>
      <c r="G1067" s="60"/>
      <c r="H1067" s="60"/>
      <c r="I1067" s="60"/>
    </row>
    <row r="1068" spans="5:9" ht="15" customHeight="1">
      <c r="E1068" s="60"/>
      <c r="F1068" s="60"/>
      <c r="G1068" s="60"/>
      <c r="H1068" s="60"/>
      <c r="I1068" s="60"/>
    </row>
    <row r="1069" spans="5:9" ht="15" customHeight="1">
      <c r="E1069" s="60"/>
      <c r="F1069" s="60"/>
      <c r="G1069" s="60"/>
      <c r="H1069" s="60"/>
      <c r="I1069" s="60"/>
    </row>
    <row r="1070" spans="5:9" ht="15" customHeight="1">
      <c r="E1070" s="60"/>
      <c r="F1070" s="60"/>
      <c r="G1070" s="60"/>
      <c r="H1070" s="60"/>
      <c r="I1070" s="60"/>
    </row>
    <row r="1071" spans="5:9" ht="15" customHeight="1">
      <c r="E1071" s="60"/>
      <c r="F1071" s="60"/>
      <c r="G1071" s="60"/>
      <c r="H1071" s="60"/>
      <c r="I1071" s="60"/>
    </row>
    <row r="1072" spans="5:9" ht="15" customHeight="1">
      <c r="E1072" s="60"/>
      <c r="F1072" s="60"/>
      <c r="G1072" s="60"/>
      <c r="H1072" s="60"/>
      <c r="I1072" s="60"/>
    </row>
    <row r="1073" spans="5:9" ht="15" customHeight="1">
      <c r="E1073" s="60"/>
      <c r="F1073" s="60"/>
      <c r="G1073" s="60"/>
      <c r="H1073" s="60"/>
      <c r="I1073" s="60"/>
    </row>
    <row r="1074" spans="5:9" ht="15" customHeight="1">
      <c r="E1074" s="60"/>
      <c r="F1074" s="60"/>
      <c r="G1074" s="60"/>
      <c r="H1074" s="60"/>
      <c r="I1074" s="60"/>
    </row>
    <row r="1075" spans="5:9" ht="15" customHeight="1">
      <c r="E1075" s="60"/>
      <c r="F1075" s="60"/>
      <c r="G1075" s="60"/>
      <c r="H1075" s="60"/>
      <c r="I1075" s="60"/>
    </row>
    <row r="1076" spans="5:9" ht="15" customHeight="1">
      <c r="E1076" s="60"/>
      <c r="F1076" s="60"/>
      <c r="G1076" s="60"/>
      <c r="H1076" s="60"/>
      <c r="I1076" s="60"/>
    </row>
    <row r="1077" spans="5:9" ht="15" customHeight="1">
      <c r="E1077" s="60"/>
      <c r="F1077" s="60"/>
      <c r="G1077" s="60"/>
      <c r="H1077" s="60"/>
      <c r="I1077" s="60"/>
    </row>
    <row r="1078" spans="5:9" ht="15" customHeight="1">
      <c r="E1078" s="60"/>
      <c r="F1078" s="60"/>
      <c r="G1078" s="60"/>
      <c r="H1078" s="60"/>
      <c r="I1078" s="60"/>
    </row>
    <row r="1079" spans="5:9" ht="15" customHeight="1">
      <c r="E1079" s="60"/>
      <c r="F1079" s="60"/>
      <c r="G1079" s="60"/>
      <c r="H1079" s="60"/>
      <c r="I1079" s="60"/>
    </row>
    <row r="1080" spans="5:9" ht="15" customHeight="1">
      <c r="E1080" s="60"/>
      <c r="F1080" s="60"/>
      <c r="G1080" s="60"/>
      <c r="H1080" s="60"/>
      <c r="I1080" s="60"/>
    </row>
    <row r="1081" spans="5:9" ht="15" customHeight="1">
      <c r="E1081" s="60"/>
      <c r="F1081" s="60"/>
      <c r="G1081" s="60"/>
      <c r="H1081" s="60"/>
      <c r="I1081" s="60"/>
    </row>
    <row r="1082" spans="5:9" ht="15" customHeight="1">
      <c r="E1082" s="60"/>
      <c r="F1082" s="60"/>
      <c r="G1082" s="60"/>
      <c r="H1082" s="60"/>
      <c r="I1082" s="60"/>
    </row>
    <row r="1083" spans="5:9" ht="15" customHeight="1">
      <c r="E1083" s="60"/>
      <c r="F1083" s="60"/>
      <c r="G1083" s="60"/>
      <c r="H1083" s="60"/>
      <c r="I1083" s="60"/>
    </row>
    <row r="1084" spans="5:9" ht="15" customHeight="1">
      <c r="E1084" s="60"/>
      <c r="F1084" s="60"/>
      <c r="G1084" s="60"/>
      <c r="H1084" s="60"/>
      <c r="I1084" s="60"/>
    </row>
    <row r="1085" spans="5:9" ht="15" customHeight="1">
      <c r="E1085" s="60"/>
      <c r="F1085" s="60"/>
      <c r="G1085" s="60"/>
      <c r="H1085" s="60"/>
      <c r="I1085" s="60"/>
    </row>
    <row r="1086" spans="5:9" ht="15" customHeight="1">
      <c r="E1086" s="60"/>
      <c r="F1086" s="60"/>
      <c r="G1086" s="60"/>
      <c r="H1086" s="60"/>
      <c r="I1086" s="60"/>
    </row>
    <row r="1087" spans="5:9" ht="15" customHeight="1">
      <c r="E1087" s="60"/>
      <c r="F1087" s="60"/>
      <c r="G1087" s="60"/>
      <c r="H1087" s="60"/>
      <c r="I1087" s="60"/>
    </row>
    <row r="1088" spans="5:9" ht="15" customHeight="1">
      <c r="E1088" s="60"/>
      <c r="F1088" s="60"/>
      <c r="G1088" s="60"/>
      <c r="H1088" s="60"/>
      <c r="I1088" s="60"/>
    </row>
    <row r="1089" spans="5:9" ht="15" customHeight="1">
      <c r="E1089" s="60"/>
      <c r="F1089" s="60"/>
      <c r="G1089" s="60"/>
      <c r="H1089" s="60"/>
      <c r="I1089" s="60"/>
    </row>
    <row r="1090" spans="5:9" ht="15" customHeight="1">
      <c r="E1090" s="60"/>
      <c r="F1090" s="60"/>
      <c r="G1090" s="60"/>
      <c r="H1090" s="60"/>
      <c r="I1090" s="60"/>
    </row>
    <row r="1091" spans="5:9" ht="15" customHeight="1">
      <c r="E1091" s="60"/>
      <c r="F1091" s="60"/>
      <c r="G1091" s="60"/>
      <c r="H1091" s="60"/>
      <c r="I1091" s="60"/>
    </row>
    <row r="1092" spans="5:9" ht="15" customHeight="1">
      <c r="E1092" s="60"/>
      <c r="F1092" s="60"/>
      <c r="G1092" s="60"/>
      <c r="H1092" s="60"/>
      <c r="I1092" s="60"/>
    </row>
    <row r="1093" spans="5:9" ht="15" customHeight="1">
      <c r="E1093" s="60"/>
      <c r="F1093" s="60"/>
      <c r="G1093" s="60"/>
      <c r="H1093" s="60"/>
      <c r="I1093" s="60"/>
    </row>
    <row r="1094" spans="5:9" ht="15" customHeight="1">
      <c r="E1094" s="60"/>
      <c r="F1094" s="60"/>
      <c r="G1094" s="60"/>
      <c r="H1094" s="60"/>
      <c r="I1094" s="60"/>
    </row>
    <row r="1095" spans="5:9" ht="15" customHeight="1">
      <c r="E1095" s="60"/>
      <c r="F1095" s="60"/>
      <c r="G1095" s="60"/>
      <c r="H1095" s="60"/>
      <c r="I1095" s="60"/>
    </row>
    <row r="1096" spans="5:9" ht="15" customHeight="1">
      <c r="E1096" s="60"/>
      <c r="F1096" s="60"/>
      <c r="G1096" s="60"/>
      <c r="H1096" s="60"/>
      <c r="I1096" s="60"/>
    </row>
    <row r="1097" spans="5:9" ht="15" customHeight="1">
      <c r="E1097" s="60"/>
      <c r="F1097" s="60"/>
      <c r="G1097" s="60"/>
      <c r="H1097" s="60"/>
      <c r="I1097" s="60"/>
    </row>
    <row r="1098" spans="5:9" ht="15" customHeight="1">
      <c r="E1098" s="60"/>
      <c r="F1098" s="60"/>
      <c r="G1098" s="60"/>
      <c r="H1098" s="60"/>
      <c r="I1098" s="60"/>
    </row>
    <row r="1099" spans="5:9" ht="15" customHeight="1">
      <c r="E1099" s="60"/>
      <c r="F1099" s="60"/>
      <c r="G1099" s="60"/>
      <c r="H1099" s="60"/>
      <c r="I1099" s="60"/>
    </row>
    <row r="1100" spans="5:9" ht="15" customHeight="1">
      <c r="E1100" s="60"/>
      <c r="F1100" s="60"/>
      <c r="G1100" s="60"/>
      <c r="H1100" s="60"/>
      <c r="I1100" s="60"/>
    </row>
    <row r="1101" spans="5:9" ht="15" customHeight="1">
      <c r="E1101" s="60"/>
      <c r="F1101" s="60"/>
      <c r="G1101" s="60"/>
      <c r="H1101" s="60"/>
      <c r="I1101" s="60"/>
    </row>
    <row r="1102" spans="5:9" ht="15" customHeight="1">
      <c r="E1102" s="60"/>
      <c r="F1102" s="60"/>
      <c r="G1102" s="60"/>
      <c r="H1102" s="60"/>
      <c r="I1102" s="60"/>
    </row>
    <row r="1103" spans="5:9" ht="15" customHeight="1">
      <c r="E1103" s="60"/>
      <c r="F1103" s="60"/>
      <c r="G1103" s="60"/>
      <c r="H1103" s="60"/>
      <c r="I1103" s="60"/>
    </row>
    <row r="1104" spans="5:9" ht="15" customHeight="1">
      <c r="E1104" s="60"/>
      <c r="F1104" s="60"/>
      <c r="G1104" s="60"/>
      <c r="H1104" s="60"/>
      <c r="I1104" s="60"/>
    </row>
    <row r="1105" spans="5:9" ht="15" customHeight="1">
      <c r="E1105" s="60"/>
      <c r="F1105" s="60"/>
      <c r="G1105" s="60"/>
      <c r="H1105" s="60"/>
      <c r="I1105" s="60"/>
    </row>
    <row r="1106" spans="5:9" ht="15" customHeight="1">
      <c r="E1106" s="60"/>
      <c r="F1106" s="60"/>
      <c r="G1106" s="60"/>
      <c r="H1106" s="60"/>
      <c r="I1106" s="60"/>
    </row>
    <row r="1107" spans="5:9" ht="15" customHeight="1">
      <c r="E1107" s="60"/>
      <c r="F1107" s="60"/>
      <c r="G1107" s="60"/>
      <c r="H1107" s="60"/>
      <c r="I1107" s="60"/>
    </row>
    <row r="1108" spans="5:9" ht="15" customHeight="1">
      <c r="E1108" s="60"/>
      <c r="F1108" s="60"/>
      <c r="G1108" s="60"/>
      <c r="H1108" s="60"/>
      <c r="I1108" s="60"/>
    </row>
    <row r="1109" spans="5:9" ht="15" customHeight="1">
      <c r="E1109" s="60"/>
      <c r="F1109" s="60"/>
      <c r="G1109" s="60"/>
      <c r="H1109" s="60"/>
      <c r="I1109" s="60"/>
    </row>
    <row r="1110" spans="5:9" ht="15" customHeight="1">
      <c r="E1110" s="60"/>
      <c r="F1110" s="60"/>
      <c r="G1110" s="60"/>
      <c r="H1110" s="60"/>
      <c r="I1110" s="60"/>
    </row>
    <row r="1111" spans="5:9" ht="15" customHeight="1">
      <c r="E1111" s="60"/>
      <c r="F1111" s="60"/>
      <c r="G1111" s="60"/>
      <c r="H1111" s="60"/>
      <c r="I1111" s="60"/>
    </row>
    <row r="1112" spans="5:9" ht="15" customHeight="1">
      <c r="E1112" s="60"/>
      <c r="F1112" s="60"/>
      <c r="G1112" s="60"/>
      <c r="H1112" s="60"/>
      <c r="I1112" s="60"/>
    </row>
    <row r="1113" spans="5:9" ht="15" customHeight="1">
      <c r="E1113" s="60"/>
      <c r="F1113" s="60"/>
      <c r="G1113" s="60"/>
      <c r="H1113" s="60"/>
      <c r="I1113" s="60"/>
    </row>
    <row r="1114" spans="5:9" ht="15" customHeight="1">
      <c r="E1114" s="60"/>
      <c r="F1114" s="60"/>
      <c r="G1114" s="60"/>
      <c r="H1114" s="60"/>
      <c r="I1114" s="60"/>
    </row>
    <row r="1115" spans="5:9" ht="15" customHeight="1">
      <c r="E1115" s="60"/>
      <c r="F1115" s="60"/>
      <c r="G1115" s="60"/>
      <c r="H1115" s="60"/>
      <c r="I1115" s="60"/>
    </row>
    <row r="1116" spans="5:9" ht="15" customHeight="1">
      <c r="E1116" s="60"/>
      <c r="F1116" s="60"/>
      <c r="G1116" s="60"/>
      <c r="H1116" s="60"/>
      <c r="I1116" s="60"/>
    </row>
    <row r="1117" spans="5:9" ht="15" customHeight="1">
      <c r="E1117" s="60"/>
      <c r="F1117" s="60"/>
      <c r="G1117" s="60"/>
      <c r="H1117" s="60"/>
      <c r="I1117" s="60"/>
    </row>
    <row r="1118" spans="5:9" ht="15" customHeight="1">
      <c r="E1118" s="60"/>
      <c r="F1118" s="60"/>
      <c r="G1118" s="60"/>
      <c r="H1118" s="60"/>
      <c r="I1118" s="60"/>
    </row>
    <row r="1119" spans="5:9" ht="15" customHeight="1">
      <c r="E1119" s="60"/>
      <c r="F1119" s="60"/>
      <c r="G1119" s="60"/>
      <c r="H1119" s="60"/>
      <c r="I1119" s="60"/>
    </row>
    <row r="1120" spans="5:9" ht="15" customHeight="1">
      <c r="E1120" s="60"/>
      <c r="F1120" s="60"/>
      <c r="G1120" s="60"/>
      <c r="H1120" s="60"/>
      <c r="I1120" s="60"/>
    </row>
    <row r="1121" spans="5:9" ht="15" customHeight="1">
      <c r="E1121" s="60"/>
      <c r="F1121" s="60"/>
      <c r="G1121" s="60"/>
      <c r="H1121" s="60"/>
      <c r="I1121" s="60"/>
    </row>
    <row r="1122" spans="5:9" ht="15" customHeight="1">
      <c r="E1122" s="60"/>
      <c r="F1122" s="60"/>
      <c r="G1122" s="60"/>
      <c r="H1122" s="60"/>
      <c r="I1122" s="60"/>
    </row>
    <row r="1123" spans="5:9" ht="15" customHeight="1">
      <c r="E1123" s="60"/>
      <c r="F1123" s="60"/>
      <c r="G1123" s="60"/>
      <c r="H1123" s="60"/>
      <c r="I1123" s="60"/>
    </row>
    <row r="1124" spans="5:9" ht="15" customHeight="1">
      <c r="E1124" s="60"/>
      <c r="F1124" s="60"/>
      <c r="G1124" s="60"/>
      <c r="H1124" s="60"/>
      <c r="I1124" s="60"/>
    </row>
    <row r="1125" spans="5:9" ht="15" customHeight="1">
      <c r="E1125" s="60"/>
      <c r="F1125" s="60"/>
      <c r="G1125" s="60"/>
      <c r="H1125" s="60"/>
      <c r="I1125" s="60"/>
    </row>
    <row r="1126" spans="5:9" ht="15" customHeight="1">
      <c r="E1126" s="60"/>
      <c r="F1126" s="60"/>
      <c r="G1126" s="60"/>
      <c r="H1126" s="60"/>
      <c r="I1126" s="60"/>
    </row>
    <row r="1127" spans="5:9" ht="15" customHeight="1">
      <c r="E1127" s="60"/>
      <c r="F1127" s="60"/>
      <c r="G1127" s="60"/>
      <c r="H1127" s="60"/>
      <c r="I1127" s="60"/>
    </row>
    <row r="1128" spans="5:9" ht="15" customHeight="1">
      <c r="E1128" s="60"/>
      <c r="F1128" s="60"/>
      <c r="G1128" s="60"/>
      <c r="H1128" s="60"/>
      <c r="I1128" s="60"/>
    </row>
    <row r="1129" spans="5:9" ht="15" customHeight="1">
      <c r="E1129" s="60"/>
      <c r="F1129" s="60"/>
      <c r="G1129" s="60"/>
      <c r="H1129" s="60"/>
      <c r="I1129" s="60"/>
    </row>
    <row r="1130" spans="5:9" ht="15" customHeight="1">
      <c r="E1130" s="60"/>
      <c r="F1130" s="60"/>
      <c r="G1130" s="60"/>
      <c r="H1130" s="60"/>
      <c r="I1130" s="60"/>
    </row>
    <row r="1131" spans="5:9" ht="15" customHeight="1">
      <c r="E1131" s="60"/>
      <c r="F1131" s="60"/>
      <c r="G1131" s="60"/>
      <c r="H1131" s="60"/>
      <c r="I1131" s="60"/>
    </row>
    <row r="1132" spans="5:9" ht="15" customHeight="1">
      <c r="E1132" s="60"/>
      <c r="F1132" s="60"/>
      <c r="G1132" s="60"/>
      <c r="H1132" s="60"/>
      <c r="I1132" s="60"/>
    </row>
    <row r="1133" spans="5:9" ht="15" customHeight="1">
      <c r="E1133" s="60"/>
      <c r="F1133" s="60"/>
      <c r="G1133" s="60"/>
      <c r="H1133" s="60"/>
      <c r="I1133" s="60"/>
    </row>
    <row r="1134" spans="5:9" ht="15" customHeight="1">
      <c r="E1134" s="60"/>
      <c r="F1134" s="60"/>
      <c r="G1134" s="60"/>
      <c r="H1134" s="60"/>
      <c r="I1134" s="60"/>
    </row>
    <row r="1135" spans="5:9" ht="15" customHeight="1">
      <c r="E1135" s="60"/>
      <c r="F1135" s="60"/>
      <c r="G1135" s="60"/>
      <c r="H1135" s="60"/>
      <c r="I1135" s="60"/>
    </row>
    <row r="1136" spans="5:9" ht="15" customHeight="1">
      <c r="E1136" s="60"/>
      <c r="F1136" s="60"/>
      <c r="G1136" s="60"/>
      <c r="H1136" s="60"/>
      <c r="I1136" s="60"/>
    </row>
    <row r="1137" spans="5:9" ht="15" customHeight="1">
      <c r="E1137" s="60"/>
      <c r="F1137" s="60"/>
      <c r="G1137" s="60"/>
      <c r="H1137" s="60"/>
      <c r="I1137" s="60"/>
    </row>
    <row r="1138" spans="5:9" ht="15" customHeight="1">
      <c r="E1138" s="60"/>
      <c r="F1138" s="60"/>
      <c r="G1138" s="60"/>
      <c r="H1138" s="60"/>
      <c r="I1138" s="60"/>
    </row>
    <row r="1139" spans="5:9" ht="15" customHeight="1">
      <c r="E1139" s="60"/>
      <c r="F1139" s="60"/>
      <c r="G1139" s="60"/>
      <c r="H1139" s="60"/>
      <c r="I1139" s="60"/>
    </row>
    <row r="1140" spans="5:9" ht="15" customHeight="1">
      <c r="E1140" s="60"/>
      <c r="F1140" s="60"/>
      <c r="G1140" s="60"/>
      <c r="H1140" s="60"/>
      <c r="I1140" s="60"/>
    </row>
    <row r="1141" spans="5:9" ht="15" customHeight="1">
      <c r="E1141" s="60"/>
      <c r="F1141" s="60"/>
      <c r="G1141" s="60"/>
      <c r="H1141" s="60"/>
      <c r="I1141" s="60"/>
    </row>
    <row r="1142" spans="5:9" ht="15" customHeight="1">
      <c r="E1142" s="60"/>
      <c r="F1142" s="60"/>
      <c r="G1142" s="60"/>
      <c r="H1142" s="60"/>
      <c r="I1142" s="60"/>
    </row>
    <row r="1143" spans="5:9" ht="15" customHeight="1">
      <c r="E1143" s="60"/>
      <c r="F1143" s="60"/>
      <c r="G1143" s="60"/>
      <c r="H1143" s="60"/>
      <c r="I1143" s="60"/>
    </row>
    <row r="1144" spans="5:9" ht="15" customHeight="1">
      <c r="E1144" s="60"/>
      <c r="F1144" s="60"/>
      <c r="G1144" s="60"/>
      <c r="H1144" s="60"/>
      <c r="I1144" s="60"/>
    </row>
    <row r="1145" spans="5:9" ht="15" customHeight="1">
      <c r="E1145" s="60"/>
      <c r="F1145" s="60"/>
      <c r="G1145" s="60"/>
      <c r="H1145" s="60"/>
      <c r="I1145" s="60"/>
    </row>
    <row r="1146" spans="5:9" ht="15" customHeight="1">
      <c r="E1146" s="60"/>
      <c r="F1146" s="60"/>
      <c r="G1146" s="60"/>
      <c r="H1146" s="60"/>
      <c r="I1146" s="60"/>
    </row>
    <row r="1147" spans="5:9" ht="15" customHeight="1">
      <c r="E1147" s="60"/>
      <c r="F1147" s="60"/>
      <c r="G1147" s="60"/>
      <c r="H1147" s="60"/>
      <c r="I1147" s="60"/>
    </row>
    <row r="1148" spans="5:9" ht="15" customHeight="1">
      <c r="E1148" s="60"/>
      <c r="F1148" s="60"/>
      <c r="G1148" s="60"/>
      <c r="H1148" s="60"/>
      <c r="I1148" s="60"/>
    </row>
    <row r="1149" spans="5:9" ht="15" customHeight="1">
      <c r="E1149" s="60"/>
      <c r="F1149" s="60"/>
      <c r="G1149" s="60"/>
      <c r="H1149" s="60"/>
      <c r="I1149" s="60"/>
    </row>
    <row r="1150" spans="5:9" ht="15" customHeight="1">
      <c r="E1150" s="60"/>
      <c r="F1150" s="60"/>
      <c r="G1150" s="60"/>
      <c r="H1150" s="60"/>
      <c r="I1150" s="60"/>
    </row>
    <row r="1151" spans="5:9" ht="15" customHeight="1">
      <c r="E1151" s="60"/>
      <c r="F1151" s="60"/>
      <c r="G1151" s="60"/>
      <c r="H1151" s="60"/>
      <c r="I1151" s="60"/>
    </row>
    <row r="1152" spans="5:9" ht="15" customHeight="1">
      <c r="E1152" s="60"/>
      <c r="F1152" s="60"/>
      <c r="G1152" s="60"/>
      <c r="H1152" s="60"/>
      <c r="I1152" s="60"/>
    </row>
    <row r="1153" spans="5:9" ht="15" customHeight="1">
      <c r="E1153" s="60"/>
      <c r="F1153" s="60"/>
      <c r="G1153" s="60"/>
      <c r="H1153" s="60"/>
      <c r="I1153" s="60"/>
    </row>
    <row r="1154" spans="5:9" ht="15" customHeight="1">
      <c r="E1154" s="60"/>
      <c r="F1154" s="60"/>
      <c r="G1154" s="60"/>
      <c r="H1154" s="60"/>
      <c r="I1154" s="60"/>
    </row>
    <row r="1155" spans="5:9" ht="15" customHeight="1">
      <c r="E1155" s="60"/>
      <c r="F1155" s="60"/>
      <c r="G1155" s="60"/>
      <c r="H1155" s="60"/>
      <c r="I1155" s="60"/>
    </row>
    <row r="1156" spans="5:9" ht="15" customHeight="1">
      <c r="E1156" s="60"/>
      <c r="F1156" s="60"/>
      <c r="G1156" s="60"/>
      <c r="H1156" s="60"/>
      <c r="I1156" s="60"/>
    </row>
    <row r="1157" spans="5:9" ht="15" customHeight="1">
      <c r="E1157" s="60"/>
      <c r="F1157" s="60"/>
      <c r="G1157" s="60"/>
      <c r="H1157" s="60"/>
      <c r="I1157" s="60"/>
    </row>
    <row r="1158" spans="5:9" ht="15" customHeight="1">
      <c r="E1158" s="60"/>
      <c r="F1158" s="60"/>
      <c r="G1158" s="60"/>
      <c r="H1158" s="60"/>
      <c r="I1158" s="60"/>
    </row>
    <row r="1159" spans="5:9" ht="15" customHeight="1">
      <c r="E1159" s="60"/>
      <c r="F1159" s="60"/>
      <c r="G1159" s="60"/>
      <c r="H1159" s="60"/>
      <c r="I1159" s="60"/>
    </row>
    <row r="1160" spans="5:9" ht="15" customHeight="1">
      <c r="E1160" s="60"/>
      <c r="F1160" s="60"/>
      <c r="G1160" s="60"/>
      <c r="H1160" s="60"/>
      <c r="I1160" s="60"/>
    </row>
    <row r="1161" spans="5:9" ht="15" customHeight="1">
      <c r="E1161" s="60"/>
      <c r="F1161" s="60"/>
      <c r="G1161" s="60"/>
      <c r="H1161" s="60"/>
      <c r="I1161" s="60"/>
    </row>
    <row r="1162" spans="5:9" ht="15" customHeight="1">
      <c r="E1162" s="60"/>
      <c r="F1162" s="60"/>
      <c r="G1162" s="60"/>
      <c r="H1162" s="60"/>
      <c r="I1162" s="60"/>
    </row>
    <row r="1163" spans="5:9" ht="15" customHeight="1">
      <c r="E1163" s="60"/>
      <c r="F1163" s="60"/>
      <c r="G1163" s="60"/>
      <c r="H1163" s="60"/>
      <c r="I1163" s="60"/>
    </row>
    <row r="1164" spans="5:9" ht="15" customHeight="1">
      <c r="E1164" s="60"/>
      <c r="F1164" s="60"/>
      <c r="G1164" s="60"/>
      <c r="H1164" s="60"/>
      <c r="I1164" s="60"/>
    </row>
    <row r="1165" spans="5:9" ht="15" customHeight="1">
      <c r="E1165" s="60"/>
      <c r="F1165" s="60"/>
      <c r="G1165" s="60"/>
      <c r="H1165" s="60"/>
      <c r="I1165" s="60"/>
    </row>
    <row r="1166" spans="5:9" ht="15" customHeight="1">
      <c r="E1166" s="60"/>
      <c r="F1166" s="60"/>
      <c r="G1166" s="60"/>
      <c r="H1166" s="60"/>
      <c r="I1166" s="60"/>
    </row>
    <row r="1167" spans="5:9" ht="15" customHeight="1">
      <c r="E1167" s="60"/>
      <c r="F1167" s="60"/>
      <c r="G1167" s="60"/>
      <c r="H1167" s="60"/>
      <c r="I1167" s="60"/>
    </row>
    <row r="1168" spans="5:9" ht="15" customHeight="1">
      <c r="E1168" s="60"/>
      <c r="F1168" s="60"/>
      <c r="G1168" s="60"/>
      <c r="H1168" s="60"/>
      <c r="I1168" s="60"/>
    </row>
    <row r="1169" spans="5:9" ht="15" customHeight="1">
      <c r="E1169" s="60"/>
      <c r="F1169" s="60"/>
      <c r="G1169" s="60"/>
      <c r="H1169" s="60"/>
      <c r="I1169" s="60"/>
    </row>
    <row r="1170" spans="5:9" ht="15" customHeight="1">
      <c r="E1170" s="60"/>
      <c r="F1170" s="60"/>
      <c r="G1170" s="60"/>
      <c r="H1170" s="60"/>
      <c r="I1170" s="60"/>
    </row>
    <row r="1171" spans="5:9" ht="15" customHeight="1">
      <c r="E1171" s="60"/>
      <c r="F1171" s="60"/>
      <c r="G1171" s="60"/>
      <c r="H1171" s="60"/>
      <c r="I1171" s="60"/>
    </row>
    <row r="1172" spans="5:9" ht="15" customHeight="1">
      <c r="E1172" s="60"/>
      <c r="F1172" s="60"/>
      <c r="G1172" s="60"/>
      <c r="H1172" s="60"/>
      <c r="I1172" s="60"/>
    </row>
    <row r="1173" spans="5:9" ht="15" customHeight="1">
      <c r="E1173" s="60"/>
      <c r="F1173" s="60"/>
      <c r="G1173" s="60"/>
      <c r="H1173" s="60"/>
      <c r="I1173" s="60"/>
    </row>
    <row r="1174" spans="5:9" ht="15" customHeight="1">
      <c r="E1174" s="60"/>
      <c r="F1174" s="60"/>
      <c r="G1174" s="60"/>
      <c r="H1174" s="60"/>
      <c r="I1174" s="60"/>
    </row>
    <row r="1175" spans="5:9" ht="15" customHeight="1">
      <c r="E1175" s="60"/>
      <c r="F1175" s="60"/>
      <c r="G1175" s="60"/>
      <c r="H1175" s="60"/>
      <c r="I1175" s="60"/>
    </row>
    <row r="1176" spans="5:9" ht="15" customHeight="1">
      <c r="E1176" s="60"/>
      <c r="F1176" s="60"/>
      <c r="G1176" s="60"/>
      <c r="H1176" s="60"/>
      <c r="I1176" s="60"/>
    </row>
    <row r="1177" spans="5:9" ht="15" customHeight="1">
      <c r="E1177" s="60"/>
      <c r="F1177" s="60"/>
      <c r="G1177" s="60"/>
      <c r="H1177" s="60"/>
      <c r="I1177" s="60"/>
    </row>
    <row r="1178" spans="5:9" ht="15" customHeight="1">
      <c r="E1178" s="60"/>
      <c r="F1178" s="60"/>
      <c r="G1178" s="60"/>
      <c r="H1178" s="60"/>
      <c r="I1178" s="60"/>
    </row>
    <row r="1179" spans="5:9" ht="15" customHeight="1">
      <c r="E1179" s="60"/>
      <c r="F1179" s="60"/>
      <c r="G1179" s="60"/>
      <c r="H1179" s="60"/>
      <c r="I1179" s="60"/>
    </row>
    <row r="1180" spans="5:9" ht="15" customHeight="1">
      <c r="E1180" s="60"/>
      <c r="F1180" s="60"/>
      <c r="G1180" s="60"/>
      <c r="H1180" s="60"/>
      <c r="I1180" s="60"/>
    </row>
    <row r="1181" spans="5:9" ht="15" customHeight="1">
      <c r="E1181" s="60"/>
      <c r="F1181" s="60"/>
      <c r="G1181" s="60"/>
      <c r="H1181" s="60"/>
      <c r="I1181" s="60"/>
    </row>
    <row r="1182" spans="5:9" ht="15" customHeight="1">
      <c r="E1182" s="60"/>
      <c r="F1182" s="60"/>
      <c r="G1182" s="60"/>
      <c r="H1182" s="60"/>
      <c r="I1182" s="60"/>
    </row>
    <row r="1183" spans="5:9" ht="15" customHeight="1">
      <c r="E1183" s="60"/>
      <c r="F1183" s="60"/>
      <c r="G1183" s="60"/>
      <c r="H1183" s="60"/>
      <c r="I1183" s="60"/>
    </row>
    <row r="1184" spans="5:9" ht="15" customHeight="1">
      <c r="E1184" s="60"/>
      <c r="F1184" s="60"/>
      <c r="G1184" s="60"/>
      <c r="H1184" s="60"/>
      <c r="I1184" s="60"/>
    </row>
    <row r="1185" spans="5:9" ht="15" customHeight="1">
      <c r="E1185" s="60"/>
      <c r="F1185" s="60"/>
      <c r="G1185" s="60"/>
      <c r="H1185" s="60"/>
      <c r="I1185" s="60"/>
    </row>
    <row r="1186" spans="5:9" ht="15" customHeight="1">
      <c r="E1186" s="60"/>
      <c r="F1186" s="60"/>
      <c r="G1186" s="60"/>
      <c r="H1186" s="60"/>
      <c r="I1186" s="60"/>
    </row>
    <row r="1187" spans="5:9" ht="15" customHeight="1">
      <c r="E1187" s="60"/>
      <c r="F1187" s="60"/>
      <c r="G1187" s="60"/>
      <c r="H1187" s="60"/>
      <c r="I1187" s="60"/>
    </row>
    <row r="1188" spans="5:9" ht="15" customHeight="1">
      <c r="E1188" s="60"/>
      <c r="F1188" s="60"/>
      <c r="G1188" s="60"/>
      <c r="H1188" s="60"/>
      <c r="I1188" s="60"/>
    </row>
    <row r="1189" spans="5:9" ht="15" customHeight="1">
      <c r="E1189" s="60"/>
      <c r="F1189" s="60"/>
      <c r="G1189" s="60"/>
      <c r="H1189" s="60"/>
      <c r="I1189" s="60"/>
    </row>
    <row r="1190" spans="5:9" ht="15" customHeight="1">
      <c r="E1190" s="60"/>
      <c r="F1190" s="60"/>
      <c r="G1190" s="60"/>
      <c r="H1190" s="60"/>
      <c r="I1190" s="60"/>
    </row>
    <row r="1191" spans="5:9" ht="15" customHeight="1">
      <c r="E1191" s="60"/>
      <c r="F1191" s="60"/>
      <c r="G1191" s="60"/>
      <c r="H1191" s="60"/>
      <c r="I1191" s="60"/>
    </row>
    <row r="1192" spans="5:9" ht="15" customHeight="1">
      <c r="E1192" s="60"/>
      <c r="F1192" s="60"/>
      <c r="G1192" s="60"/>
      <c r="H1192" s="60"/>
      <c r="I1192" s="60"/>
    </row>
    <row r="1193" spans="5:9" ht="15" customHeight="1">
      <c r="E1193" s="60"/>
      <c r="F1193" s="60"/>
      <c r="G1193" s="60"/>
      <c r="H1193" s="60"/>
      <c r="I1193" s="60"/>
    </row>
    <row r="1194" spans="5:9" ht="15" customHeight="1">
      <c r="E1194" s="60"/>
      <c r="F1194" s="60"/>
      <c r="G1194" s="60"/>
      <c r="H1194" s="60"/>
      <c r="I1194" s="60"/>
    </row>
    <row r="1195" spans="5:9" ht="15" customHeight="1">
      <c r="E1195" s="60"/>
      <c r="F1195" s="60"/>
      <c r="G1195" s="60"/>
      <c r="H1195" s="60"/>
      <c r="I1195" s="60"/>
    </row>
    <row r="1196" spans="5:9" ht="15" customHeight="1">
      <c r="E1196" s="60"/>
      <c r="F1196" s="60"/>
      <c r="G1196" s="60"/>
      <c r="H1196" s="60"/>
      <c r="I1196" s="60"/>
    </row>
    <row r="1197" spans="5:9" ht="15" customHeight="1">
      <c r="E1197" s="60"/>
      <c r="F1197" s="60"/>
      <c r="G1197" s="60"/>
      <c r="H1197" s="60"/>
      <c r="I1197" s="60"/>
    </row>
    <row r="1198" spans="5:9" ht="15" customHeight="1">
      <c r="E1198" s="60"/>
      <c r="F1198" s="60"/>
      <c r="G1198" s="60"/>
      <c r="H1198" s="60"/>
      <c r="I1198" s="60"/>
    </row>
    <row r="1199" spans="5:9" ht="15" customHeight="1">
      <c r="E1199" s="60"/>
      <c r="F1199" s="60"/>
      <c r="G1199" s="60"/>
      <c r="H1199" s="60"/>
      <c r="I1199" s="60"/>
    </row>
    <row r="1200" spans="5:9" ht="15" customHeight="1">
      <c r="E1200" s="60"/>
      <c r="F1200" s="60"/>
      <c r="G1200" s="60"/>
      <c r="H1200" s="60"/>
      <c r="I1200" s="60"/>
    </row>
    <row r="1201" spans="5:9" ht="15" customHeight="1">
      <c r="E1201" s="60"/>
      <c r="F1201" s="60"/>
      <c r="G1201" s="60"/>
      <c r="H1201" s="60"/>
      <c r="I1201" s="60"/>
    </row>
    <row r="1202" spans="5:9" ht="15" customHeight="1">
      <c r="E1202" s="60"/>
      <c r="F1202" s="60"/>
      <c r="G1202" s="60"/>
      <c r="H1202" s="60"/>
      <c r="I1202" s="60"/>
    </row>
    <row r="1203" spans="5:9" ht="15" customHeight="1">
      <c r="E1203" s="60"/>
      <c r="F1203" s="60"/>
      <c r="G1203" s="60"/>
      <c r="H1203" s="60"/>
      <c r="I1203" s="60"/>
    </row>
    <row r="1204" spans="5:9" ht="15" customHeight="1">
      <c r="E1204" s="60"/>
      <c r="F1204" s="60"/>
      <c r="G1204" s="60"/>
      <c r="H1204" s="60"/>
      <c r="I1204" s="60"/>
    </row>
    <row r="1205" spans="5:9" ht="15" customHeight="1">
      <c r="E1205" s="60"/>
      <c r="F1205" s="60"/>
      <c r="G1205" s="60"/>
      <c r="H1205" s="60"/>
      <c r="I1205" s="60"/>
    </row>
    <row r="1206" spans="5:9" ht="15" customHeight="1">
      <c r="E1206" s="60"/>
      <c r="F1206" s="60"/>
      <c r="G1206" s="60"/>
      <c r="H1206" s="60"/>
      <c r="I1206" s="60"/>
    </row>
    <row r="1207" spans="5:9" ht="15" customHeight="1">
      <c r="E1207" s="60"/>
      <c r="F1207" s="60"/>
      <c r="G1207" s="60"/>
      <c r="H1207" s="60"/>
      <c r="I1207" s="60"/>
    </row>
    <row r="1208" spans="5:9" ht="15" customHeight="1">
      <c r="E1208" s="60"/>
      <c r="F1208" s="60"/>
      <c r="G1208" s="60"/>
      <c r="H1208" s="60"/>
      <c r="I1208" s="60"/>
    </row>
    <row r="1209" spans="5:9" ht="15" customHeight="1">
      <c r="E1209" s="60"/>
      <c r="F1209" s="60"/>
      <c r="G1209" s="60"/>
      <c r="H1209" s="60"/>
      <c r="I1209" s="60"/>
    </row>
    <row r="1210" spans="5:9" ht="15" customHeight="1">
      <c r="E1210" s="60"/>
      <c r="F1210" s="60"/>
      <c r="G1210" s="60"/>
      <c r="H1210" s="60"/>
      <c r="I1210" s="60"/>
    </row>
    <row r="1211" spans="5:9" ht="15" customHeight="1">
      <c r="E1211" s="60"/>
      <c r="F1211" s="60"/>
      <c r="G1211" s="60"/>
      <c r="H1211" s="60"/>
      <c r="I1211" s="60"/>
    </row>
    <row r="1212" spans="5:9" ht="15" customHeight="1">
      <c r="E1212" s="60"/>
      <c r="F1212" s="60"/>
      <c r="G1212" s="60"/>
      <c r="H1212" s="60"/>
      <c r="I1212" s="60"/>
    </row>
    <row r="1213" spans="5:9" ht="15" customHeight="1">
      <c r="E1213" s="60"/>
      <c r="F1213" s="60"/>
      <c r="G1213" s="60"/>
      <c r="H1213" s="60"/>
      <c r="I1213" s="60"/>
    </row>
    <row r="1214" spans="5:9" ht="15" customHeight="1">
      <c r="E1214" s="60"/>
      <c r="F1214" s="60"/>
      <c r="G1214" s="60"/>
      <c r="H1214" s="60"/>
      <c r="I1214" s="60"/>
    </row>
    <row r="1215" spans="5:9" ht="15" customHeight="1">
      <c r="E1215" s="60"/>
      <c r="F1215" s="60"/>
      <c r="G1215" s="60"/>
      <c r="H1215" s="60"/>
      <c r="I1215" s="60"/>
    </row>
    <row r="1216" spans="5:9" ht="15" customHeight="1">
      <c r="E1216" s="60"/>
      <c r="F1216" s="60"/>
      <c r="G1216" s="60"/>
      <c r="H1216" s="60"/>
      <c r="I1216" s="60"/>
    </row>
    <row r="1217" spans="5:9" ht="15" customHeight="1">
      <c r="E1217" s="60"/>
      <c r="F1217" s="60"/>
      <c r="G1217" s="60"/>
      <c r="H1217" s="60"/>
      <c r="I1217" s="60"/>
    </row>
    <row r="1218" spans="5:9" ht="15" customHeight="1">
      <c r="E1218" s="60"/>
      <c r="F1218" s="60"/>
      <c r="G1218" s="60"/>
      <c r="H1218" s="60"/>
      <c r="I1218" s="60"/>
    </row>
    <row r="1219" spans="5:9" ht="15" customHeight="1">
      <c r="E1219" s="60"/>
      <c r="F1219" s="60"/>
      <c r="G1219" s="60"/>
      <c r="H1219" s="60"/>
      <c r="I1219" s="60"/>
    </row>
    <row r="1220" spans="5:9" ht="15" customHeight="1">
      <c r="E1220" s="60"/>
      <c r="F1220" s="60"/>
      <c r="G1220" s="60"/>
      <c r="H1220" s="60"/>
      <c r="I1220" s="60"/>
    </row>
    <row r="1221" spans="5:9" ht="15" customHeight="1">
      <c r="E1221" s="60"/>
      <c r="F1221" s="60"/>
      <c r="G1221" s="60"/>
      <c r="H1221" s="60"/>
      <c r="I1221" s="60"/>
    </row>
    <row r="1222" spans="5:9" ht="15" customHeight="1">
      <c r="E1222" s="60"/>
      <c r="F1222" s="60"/>
      <c r="G1222" s="60"/>
      <c r="H1222" s="60"/>
      <c r="I1222" s="60"/>
    </row>
    <row r="1223" spans="5:9" ht="15" customHeight="1">
      <c r="E1223" s="60"/>
      <c r="F1223" s="60"/>
      <c r="G1223" s="60"/>
      <c r="H1223" s="60"/>
      <c r="I1223" s="60"/>
    </row>
    <row r="1224" spans="5:9" ht="15" customHeight="1">
      <c r="E1224" s="60"/>
      <c r="F1224" s="60"/>
      <c r="G1224" s="60"/>
      <c r="H1224" s="60"/>
      <c r="I1224" s="60"/>
    </row>
    <row r="1225" spans="5:9" ht="15" customHeight="1">
      <c r="E1225" s="60"/>
      <c r="F1225" s="60"/>
      <c r="G1225" s="60"/>
      <c r="H1225" s="60"/>
      <c r="I1225" s="60"/>
    </row>
    <row r="1226" spans="5:9" ht="15" customHeight="1">
      <c r="E1226" s="60"/>
      <c r="F1226" s="60"/>
      <c r="G1226" s="60"/>
      <c r="H1226" s="60"/>
      <c r="I1226" s="60"/>
    </row>
    <row r="1227" spans="5:9" ht="15" customHeight="1">
      <c r="E1227" s="60"/>
      <c r="F1227" s="60"/>
      <c r="G1227" s="60"/>
      <c r="H1227" s="60"/>
      <c r="I1227" s="60"/>
    </row>
    <row r="1228" spans="5:9" ht="15" customHeight="1">
      <c r="E1228" s="60"/>
      <c r="F1228" s="60"/>
      <c r="G1228" s="60"/>
      <c r="H1228" s="60"/>
      <c r="I1228" s="60"/>
    </row>
    <row r="1229" spans="5:9" ht="15" customHeight="1">
      <c r="E1229" s="60"/>
      <c r="F1229" s="60"/>
      <c r="G1229" s="60"/>
      <c r="H1229" s="60"/>
      <c r="I1229" s="60"/>
    </row>
    <row r="1230" spans="5:9" ht="15" customHeight="1">
      <c r="E1230" s="60"/>
      <c r="F1230" s="60"/>
      <c r="G1230" s="60"/>
      <c r="H1230" s="60"/>
      <c r="I1230" s="60"/>
    </row>
    <row r="1231" spans="5:9" ht="15" customHeight="1">
      <c r="E1231" s="60"/>
      <c r="F1231" s="60"/>
      <c r="G1231" s="60"/>
      <c r="H1231" s="60"/>
      <c r="I1231" s="60"/>
    </row>
    <row r="1232" spans="5:9" ht="15" customHeight="1">
      <c r="E1232" s="60"/>
      <c r="F1232" s="60"/>
      <c r="G1232" s="60"/>
      <c r="H1232" s="60"/>
      <c r="I1232" s="60"/>
    </row>
    <row r="1233" spans="5:9" ht="15" customHeight="1">
      <c r="E1233" s="60"/>
      <c r="F1233" s="60"/>
      <c r="G1233" s="60"/>
      <c r="H1233" s="60"/>
      <c r="I1233" s="60"/>
    </row>
    <row r="1234" spans="5:9" ht="15" customHeight="1">
      <c r="E1234" s="60"/>
      <c r="F1234" s="60"/>
      <c r="G1234" s="60"/>
      <c r="H1234" s="60"/>
      <c r="I1234" s="60"/>
    </row>
    <row r="1235" spans="5:9" ht="15" customHeight="1">
      <c r="E1235" s="60"/>
      <c r="F1235" s="60"/>
      <c r="G1235" s="60"/>
      <c r="H1235" s="60"/>
      <c r="I1235" s="60"/>
    </row>
    <row r="1236" spans="5:9" ht="15" customHeight="1">
      <c r="E1236" s="60"/>
      <c r="F1236" s="60"/>
      <c r="G1236" s="60"/>
      <c r="H1236" s="60"/>
      <c r="I1236" s="60"/>
    </row>
    <row r="1237" spans="5:9" ht="15" customHeight="1">
      <c r="E1237" s="60"/>
      <c r="F1237" s="60"/>
      <c r="G1237" s="60"/>
      <c r="H1237" s="60"/>
      <c r="I1237" s="60"/>
    </row>
    <row r="1238" spans="5:9" ht="15" customHeight="1">
      <c r="E1238" s="60"/>
      <c r="F1238" s="60"/>
      <c r="G1238" s="60"/>
      <c r="H1238" s="60"/>
      <c r="I1238" s="60"/>
    </row>
    <row r="1239" spans="5:9" ht="15" customHeight="1">
      <c r="E1239" s="60"/>
      <c r="F1239" s="60"/>
      <c r="G1239" s="60"/>
      <c r="H1239" s="60"/>
      <c r="I1239" s="60"/>
    </row>
    <row r="1240" spans="5:9" ht="15" customHeight="1">
      <c r="E1240" s="60"/>
      <c r="F1240" s="60"/>
      <c r="G1240" s="60"/>
      <c r="H1240" s="60"/>
      <c r="I1240" s="60"/>
    </row>
    <row r="1241" spans="5:9" ht="15" customHeight="1">
      <c r="E1241" s="60"/>
      <c r="F1241" s="60"/>
      <c r="G1241" s="60"/>
      <c r="H1241" s="60"/>
      <c r="I1241" s="60"/>
    </row>
    <row r="1242" spans="5:9" ht="15" customHeight="1">
      <c r="E1242" s="60"/>
      <c r="F1242" s="60"/>
      <c r="G1242" s="60"/>
      <c r="H1242" s="60"/>
      <c r="I1242" s="60"/>
    </row>
    <row r="1243" spans="5:9" ht="15" customHeight="1">
      <c r="E1243" s="60"/>
      <c r="F1243" s="60"/>
      <c r="G1243" s="60"/>
      <c r="H1243" s="60"/>
      <c r="I1243" s="60"/>
    </row>
    <row r="1244" spans="5:9" ht="15" customHeight="1">
      <c r="E1244" s="60"/>
      <c r="F1244" s="60"/>
      <c r="G1244" s="60"/>
      <c r="H1244" s="60"/>
      <c r="I1244" s="60"/>
    </row>
    <row r="1245" spans="5:9" ht="15" customHeight="1">
      <c r="E1245" s="60"/>
      <c r="F1245" s="60"/>
      <c r="G1245" s="60"/>
      <c r="H1245" s="60"/>
      <c r="I1245" s="60"/>
    </row>
    <row r="1246" spans="5:9" ht="15" customHeight="1">
      <c r="E1246" s="60"/>
      <c r="F1246" s="60"/>
      <c r="G1246" s="60"/>
      <c r="H1246" s="60"/>
      <c r="I1246" s="60"/>
    </row>
    <row r="1247" spans="5:9" ht="15" customHeight="1">
      <c r="E1247" s="60"/>
      <c r="F1247" s="60"/>
      <c r="G1247" s="60"/>
      <c r="H1247" s="60"/>
      <c r="I1247" s="60"/>
    </row>
    <row r="1248" spans="5:9" ht="15" customHeight="1">
      <c r="E1248" s="60"/>
      <c r="F1248" s="60"/>
      <c r="G1248" s="60"/>
      <c r="H1248" s="60"/>
      <c r="I1248" s="60"/>
    </row>
    <row r="1249" spans="5:9" ht="15" customHeight="1">
      <c r="E1249" s="60"/>
      <c r="F1249" s="60"/>
      <c r="G1249" s="60"/>
      <c r="H1249" s="60"/>
      <c r="I1249" s="60"/>
    </row>
    <row r="1250" spans="5:9" ht="15" customHeight="1">
      <c r="E1250" s="60"/>
      <c r="F1250" s="60"/>
      <c r="G1250" s="60"/>
      <c r="H1250" s="60"/>
      <c r="I1250" s="60"/>
    </row>
    <row r="1251" spans="5:9" ht="15" customHeight="1">
      <c r="E1251" s="60"/>
      <c r="F1251" s="60"/>
      <c r="G1251" s="60"/>
      <c r="H1251" s="60"/>
      <c r="I1251" s="60"/>
    </row>
    <row r="1252" spans="5:9" ht="15" customHeight="1">
      <c r="E1252" s="60"/>
      <c r="F1252" s="60"/>
      <c r="G1252" s="60"/>
      <c r="H1252" s="60"/>
      <c r="I1252" s="60"/>
    </row>
    <row r="1253" spans="5:9" ht="15" customHeight="1">
      <c r="E1253" s="60"/>
      <c r="F1253" s="60"/>
      <c r="G1253" s="60"/>
      <c r="H1253" s="60"/>
      <c r="I1253" s="60"/>
    </row>
    <row r="1254" spans="5:9" ht="15" customHeight="1">
      <c r="E1254" s="60"/>
      <c r="F1254" s="60"/>
      <c r="G1254" s="60"/>
      <c r="H1254" s="60"/>
      <c r="I1254" s="60"/>
    </row>
    <row r="1255" spans="5:9" ht="15" customHeight="1">
      <c r="E1255" s="60"/>
      <c r="F1255" s="60"/>
      <c r="G1255" s="60"/>
      <c r="H1255" s="60"/>
      <c r="I1255" s="60"/>
    </row>
    <row r="1256" spans="5:9" ht="15" customHeight="1">
      <c r="E1256" s="60"/>
      <c r="F1256" s="60"/>
      <c r="G1256" s="60"/>
      <c r="H1256" s="60"/>
      <c r="I1256" s="60"/>
    </row>
    <row r="1257" spans="5:9" ht="15" customHeight="1">
      <c r="E1257" s="60"/>
      <c r="F1257" s="60"/>
      <c r="G1257" s="60"/>
      <c r="H1257" s="60"/>
      <c r="I1257" s="60"/>
    </row>
    <row r="1258" spans="5:9" ht="15" customHeight="1">
      <c r="E1258" s="60"/>
      <c r="F1258" s="60"/>
      <c r="G1258" s="60"/>
      <c r="H1258" s="60"/>
      <c r="I1258" s="60"/>
    </row>
    <row r="1259" spans="5:9" ht="15" customHeight="1">
      <c r="E1259" s="60"/>
      <c r="F1259" s="60"/>
      <c r="G1259" s="60"/>
      <c r="H1259" s="60"/>
      <c r="I1259" s="60"/>
    </row>
    <row r="1260" spans="5:9" ht="15" customHeight="1">
      <c r="E1260" s="60"/>
      <c r="F1260" s="60"/>
      <c r="G1260" s="60"/>
      <c r="H1260" s="60"/>
      <c r="I1260" s="60"/>
    </row>
    <row r="1261" spans="5:9" ht="15" customHeight="1">
      <c r="E1261" s="60"/>
      <c r="F1261" s="60"/>
      <c r="G1261" s="60"/>
      <c r="H1261" s="60"/>
      <c r="I1261" s="60"/>
    </row>
    <row r="1262" spans="5:9" ht="15" customHeight="1">
      <c r="E1262" s="60"/>
      <c r="F1262" s="60"/>
      <c r="G1262" s="60"/>
      <c r="H1262" s="60"/>
      <c r="I1262" s="60"/>
    </row>
    <row r="1263" spans="5:9" ht="15" customHeight="1">
      <c r="E1263" s="60"/>
      <c r="F1263" s="60"/>
      <c r="G1263" s="60"/>
      <c r="H1263" s="60"/>
      <c r="I1263" s="60"/>
    </row>
    <row r="1264" spans="5:9" ht="15" customHeight="1">
      <c r="E1264" s="60"/>
      <c r="F1264" s="60"/>
      <c r="G1264" s="60"/>
      <c r="H1264" s="60"/>
      <c r="I1264" s="60"/>
    </row>
    <row r="1265" spans="5:9" ht="15" customHeight="1">
      <c r="E1265" s="60"/>
      <c r="F1265" s="60"/>
      <c r="G1265" s="60"/>
      <c r="H1265" s="60"/>
      <c r="I1265" s="60"/>
    </row>
    <row r="1266" spans="5:9" ht="15" customHeight="1">
      <c r="E1266" s="60"/>
      <c r="F1266" s="60"/>
      <c r="G1266" s="60"/>
      <c r="H1266" s="60"/>
      <c r="I1266" s="60"/>
    </row>
    <row r="1267" spans="5:9" ht="15" customHeight="1">
      <c r="E1267" s="60"/>
      <c r="F1267" s="60"/>
      <c r="G1267" s="60"/>
      <c r="H1267" s="60"/>
      <c r="I1267" s="60"/>
    </row>
    <row r="1268" spans="5:9" ht="15" customHeight="1">
      <c r="E1268" s="60"/>
      <c r="F1268" s="60"/>
      <c r="G1268" s="60"/>
      <c r="H1268" s="60"/>
      <c r="I1268" s="60"/>
    </row>
    <row r="1269" spans="5:9" ht="15" customHeight="1">
      <c r="E1269" s="60"/>
      <c r="F1269" s="60"/>
      <c r="G1269" s="60"/>
      <c r="H1269" s="60"/>
      <c r="I1269" s="60"/>
    </row>
    <row r="1270" spans="5:9" ht="15" customHeight="1">
      <c r="E1270" s="60"/>
      <c r="F1270" s="60"/>
      <c r="G1270" s="60"/>
      <c r="H1270" s="60"/>
      <c r="I1270" s="60"/>
    </row>
    <row r="1271" spans="5:9" ht="15" customHeight="1">
      <c r="E1271" s="60"/>
      <c r="F1271" s="60"/>
      <c r="G1271" s="60"/>
      <c r="H1271" s="60"/>
      <c r="I1271" s="60"/>
    </row>
    <row r="1272" spans="5:9" ht="15" customHeight="1">
      <c r="E1272" s="60"/>
      <c r="F1272" s="60"/>
      <c r="G1272" s="60"/>
      <c r="H1272" s="60"/>
      <c r="I1272" s="60"/>
    </row>
    <row r="1273" spans="5:9" ht="15" customHeight="1">
      <c r="E1273" s="60"/>
      <c r="F1273" s="60"/>
      <c r="G1273" s="60"/>
      <c r="H1273" s="60"/>
      <c r="I1273" s="60"/>
    </row>
    <row r="1274" spans="5:9" ht="15" customHeight="1">
      <c r="E1274" s="60"/>
      <c r="F1274" s="60"/>
      <c r="G1274" s="60"/>
      <c r="H1274" s="60"/>
      <c r="I1274" s="60"/>
    </row>
    <row r="1275" spans="5:9" ht="15" customHeight="1">
      <c r="E1275" s="60"/>
      <c r="F1275" s="60"/>
      <c r="G1275" s="60"/>
      <c r="H1275" s="60"/>
      <c r="I1275" s="60"/>
    </row>
    <row r="1276" spans="5:9" ht="15" customHeight="1">
      <c r="E1276" s="60"/>
      <c r="F1276" s="60"/>
      <c r="G1276" s="60"/>
      <c r="H1276" s="60"/>
      <c r="I1276" s="60"/>
    </row>
    <row r="1277" spans="5:9" ht="15" customHeight="1">
      <c r="E1277" s="60"/>
      <c r="F1277" s="60"/>
      <c r="G1277" s="60"/>
      <c r="H1277" s="60"/>
      <c r="I1277" s="60"/>
    </row>
    <row r="1278" spans="5:9" ht="15" customHeight="1">
      <c r="E1278" s="60"/>
      <c r="F1278" s="60"/>
      <c r="G1278" s="60"/>
      <c r="H1278" s="60"/>
      <c r="I1278" s="60"/>
    </row>
    <row r="1279" spans="5:9" ht="15" customHeight="1">
      <c r="E1279" s="60"/>
      <c r="F1279" s="60"/>
      <c r="G1279" s="60"/>
      <c r="H1279" s="60"/>
      <c r="I1279" s="60"/>
    </row>
    <row r="1280" spans="5:9" ht="15" customHeight="1">
      <c r="E1280" s="60"/>
      <c r="F1280" s="60"/>
      <c r="G1280" s="60"/>
      <c r="H1280" s="60"/>
      <c r="I1280" s="60"/>
    </row>
    <row r="1281" spans="5:9" ht="15" customHeight="1">
      <c r="E1281" s="60"/>
      <c r="F1281" s="60"/>
      <c r="G1281" s="60"/>
      <c r="H1281" s="60"/>
      <c r="I1281" s="60"/>
    </row>
    <row r="1282" spans="5:9" ht="15" customHeight="1">
      <c r="E1282" s="60"/>
      <c r="F1282" s="60"/>
      <c r="G1282" s="60"/>
      <c r="H1282" s="60"/>
      <c r="I1282" s="60"/>
    </row>
    <row r="1283" spans="5:9" ht="15" customHeight="1">
      <c r="E1283" s="60"/>
      <c r="F1283" s="60"/>
      <c r="G1283" s="60"/>
      <c r="H1283" s="60"/>
      <c r="I1283" s="60"/>
    </row>
    <row r="1284" spans="5:9" ht="15" customHeight="1">
      <c r="E1284" s="60"/>
      <c r="F1284" s="60"/>
      <c r="G1284" s="60"/>
      <c r="H1284" s="60"/>
      <c r="I1284" s="60"/>
    </row>
    <row r="1285" spans="5:9" ht="15" customHeight="1">
      <c r="E1285" s="60"/>
      <c r="F1285" s="60"/>
      <c r="G1285" s="60"/>
      <c r="H1285" s="60"/>
      <c r="I1285" s="60"/>
    </row>
    <row r="1286" spans="5:9" ht="15" customHeight="1">
      <c r="E1286" s="60"/>
      <c r="F1286" s="60"/>
      <c r="G1286" s="60"/>
      <c r="H1286" s="60"/>
      <c r="I1286" s="60"/>
    </row>
    <row r="1287" spans="5:9" ht="15" customHeight="1">
      <c r="E1287" s="60"/>
      <c r="F1287" s="60"/>
      <c r="G1287" s="60"/>
      <c r="H1287" s="60"/>
      <c r="I1287" s="60"/>
    </row>
    <row r="1288" spans="5:9" ht="15" customHeight="1">
      <c r="E1288" s="60"/>
      <c r="F1288" s="60"/>
      <c r="G1288" s="60"/>
      <c r="H1288" s="60"/>
      <c r="I1288" s="60"/>
    </row>
    <row r="1289" spans="5:9" ht="15" customHeight="1">
      <c r="E1289" s="60"/>
      <c r="F1289" s="60"/>
      <c r="G1289" s="60"/>
      <c r="H1289" s="60"/>
      <c r="I1289" s="60"/>
    </row>
    <row r="1290" spans="5:9" ht="15" customHeight="1">
      <c r="E1290" s="60"/>
      <c r="F1290" s="60"/>
      <c r="G1290" s="60"/>
      <c r="H1290" s="60"/>
      <c r="I1290" s="60"/>
    </row>
    <row r="1291" spans="5:9" ht="15" customHeight="1">
      <c r="E1291" s="60"/>
      <c r="F1291" s="60"/>
      <c r="G1291" s="60"/>
      <c r="H1291" s="60"/>
      <c r="I1291" s="60"/>
    </row>
    <row r="1292" spans="5:9" ht="15" customHeight="1">
      <c r="E1292" s="60"/>
      <c r="F1292" s="60"/>
      <c r="G1292" s="60"/>
      <c r="H1292" s="60"/>
      <c r="I1292" s="60"/>
    </row>
    <row r="1293" spans="5:9" ht="15" customHeight="1">
      <c r="E1293" s="60"/>
      <c r="F1293" s="60"/>
      <c r="G1293" s="60"/>
      <c r="H1293" s="60"/>
      <c r="I1293" s="60"/>
    </row>
    <row r="1294" spans="5:9" ht="15" customHeight="1">
      <c r="E1294" s="60"/>
      <c r="F1294" s="60"/>
      <c r="G1294" s="60"/>
      <c r="H1294" s="60"/>
      <c r="I1294" s="60"/>
    </row>
    <row r="1295" spans="5:9" ht="15" customHeight="1">
      <c r="E1295" s="60"/>
      <c r="F1295" s="60"/>
      <c r="G1295" s="60"/>
      <c r="H1295" s="60"/>
      <c r="I1295" s="60"/>
    </row>
    <row r="1296" spans="5:9" ht="15" customHeight="1">
      <c r="E1296" s="60"/>
      <c r="F1296" s="60"/>
      <c r="G1296" s="60"/>
      <c r="H1296" s="60"/>
      <c r="I1296" s="60"/>
    </row>
    <row r="1297" spans="5:9" ht="15" customHeight="1">
      <c r="E1297" s="60"/>
      <c r="F1297" s="60"/>
      <c r="G1297" s="60"/>
      <c r="H1297" s="60"/>
      <c r="I1297" s="60"/>
    </row>
    <row r="1298" spans="5:9" ht="15" customHeight="1">
      <c r="E1298" s="60"/>
      <c r="F1298" s="60"/>
      <c r="G1298" s="60"/>
      <c r="H1298" s="60"/>
      <c r="I1298" s="60"/>
    </row>
    <row r="1299" spans="5:9" ht="15" customHeight="1">
      <c r="E1299" s="60"/>
      <c r="F1299" s="60"/>
      <c r="G1299" s="60"/>
      <c r="H1299" s="60"/>
      <c r="I1299" s="60"/>
    </row>
    <row r="1300" spans="5:9" ht="15" customHeight="1">
      <c r="E1300" s="60"/>
      <c r="F1300" s="60"/>
      <c r="G1300" s="60"/>
      <c r="H1300" s="60"/>
      <c r="I1300" s="60"/>
    </row>
    <row r="1301" spans="5:9" ht="15" customHeight="1">
      <c r="E1301" s="60"/>
      <c r="F1301" s="60"/>
      <c r="G1301" s="60"/>
      <c r="H1301" s="60"/>
      <c r="I1301" s="60"/>
    </row>
  </sheetData>
  <autoFilter ref="A1:J301" xr:uid="{00000000-0009-0000-0000-000004000000}">
    <sortState xmlns:xlrd2="http://schemas.microsoft.com/office/spreadsheetml/2017/richdata2" ref="A2:J301">
      <sortCondition descending="1" ref="A2:A301"/>
    </sortState>
  </autoFilter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C26"/>
  <sheetViews>
    <sheetView zoomScaleNormal="100" workbookViewId="0"/>
  </sheetViews>
  <sheetFormatPr defaultColWidth="9.140625" defaultRowHeight="12.95"/>
  <cols>
    <col min="1" max="1" width="13.140625" style="2" customWidth="1"/>
    <col min="2" max="2" width="11.28515625" style="2" customWidth="1"/>
    <col min="3" max="3" width="15.85546875" style="2" customWidth="1"/>
    <col min="4" max="16384" width="9.140625" style="2"/>
  </cols>
  <sheetData>
    <row r="3" spans="1:3" ht="13.5" customHeight="1">
      <c r="A3" s="38"/>
      <c r="B3" s="39" t="s">
        <v>0</v>
      </c>
      <c r="C3" s="40"/>
    </row>
    <row r="4" spans="1:3" ht="13.5" customHeight="1">
      <c r="A4" s="41" t="s">
        <v>61</v>
      </c>
      <c r="B4" s="42" t="s">
        <v>72</v>
      </c>
      <c r="C4" s="43" t="s">
        <v>70</v>
      </c>
    </row>
    <row r="5" spans="1:3" ht="13.5" customHeight="1">
      <c r="A5" s="44" t="s">
        <v>68</v>
      </c>
      <c r="B5" s="45">
        <v>33</v>
      </c>
      <c r="C5" s="46">
        <v>33</v>
      </c>
    </row>
    <row r="6" spans="1:3" ht="13.5" customHeight="1">
      <c r="A6" s="47" t="s">
        <v>67</v>
      </c>
      <c r="B6" s="48">
        <v>50</v>
      </c>
      <c r="C6" s="49">
        <v>50</v>
      </c>
    </row>
    <row r="7" spans="1:3" ht="13.5" customHeight="1">
      <c r="A7" s="47" t="s">
        <v>66</v>
      </c>
      <c r="B7" s="48">
        <v>88</v>
      </c>
      <c r="C7" s="49">
        <v>88</v>
      </c>
    </row>
    <row r="8" spans="1:3" ht="13.5" customHeight="1">
      <c r="A8" s="47" t="s">
        <v>65</v>
      </c>
      <c r="B8" s="48">
        <v>66</v>
      </c>
      <c r="C8" s="49">
        <v>66</v>
      </c>
    </row>
    <row r="9" spans="1:3" ht="13.5" customHeight="1">
      <c r="A9" s="47" t="s">
        <v>64</v>
      </c>
      <c r="B9" s="48">
        <v>40</v>
      </c>
      <c r="C9" s="49">
        <v>40</v>
      </c>
    </row>
    <row r="10" spans="1:3" ht="13.5" customHeight="1">
      <c r="A10" s="47" t="s">
        <v>63</v>
      </c>
      <c r="B10" s="48">
        <v>12</v>
      </c>
      <c r="C10" s="49">
        <v>12</v>
      </c>
    </row>
    <row r="11" spans="1:3" ht="13.5" customHeight="1">
      <c r="A11" s="47" t="s">
        <v>62</v>
      </c>
      <c r="B11" s="50">
        <v>11</v>
      </c>
      <c r="C11" s="51">
        <v>11</v>
      </c>
    </row>
    <row r="12" spans="1:3" ht="13.5" customHeight="1">
      <c r="A12" s="52" t="s">
        <v>71</v>
      </c>
      <c r="B12" s="53">
        <v>300</v>
      </c>
      <c r="C12" s="54">
        <v>300</v>
      </c>
    </row>
    <row r="13" spans="1:3" ht="13.5" customHeight="1">
      <c r="A13"/>
      <c r="B13"/>
    </row>
    <row r="14" spans="1:3" ht="13.5" customHeight="1">
      <c r="A14"/>
      <c r="B14"/>
    </row>
    <row r="15" spans="1:3" ht="13.5" customHeight="1">
      <c r="A15"/>
      <c r="B15"/>
    </row>
    <row r="16" spans="1:3" ht="13.5" customHeight="1">
      <c r="A16"/>
      <c r="B16"/>
    </row>
    <row r="17" spans="1:2" ht="13.5" customHeight="1">
      <c r="A17"/>
      <c r="B17"/>
    </row>
    <row r="18" spans="1:2" ht="13.5" customHeight="1">
      <c r="A18"/>
      <c r="B18"/>
    </row>
    <row r="19" spans="1:2" ht="13.5" customHeight="1">
      <c r="A19"/>
      <c r="B19"/>
    </row>
    <row r="20" spans="1:2" ht="13.5" customHeight="1">
      <c r="A20"/>
      <c r="B20"/>
    </row>
    <row r="21" spans="1:2" ht="13.5" customHeight="1">
      <c r="A21"/>
      <c r="B21"/>
    </row>
    <row r="22" spans="1:2" ht="13.5" customHeight="1">
      <c r="A22"/>
      <c r="B22"/>
    </row>
    <row r="23" spans="1:2" ht="13.5" customHeight="1">
      <c r="A23"/>
      <c r="B23"/>
    </row>
    <row r="24" spans="1:2" ht="13.5" customHeight="1">
      <c r="A24"/>
      <c r="B24"/>
    </row>
    <row r="25" spans="1:2" ht="13.5" customHeight="1">
      <c r="A25"/>
      <c r="B25"/>
    </row>
    <row r="26" spans="1:2" ht="13.5" customHeight="1">
      <c r="A26"/>
      <c r="B26"/>
    </row>
  </sheetData>
  <pageMargins left="0.7" right="0.7" top="0.75" bottom="0.75" header="0.511811023622047" footer="0.511811023622047"/>
  <pageSetup paperSize="9" orientation="portrait" horizontalDpi="300" verticalDpi="30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KOSTT</dc:creator>
  <cp:keywords/>
  <dc:description/>
  <cp:lastModifiedBy/>
  <cp:revision>2</cp:revision>
  <dcterms:created xsi:type="dcterms:W3CDTF">2016-10-04T13:31:33Z</dcterms:created>
  <dcterms:modified xsi:type="dcterms:W3CDTF">2026-08-03T07:47:18Z</dcterms:modified>
  <cp:category/>
  <cp:contentStatus/>
</cp:coreProperties>
</file>